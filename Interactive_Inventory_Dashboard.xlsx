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namedSheetViews/namedSheetView1.xml" ContentType="application/vnd.ms-excel.namedsheetview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C:\Users\prati\Downloads\"/>
    </mc:Choice>
  </mc:AlternateContent>
  <xr:revisionPtr revIDLastSave="0" documentId="8_{296775C0-8728-4A61-BB74-E76B23AEA1AD}" xr6:coauthVersionLast="47" xr6:coauthVersionMax="47" xr10:uidLastSave="{00000000-0000-0000-0000-000000000000}"/>
  <bookViews>
    <workbookView xWindow="-108" yWindow="-108" windowWidth="23256" windowHeight="12456" activeTab="3" xr2:uid="{00000000-000D-0000-FFFF-FFFF00000000}"/>
  </bookViews>
  <sheets>
    <sheet name="Inventory data" sheetId="2" r:id="rId1"/>
    <sheet name="KPI formulas" sheetId="3" r:id="rId2"/>
    <sheet name="Pivot tables" sheetId="4" r:id="rId3"/>
    <sheet name="Inventory Dashboard" sheetId="5" r:id="rId4"/>
  </sheets>
  <definedNames>
    <definedName name="Slicer_Category">#N/A</definedName>
    <definedName name="Slicer_Supplier">#N/A</definedName>
    <definedName name="Slicer_Warehouse_Location">#N/A</definedName>
  </definedNames>
  <calcPr calcId="191029" iterateDelta="1E-4"/>
  <pivotCaches>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U2" i="2" l="1"/>
  <c r="U3" i="2"/>
  <c r="U4" i="2"/>
  <c r="U5" i="2"/>
  <c r="U6" i="2"/>
  <c r="U7" i="2"/>
  <c r="U8" i="2"/>
  <c r="U9" i="2"/>
  <c r="U10" i="2"/>
  <c r="U11" i="2"/>
  <c r="U12" i="2"/>
  <c r="U13" i="2"/>
  <c r="U14" i="2"/>
  <c r="U15" i="2"/>
  <c r="U16" i="2"/>
  <c r="U17" i="2"/>
  <c r="U18" i="2"/>
  <c r="U19" i="2"/>
  <c r="U20" i="2"/>
  <c r="U21" i="2"/>
  <c r="U22" i="2"/>
  <c r="U23" i="2"/>
  <c r="U24" i="2"/>
  <c r="U25" i="2"/>
  <c r="U26" i="2"/>
  <c r="U27" i="2"/>
  <c r="U28" i="2"/>
  <c r="U29" i="2"/>
  <c r="U30" i="2"/>
  <c r="U31" i="2"/>
  <c r="U32" i="2"/>
  <c r="U33" i="2"/>
  <c r="U34" i="2"/>
  <c r="U35" i="2"/>
  <c r="U36" i="2"/>
  <c r="U37" i="2"/>
  <c r="U38" i="2"/>
  <c r="U39" i="2"/>
  <c r="U40" i="2"/>
  <c r="U41" i="2"/>
  <c r="U42" i="2"/>
  <c r="U43" i="2"/>
  <c r="U44" i="2"/>
  <c r="U45" i="2"/>
  <c r="U46" i="2"/>
  <c r="U47" i="2"/>
  <c r="U48" i="2"/>
  <c r="U49" i="2"/>
  <c r="U50" i="2"/>
  <c r="U51" i="2"/>
  <c r="U52" i="2"/>
  <c r="U53" i="2"/>
  <c r="U54" i="2"/>
  <c r="U55" i="2"/>
  <c r="U56" i="2"/>
  <c r="U57" i="2"/>
  <c r="U58" i="2"/>
  <c r="U59" i="2"/>
  <c r="U60" i="2"/>
  <c r="U61" i="2"/>
  <c r="U62" i="2"/>
  <c r="U63" i="2"/>
  <c r="U64" i="2"/>
  <c r="U65" i="2"/>
  <c r="U66" i="2"/>
  <c r="U67" i="2"/>
  <c r="U68" i="2"/>
  <c r="U69" i="2"/>
  <c r="U70" i="2"/>
  <c r="U71" i="2"/>
  <c r="U72" i="2"/>
  <c r="U73" i="2"/>
  <c r="U74" i="2"/>
  <c r="U75" i="2"/>
  <c r="U76" i="2"/>
  <c r="U77" i="2"/>
  <c r="U78" i="2"/>
  <c r="U79" i="2"/>
  <c r="U80" i="2"/>
  <c r="U81" i="2"/>
  <c r="U82" i="2"/>
  <c r="U83" i="2"/>
  <c r="U84" i="2"/>
  <c r="U85" i="2"/>
  <c r="U86" i="2"/>
  <c r="U87" i="2"/>
  <c r="U88" i="2"/>
  <c r="U89" i="2"/>
  <c r="U90" i="2"/>
  <c r="U91" i="2"/>
  <c r="U92" i="2"/>
  <c r="U93" i="2"/>
  <c r="U94" i="2"/>
  <c r="U95" i="2"/>
  <c r="U96" i="2"/>
  <c r="U97" i="2"/>
  <c r="U98" i="2"/>
  <c r="U99" i="2"/>
  <c r="U100" i="2"/>
  <c r="U101" i="2"/>
  <c r="U102" i="2"/>
  <c r="U103" i="2"/>
  <c r="U104" i="2"/>
  <c r="U105" i="2"/>
  <c r="U106" i="2"/>
  <c r="U107" i="2"/>
  <c r="U108" i="2"/>
  <c r="U109" i="2"/>
  <c r="U110" i="2"/>
  <c r="U111" i="2"/>
  <c r="U112" i="2"/>
  <c r="U113" i="2"/>
  <c r="U114" i="2"/>
  <c r="U115" i="2"/>
  <c r="U116" i="2"/>
  <c r="U117" i="2"/>
  <c r="U118" i="2"/>
  <c r="U119" i="2"/>
  <c r="U120" i="2"/>
  <c r="U121" i="2"/>
  <c r="U122" i="2"/>
  <c r="U123" i="2"/>
  <c r="U124" i="2"/>
  <c r="U125" i="2"/>
  <c r="U126" i="2"/>
  <c r="U127" i="2"/>
  <c r="U128" i="2"/>
  <c r="U129" i="2"/>
  <c r="U130" i="2"/>
  <c r="U131" i="2"/>
  <c r="U132" i="2"/>
  <c r="U133" i="2"/>
  <c r="U134" i="2"/>
  <c r="U135" i="2"/>
  <c r="U136" i="2"/>
  <c r="U137" i="2"/>
  <c r="U138" i="2"/>
  <c r="U139" i="2"/>
  <c r="U140" i="2"/>
  <c r="U141" i="2"/>
  <c r="U142" i="2"/>
  <c r="U143" i="2"/>
  <c r="U144" i="2"/>
  <c r="U145" i="2"/>
  <c r="U146" i="2"/>
  <c r="U147" i="2"/>
  <c r="U148" i="2"/>
  <c r="U149" i="2"/>
  <c r="U150" i="2"/>
  <c r="U151" i="2"/>
  <c r="U152" i="2"/>
  <c r="U153" i="2"/>
  <c r="U154" i="2"/>
  <c r="U155" i="2"/>
  <c r="U156" i="2"/>
  <c r="U157" i="2"/>
  <c r="U158" i="2"/>
  <c r="U159" i="2"/>
  <c r="U160" i="2"/>
  <c r="U161" i="2"/>
  <c r="U162" i="2"/>
  <c r="U163" i="2"/>
  <c r="U164" i="2"/>
  <c r="U165" i="2"/>
  <c r="U166" i="2"/>
  <c r="U167" i="2"/>
  <c r="U168" i="2"/>
  <c r="U169" i="2"/>
  <c r="U170" i="2"/>
  <c r="U171" i="2"/>
  <c r="U172" i="2"/>
  <c r="U173" i="2"/>
  <c r="U174" i="2"/>
  <c r="U175" i="2"/>
  <c r="U176" i="2"/>
  <c r="U177" i="2"/>
  <c r="U178" i="2"/>
  <c r="U179" i="2"/>
  <c r="U180" i="2"/>
  <c r="U181" i="2"/>
  <c r="U182" i="2"/>
  <c r="U183" i="2"/>
  <c r="U184" i="2"/>
  <c r="U185" i="2"/>
  <c r="U186" i="2"/>
  <c r="U187" i="2"/>
  <c r="U188" i="2"/>
  <c r="U189" i="2"/>
  <c r="U190" i="2"/>
  <c r="U191" i="2"/>
  <c r="U192" i="2"/>
  <c r="U193" i="2"/>
  <c r="U194" i="2"/>
  <c r="U195" i="2"/>
  <c r="U196" i="2"/>
  <c r="U197" i="2"/>
  <c r="U198" i="2"/>
  <c r="U199" i="2"/>
  <c r="U200" i="2"/>
  <c r="U201" i="2"/>
  <c r="U202" i="2"/>
  <c r="U203" i="2"/>
  <c r="U204" i="2"/>
  <c r="U205" i="2"/>
  <c r="U206" i="2"/>
  <c r="U207" i="2"/>
  <c r="U208" i="2"/>
  <c r="U209" i="2"/>
  <c r="U210" i="2"/>
  <c r="U211" i="2"/>
  <c r="U212" i="2"/>
  <c r="U213" i="2"/>
  <c r="U214" i="2"/>
  <c r="U215" i="2"/>
  <c r="U216" i="2"/>
  <c r="U217" i="2"/>
  <c r="U218" i="2"/>
  <c r="U219" i="2"/>
  <c r="U220" i="2"/>
  <c r="U221" i="2"/>
  <c r="U222" i="2"/>
  <c r="U223" i="2"/>
  <c r="U224" i="2"/>
  <c r="U225" i="2"/>
  <c r="U226" i="2"/>
  <c r="U227" i="2"/>
  <c r="U228" i="2"/>
  <c r="U229" i="2"/>
  <c r="U230" i="2"/>
  <c r="U231" i="2"/>
  <c r="U232" i="2"/>
  <c r="U233" i="2"/>
  <c r="U234" i="2"/>
  <c r="U235" i="2"/>
  <c r="U236" i="2"/>
  <c r="U237" i="2"/>
  <c r="U238" i="2"/>
  <c r="U239" i="2"/>
  <c r="U240" i="2"/>
  <c r="U241" i="2"/>
  <c r="U242" i="2"/>
  <c r="U243" i="2"/>
  <c r="U244" i="2"/>
  <c r="U245" i="2"/>
  <c r="U246" i="2"/>
  <c r="U247" i="2"/>
  <c r="U248" i="2"/>
  <c r="U249" i="2"/>
  <c r="U250" i="2"/>
  <c r="U251" i="2"/>
  <c r="U252" i="2"/>
  <c r="U253" i="2"/>
  <c r="U254" i="2"/>
  <c r="U255" i="2"/>
  <c r="U256" i="2"/>
  <c r="U257" i="2"/>
  <c r="U258" i="2"/>
  <c r="U259" i="2"/>
  <c r="U260" i="2"/>
  <c r="U261" i="2"/>
  <c r="U262" i="2"/>
  <c r="U263" i="2"/>
  <c r="U264" i="2"/>
  <c r="U265" i="2"/>
  <c r="U266" i="2"/>
  <c r="U267" i="2"/>
  <c r="U268" i="2"/>
  <c r="U269" i="2"/>
  <c r="U270" i="2"/>
  <c r="U271" i="2"/>
  <c r="U272" i="2"/>
  <c r="U273" i="2"/>
  <c r="U274" i="2"/>
  <c r="U275" i="2"/>
  <c r="U276" i="2"/>
  <c r="U277" i="2"/>
  <c r="U278" i="2"/>
  <c r="U279" i="2"/>
  <c r="U280" i="2"/>
  <c r="U281" i="2"/>
  <c r="U282" i="2"/>
  <c r="U283" i="2"/>
  <c r="U284" i="2"/>
  <c r="U285" i="2"/>
  <c r="U286" i="2"/>
  <c r="U287" i="2"/>
  <c r="U288" i="2"/>
  <c r="U289" i="2"/>
  <c r="U290" i="2"/>
  <c r="U291" i="2"/>
  <c r="U292" i="2"/>
  <c r="U293" i="2"/>
  <c r="U294" i="2"/>
  <c r="U295" i="2"/>
  <c r="U296" i="2"/>
  <c r="U297" i="2"/>
  <c r="U298" i="2"/>
  <c r="U299" i="2"/>
  <c r="U300" i="2"/>
  <c r="U301" i="2"/>
  <c r="M2"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K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alcChain>
</file>

<file path=xl/sharedStrings.xml><?xml version="1.0" encoding="utf-8"?>
<sst xmlns="http://schemas.openxmlformats.org/spreadsheetml/2006/main" count="3472" uniqueCount="559">
  <si>
    <t>Stationery</t>
  </si>
  <si>
    <t>In Stock</t>
  </si>
  <si>
    <t>Fitness</t>
  </si>
  <si>
    <t>Low Stock</t>
  </si>
  <si>
    <t>Home &amp; Kitchen</t>
  </si>
  <si>
    <t>Out of Stock</t>
  </si>
  <si>
    <t>Office</t>
  </si>
  <si>
    <t>Apparel</t>
  </si>
  <si>
    <t>Electronics</t>
  </si>
  <si>
    <t>SKU</t>
  </si>
  <si>
    <t>Category</t>
  </si>
  <si>
    <t>SKU-1116</t>
  </si>
  <si>
    <t>Ballpoint Pens</t>
  </si>
  <si>
    <t>SKU-1012</t>
  </si>
  <si>
    <t>Hoodie</t>
  </si>
  <si>
    <t>SKU-1197</t>
  </si>
  <si>
    <t>Exercise Ball</t>
  </si>
  <si>
    <t>SKU-1098</t>
  </si>
  <si>
    <t>Printer Paper Ream</t>
  </si>
  <si>
    <t>SKU-1097</t>
  </si>
  <si>
    <t>Mixing Bowls Set</t>
  </si>
  <si>
    <t>SKU-1219</t>
  </si>
  <si>
    <t>SKU-1252</t>
  </si>
  <si>
    <t>Office Clock</t>
  </si>
  <si>
    <t>SKU-1257</t>
  </si>
  <si>
    <t>Gym Shirt</t>
  </si>
  <si>
    <t>SKU-1298</t>
  </si>
  <si>
    <t>Filing Cabinet</t>
  </si>
  <si>
    <t>SKU-1203</t>
  </si>
  <si>
    <t>Cable Manager</t>
  </si>
  <si>
    <t>SKU-1188</t>
  </si>
  <si>
    <t>Desk Pad</t>
  </si>
  <si>
    <t>SKU-1206</t>
  </si>
  <si>
    <t>SKU-1204</t>
  </si>
  <si>
    <t>Desk Organizer</t>
  </si>
  <si>
    <t>SKU-1211</t>
  </si>
  <si>
    <t>SKU-1130</t>
  </si>
  <si>
    <t>SKU-1062</t>
  </si>
  <si>
    <t>Yoga Mat</t>
  </si>
  <si>
    <t>SKU-1127</t>
  </si>
  <si>
    <t>Blender</t>
  </si>
  <si>
    <t>SKU-1004</t>
  </si>
  <si>
    <t>Monitor Stand</t>
  </si>
  <si>
    <t>SKU-1201</t>
  </si>
  <si>
    <t>USB Hub</t>
  </si>
  <si>
    <t>SKU-1237</t>
  </si>
  <si>
    <t>Cookware Set</t>
  </si>
  <si>
    <t>Product_Name</t>
  </si>
  <si>
    <t>Supplier</t>
  </si>
  <si>
    <t>Warehouse_Location</t>
  </si>
  <si>
    <t>Date_Received</t>
  </si>
  <si>
    <t>Qty_Received</t>
  </si>
  <si>
    <t>Unit_Cost</t>
  </si>
  <si>
    <t>Unit_Price</t>
  </si>
  <si>
    <t>Qty_On_Hand</t>
  </si>
  <si>
    <t>Reorder_Level</t>
  </si>
  <si>
    <t>Reorder_Qty</t>
  </si>
  <si>
    <t>Last_Sold_Date</t>
  </si>
  <si>
    <t>Qty_Sold_30D</t>
  </si>
  <si>
    <t>Stock_Status</t>
  </si>
  <si>
    <t>Sales_Revenue_30D</t>
  </si>
  <si>
    <t>COGS_30D</t>
  </si>
  <si>
    <t>Gross_Profit_30D</t>
  </si>
  <si>
    <t>Stock_Value</t>
  </si>
  <si>
    <t>SKU-1001</t>
  </si>
  <si>
    <t>Athletic Shorts</t>
  </si>
  <si>
    <t>TechSupply Co</t>
  </si>
  <si>
    <t>Bangalore WH</t>
  </si>
  <si>
    <t>2024-02-01</t>
  </si>
  <si>
    <t>2024-05-08</t>
  </si>
  <si>
    <t>SKU-1002</t>
  </si>
  <si>
    <t>Wireless Mouse</t>
  </si>
  <si>
    <t>PaperMills Ltd</t>
  </si>
  <si>
    <t>Delhi WH</t>
  </si>
  <si>
    <t>2024-01-30</t>
  </si>
  <si>
    <t>2024-05-17</t>
  </si>
  <si>
    <t>SKU-1003</t>
  </si>
  <si>
    <t>StyleWear Global</t>
  </si>
  <si>
    <t>Mumbai WH</t>
  </si>
  <si>
    <t>2024-04-07</t>
  </si>
  <si>
    <t>2024-05-06</t>
  </si>
  <si>
    <t>HomeComfort Ltd</t>
  </si>
  <si>
    <t>2024-03-18</t>
  </si>
  <si>
    <t>2024-05-09</t>
  </si>
  <si>
    <t>SKU-1005</t>
  </si>
  <si>
    <t>Correction Fluid</t>
  </si>
  <si>
    <t>Hyderabad WH</t>
  </si>
  <si>
    <t>2024-01-25</t>
  </si>
  <si>
    <t>2024-05-23</t>
  </si>
  <si>
    <t>SKU-1006</t>
  </si>
  <si>
    <t>Phone Charger</t>
  </si>
  <si>
    <t>Pune WH</t>
  </si>
  <si>
    <t>2024-03-22</t>
  </si>
  <si>
    <t>2024-05-12</t>
  </si>
  <si>
    <t>SKU-1007</t>
  </si>
  <si>
    <t>Gym Gloves</t>
  </si>
  <si>
    <t>AquaGear</t>
  </si>
  <si>
    <t>2024-02-18</t>
  </si>
  <si>
    <t>SKU-1008</t>
  </si>
  <si>
    <t>Envelopes Pack</t>
  </si>
  <si>
    <t>2024-01-28</t>
  </si>
  <si>
    <t>2024-05-19</t>
  </si>
  <si>
    <t>SKU-1009</t>
  </si>
  <si>
    <t>Cutting Board</t>
  </si>
  <si>
    <t>2024-04-05</t>
  </si>
  <si>
    <t>2024-05-18</t>
  </si>
  <si>
    <t>SKU-1010</t>
  </si>
  <si>
    <t>Toaster</t>
  </si>
  <si>
    <t>OfficeLogistics Inc</t>
  </si>
  <si>
    <t>2024-04-06</t>
  </si>
  <si>
    <t>2024-05-02</t>
  </si>
  <si>
    <t>SKU-1011</t>
  </si>
  <si>
    <t>Document Holder</t>
  </si>
  <si>
    <t>2024-02-02</t>
  </si>
  <si>
    <t>2024-02-25</t>
  </si>
  <si>
    <t>SKU-1013</t>
  </si>
  <si>
    <t>Kitchen Knife</t>
  </si>
  <si>
    <t>2024-04-17</t>
  </si>
  <si>
    <t>2024-05-21</t>
  </si>
  <si>
    <t>SKU-1014</t>
  </si>
  <si>
    <t>Power Bank</t>
  </si>
  <si>
    <t>2024-01-03</t>
  </si>
  <si>
    <t>2024-05-04</t>
  </si>
  <si>
    <t>SKU-1015</t>
  </si>
  <si>
    <t>Dumbbells Set</t>
  </si>
  <si>
    <t>2024-04-14</t>
  </si>
  <si>
    <t>2024-05-03</t>
  </si>
  <si>
    <t>SKU-1016</t>
  </si>
  <si>
    <t>ElectroHub</t>
  </si>
  <si>
    <t>2024-04-28</t>
  </si>
  <si>
    <t>SKU-1017</t>
  </si>
  <si>
    <t>SKU-1018</t>
  </si>
  <si>
    <t>FitnessPro Industries</t>
  </si>
  <si>
    <t>2024-04-25</t>
  </si>
  <si>
    <t>SKU-1019</t>
  </si>
  <si>
    <t>Resistance Bands</t>
  </si>
  <si>
    <t>2024-04-10</t>
  </si>
  <si>
    <t>2024-05-16</t>
  </si>
  <si>
    <t>SKU-1020</t>
  </si>
  <si>
    <t>2024-01-08</t>
  </si>
  <si>
    <t>2024-05-13</t>
  </si>
  <si>
    <t>SKU-1021</t>
  </si>
  <si>
    <t>Ergonomic Chair</t>
  </si>
  <si>
    <t>2024-02-05</t>
  </si>
  <si>
    <t>2024-05-15</t>
  </si>
  <si>
    <t>SKU-1022</t>
  </si>
  <si>
    <t>Cap</t>
  </si>
  <si>
    <t>SKU-1023</t>
  </si>
  <si>
    <t>Thermos Flask</t>
  </si>
  <si>
    <t>2024-02-03</t>
  </si>
  <si>
    <t>SKU-1024</t>
  </si>
  <si>
    <t>SKU-1025</t>
  </si>
  <si>
    <t>Foam Roller</t>
  </si>
  <si>
    <t>2024-03-06</t>
  </si>
  <si>
    <t>SKU-1026</t>
  </si>
  <si>
    <t>2024-01-11</t>
  </si>
  <si>
    <t>2024-05-14</t>
  </si>
  <si>
    <t>SKU-1027</t>
  </si>
  <si>
    <t>2024-03-26</t>
  </si>
  <si>
    <t>SKU-1028</t>
  </si>
  <si>
    <t>Gym Bag</t>
  </si>
  <si>
    <t>2024-03-09</t>
  </si>
  <si>
    <t>2024-05-07</t>
  </si>
  <si>
    <t>SKU-1029</t>
  </si>
  <si>
    <t>File Folders</t>
  </si>
  <si>
    <t>2024-04-16</t>
  </si>
  <si>
    <t>SKU-1030</t>
  </si>
  <si>
    <t>2024-04-30</t>
  </si>
  <si>
    <t>2024-05-05</t>
  </si>
  <si>
    <t>SKU-1031</t>
  </si>
  <si>
    <t>2024-03-28</t>
  </si>
  <si>
    <t>SKU-1032</t>
  </si>
  <si>
    <t>Notebook A4</t>
  </si>
  <si>
    <t>2024-04-08</t>
  </si>
  <si>
    <t>SKU-1033</t>
  </si>
  <si>
    <t>USB-C Cable</t>
  </si>
  <si>
    <t>2024-01-05</t>
  </si>
  <si>
    <t>SKU-1034</t>
  </si>
  <si>
    <t>Sticky Notes</t>
  </si>
  <si>
    <t>2024-02-15</t>
  </si>
  <si>
    <t>SKU-1035</t>
  </si>
  <si>
    <t>2024-04-04</t>
  </si>
  <si>
    <t>2024-05-11</t>
  </si>
  <si>
    <t>SKU-1036</t>
  </si>
  <si>
    <t>2024-04-19</t>
  </si>
  <si>
    <t>SKU-1037</t>
  </si>
  <si>
    <t>Coffee Maker</t>
  </si>
  <si>
    <t>2024-02-12</t>
  </si>
  <si>
    <t>SKU-1038</t>
  </si>
  <si>
    <t>2024-01-15</t>
  </si>
  <si>
    <t>SKU-1039</t>
  </si>
  <si>
    <t>SKU-1040</t>
  </si>
  <si>
    <t>Running Shoes</t>
  </si>
  <si>
    <t>2024-01-09</t>
  </si>
  <si>
    <t>2024-05-22</t>
  </si>
  <si>
    <t>SKU-1041</t>
  </si>
  <si>
    <t>Tank Top</t>
  </si>
  <si>
    <t>2024-03-30</t>
  </si>
  <si>
    <t>2024-05-10</t>
  </si>
  <si>
    <t>SKU-1042</t>
  </si>
  <si>
    <t>2024-03-11</t>
  </si>
  <si>
    <t>2024-05-01</t>
  </si>
  <si>
    <t>SKU-1043</t>
  </si>
  <si>
    <t>SKU-1044</t>
  </si>
  <si>
    <t>Mechanical Keyboard</t>
  </si>
  <si>
    <t>2024-04-13</t>
  </si>
  <si>
    <t>SKU-1045</t>
  </si>
  <si>
    <t>2024-03-04</t>
  </si>
  <si>
    <t>SKU-1046</t>
  </si>
  <si>
    <t>2024-03-12</t>
  </si>
  <si>
    <t>SKU-1047</t>
  </si>
  <si>
    <t>Skipping Rope</t>
  </si>
  <si>
    <t>SKU-1048</t>
  </si>
  <si>
    <t>SKU-1049</t>
  </si>
  <si>
    <t>2024-03-31</t>
  </si>
  <si>
    <t>SKU-1050</t>
  </si>
  <si>
    <t>SKU-1051</t>
  </si>
  <si>
    <t>2024-02-04</t>
  </si>
  <si>
    <t>SKU-1052</t>
  </si>
  <si>
    <t>2024-03-16</t>
  </si>
  <si>
    <t>SKU-1053</t>
  </si>
  <si>
    <t>2024-02-28</t>
  </si>
  <si>
    <t>SKU-1054</t>
  </si>
  <si>
    <t>Desk Lamp</t>
  </si>
  <si>
    <t>2024-01-29</t>
  </si>
  <si>
    <t>SKU-1055</t>
  </si>
  <si>
    <t>2024-03-01</t>
  </si>
  <si>
    <t>SKU-1056</t>
  </si>
  <si>
    <t>Dish Rack</t>
  </si>
  <si>
    <t>2024-02-09</t>
  </si>
  <si>
    <t>SKU-1057</t>
  </si>
  <si>
    <t>SKU-1058</t>
  </si>
  <si>
    <t>Tape Dispenser</t>
  </si>
  <si>
    <t>SKU-1059</t>
  </si>
  <si>
    <t>Stapler</t>
  </si>
  <si>
    <t>2024-01-23</t>
  </si>
  <si>
    <t>SKU-1060</t>
  </si>
  <si>
    <t>SKU-1061</t>
  </si>
  <si>
    <t>2024-01-24</t>
  </si>
  <si>
    <t>2024-01-31</t>
  </si>
  <si>
    <t>SKU-1063</t>
  </si>
  <si>
    <t>SKU-1064</t>
  </si>
  <si>
    <t>SKU-1065</t>
  </si>
  <si>
    <t>SKU-1066</t>
  </si>
  <si>
    <t>SKU-1067</t>
  </si>
  <si>
    <t>Sports Socks</t>
  </si>
  <si>
    <t>2024-04-21</t>
  </si>
  <si>
    <t>SKU-1068</t>
  </si>
  <si>
    <t>2024-02-21</t>
  </si>
  <si>
    <t>SKU-1069</t>
  </si>
  <si>
    <t>SKU-1070</t>
  </si>
  <si>
    <t>2024-03-13</t>
  </si>
  <si>
    <t>2024-05-20</t>
  </si>
  <si>
    <t>SKU-1071</t>
  </si>
  <si>
    <t>SKU-1072</t>
  </si>
  <si>
    <t>SKU-1073</t>
  </si>
  <si>
    <t>2024-04-26</t>
  </si>
  <si>
    <t>SKU-1074</t>
  </si>
  <si>
    <t>2024-03-29</t>
  </si>
  <si>
    <t>SKU-1075</t>
  </si>
  <si>
    <t>SKU-1076</t>
  </si>
  <si>
    <t>Casual Pants</t>
  </si>
  <si>
    <t>SKU-1077</t>
  </si>
  <si>
    <t>Webcam HD</t>
  </si>
  <si>
    <t>SKU-1078</t>
  </si>
  <si>
    <t>2024-02-10</t>
  </si>
  <si>
    <t>SKU-1079</t>
  </si>
  <si>
    <t>2024-01-07</t>
  </si>
  <si>
    <t>SKU-1080</t>
  </si>
  <si>
    <t>2024-02-26</t>
  </si>
  <si>
    <t>SKU-1081</t>
  </si>
  <si>
    <t>2024-02-22</t>
  </si>
  <si>
    <t>SKU-1082</t>
  </si>
  <si>
    <t>Water Bottle</t>
  </si>
  <si>
    <t>SKU-1083</t>
  </si>
  <si>
    <t>2024-04-29</t>
  </si>
  <si>
    <t>SKU-1084</t>
  </si>
  <si>
    <t>Storage Containers</t>
  </si>
  <si>
    <t>SKU-1085</t>
  </si>
  <si>
    <t>Push-up Bars</t>
  </si>
  <si>
    <t>2024-01-06</t>
  </si>
  <si>
    <t>SKU-1086</t>
  </si>
  <si>
    <t>SKU-1087</t>
  </si>
  <si>
    <t>Laptop Stand</t>
  </si>
  <si>
    <t>2024-01-10</t>
  </si>
  <si>
    <t>SKU-1088</t>
  </si>
  <si>
    <t>2024-03-21</t>
  </si>
  <si>
    <t>SKU-1089</t>
  </si>
  <si>
    <t>SKU-1090</t>
  </si>
  <si>
    <t>SKU-1091</t>
  </si>
  <si>
    <t>SKU-1092</t>
  </si>
  <si>
    <t>T-Shirt Cotton</t>
  </si>
  <si>
    <t>2024-03-27</t>
  </si>
  <si>
    <t>SKU-1093</t>
  </si>
  <si>
    <t>2024-01-26</t>
  </si>
  <si>
    <t>SKU-1094</t>
  </si>
  <si>
    <t>SKU-1095</t>
  </si>
  <si>
    <t>2024-03-20</t>
  </si>
  <si>
    <t>SKU-1096</t>
  </si>
  <si>
    <t>2024-04-22</t>
  </si>
  <si>
    <t>SKU-1099</t>
  </si>
  <si>
    <t>SKU-1100</t>
  </si>
  <si>
    <t>SKU-1101</t>
  </si>
  <si>
    <t>2024-01-18</t>
  </si>
  <si>
    <t>SKU-1102</t>
  </si>
  <si>
    <t>SKU-1103</t>
  </si>
  <si>
    <t>SKU-1104</t>
  </si>
  <si>
    <t>SKU-1105</t>
  </si>
  <si>
    <t>HDMI Cable</t>
  </si>
  <si>
    <t>SKU-1106</t>
  </si>
  <si>
    <t>Highlighters Pack</t>
  </si>
  <si>
    <t>SKU-1107</t>
  </si>
  <si>
    <t>SKU-1108</t>
  </si>
  <si>
    <t>2024-04-09</t>
  </si>
  <si>
    <t>SKU-1109</t>
  </si>
  <si>
    <t>2024-03-02</t>
  </si>
  <si>
    <t>SKU-1110</t>
  </si>
  <si>
    <t>2024-01-17</t>
  </si>
  <si>
    <t>SKU-1111</t>
  </si>
  <si>
    <t>2024-04-11</t>
  </si>
  <si>
    <t>SKU-1112</t>
  </si>
  <si>
    <t>SKU-1113</t>
  </si>
  <si>
    <t>Winter Jacket</t>
  </si>
  <si>
    <t>SKU-1114</t>
  </si>
  <si>
    <t>SKU-1115</t>
  </si>
  <si>
    <t>2024-03-14</t>
  </si>
  <si>
    <t>SKU-1117</t>
  </si>
  <si>
    <t>SKU-1118</t>
  </si>
  <si>
    <t>SKU-1119</t>
  </si>
  <si>
    <t>SKU-1120</t>
  </si>
  <si>
    <t>SKU-1121</t>
  </si>
  <si>
    <t>SKU-1122</t>
  </si>
  <si>
    <t>2024-02-11</t>
  </si>
  <si>
    <t>SKU-1123</t>
  </si>
  <si>
    <t>2024-02-20</t>
  </si>
  <si>
    <t>SKU-1124</t>
  </si>
  <si>
    <t>SKU-1125</t>
  </si>
  <si>
    <t>SKU-1126</t>
  </si>
  <si>
    <t>SKU-1128</t>
  </si>
  <si>
    <t>2024-03-23</t>
  </si>
  <si>
    <t>SKU-1129</t>
  </si>
  <si>
    <t>2024-03-17</t>
  </si>
  <si>
    <t>SKU-1131</t>
  </si>
  <si>
    <t>SKU-1132</t>
  </si>
  <si>
    <t>SKU-1133</t>
  </si>
  <si>
    <t>SKU-1134</t>
  </si>
  <si>
    <t>SKU-1135</t>
  </si>
  <si>
    <t>SKU-1136</t>
  </si>
  <si>
    <t>SKU-1137</t>
  </si>
  <si>
    <t>SKU-1138</t>
  </si>
  <si>
    <t>SKU-1139</t>
  </si>
  <si>
    <t>2024-02-06</t>
  </si>
  <si>
    <t>SKU-1140</t>
  </si>
  <si>
    <t>SKU-1141</t>
  </si>
  <si>
    <t>SKU-1142</t>
  </si>
  <si>
    <t>2024-02-27</t>
  </si>
  <si>
    <t>SKU-1143</t>
  </si>
  <si>
    <t>SKU-1144</t>
  </si>
  <si>
    <t>SKU-1145</t>
  </si>
  <si>
    <t>SKU-1146</t>
  </si>
  <si>
    <t>SKU-1147</t>
  </si>
  <si>
    <t>2024-02-07</t>
  </si>
  <si>
    <t>SKU-1148</t>
  </si>
  <si>
    <t>2024-03-10</t>
  </si>
  <si>
    <t>SKU-1149</t>
  </si>
  <si>
    <t>SKU-1150</t>
  </si>
  <si>
    <t>2024-02-13</t>
  </si>
  <si>
    <t>SKU-1151</t>
  </si>
  <si>
    <t>SKU-1152</t>
  </si>
  <si>
    <t>SKU-1153</t>
  </si>
  <si>
    <t>SKU-1154</t>
  </si>
  <si>
    <t>SKU-1155</t>
  </si>
  <si>
    <t>SKU-1156</t>
  </si>
  <si>
    <t>2024-02-16</t>
  </si>
  <si>
    <t>SKU-1157</t>
  </si>
  <si>
    <t>SKU-1158</t>
  </si>
  <si>
    <t>SKU-1159</t>
  </si>
  <si>
    <t>2024-02-19</t>
  </si>
  <si>
    <t>SKU-1160</t>
  </si>
  <si>
    <t>SKU-1161</t>
  </si>
  <si>
    <t>SKU-1162</t>
  </si>
  <si>
    <t>SKU-1163</t>
  </si>
  <si>
    <t>SKU-1164</t>
  </si>
  <si>
    <t>SKU-1165</t>
  </si>
  <si>
    <t>SKU-1166</t>
  </si>
  <si>
    <t>SKU-1167</t>
  </si>
  <si>
    <t>2024-03-25</t>
  </si>
  <si>
    <t>SKU-1168</t>
  </si>
  <si>
    <t>SKU-1169</t>
  </si>
  <si>
    <t>SKU-1170</t>
  </si>
  <si>
    <t>2024-04-03</t>
  </si>
  <si>
    <t>SKU-1171</t>
  </si>
  <si>
    <t>SKU-1172</t>
  </si>
  <si>
    <t>SKU-1173</t>
  </si>
  <si>
    <t>SKU-1174</t>
  </si>
  <si>
    <t>SKU-1175</t>
  </si>
  <si>
    <t>SKU-1176</t>
  </si>
  <si>
    <t>SKU-1177</t>
  </si>
  <si>
    <t>2024-04-01</t>
  </si>
  <si>
    <t>SKU-1178</t>
  </si>
  <si>
    <t>2024-03-19</t>
  </si>
  <si>
    <t>SKU-1179</t>
  </si>
  <si>
    <t>SKU-1180</t>
  </si>
  <si>
    <t>2024-03-15</t>
  </si>
  <si>
    <t>SKU-1181</t>
  </si>
  <si>
    <t>SKU-1182</t>
  </si>
  <si>
    <t>2024-01-27</t>
  </si>
  <si>
    <t>SKU-1183</t>
  </si>
  <si>
    <t>SKU-1184</t>
  </si>
  <si>
    <t>SKU-1185</t>
  </si>
  <si>
    <t>SKU-1186</t>
  </si>
  <si>
    <t>2024-01-14</t>
  </si>
  <si>
    <t>SKU-1187</t>
  </si>
  <si>
    <t>SKU-1189</t>
  </si>
  <si>
    <t>2024-02-23</t>
  </si>
  <si>
    <t>SKU-1190</t>
  </si>
  <si>
    <t>SKU-1191</t>
  </si>
  <si>
    <t>SKU-1192</t>
  </si>
  <si>
    <t>SKU-1193</t>
  </si>
  <si>
    <t>2024-01-01</t>
  </si>
  <si>
    <t>SKU-1194</t>
  </si>
  <si>
    <t>2024-03-24</t>
  </si>
  <si>
    <t>SKU-1195</t>
  </si>
  <si>
    <t>SKU-1196</t>
  </si>
  <si>
    <t>2024-04-27</t>
  </si>
  <si>
    <t>SKU-1198</t>
  </si>
  <si>
    <t>SKU-1199</t>
  </si>
  <si>
    <t>SKU-1200</t>
  </si>
  <si>
    <t>2024-02-24</t>
  </si>
  <si>
    <t>SKU-1202</t>
  </si>
  <si>
    <t>2024-02-14</t>
  </si>
  <si>
    <t>SKU-1205</t>
  </si>
  <si>
    <t>SKU-1207</t>
  </si>
  <si>
    <t>SKU-1208</t>
  </si>
  <si>
    <t>SKU-1209</t>
  </si>
  <si>
    <t>SKU-1210</t>
  </si>
  <si>
    <t>2024-03-08</t>
  </si>
  <si>
    <t>SKU-1212</t>
  </si>
  <si>
    <t>SKU-1213</t>
  </si>
  <si>
    <t>SKU-1214</t>
  </si>
  <si>
    <t>SKU-1215</t>
  </si>
  <si>
    <t>SKU-1216</t>
  </si>
  <si>
    <t>SKU-1217</t>
  </si>
  <si>
    <t>SKU-1218</t>
  </si>
  <si>
    <t>SKU-1220</t>
  </si>
  <si>
    <t>SKU-1221</t>
  </si>
  <si>
    <t>SKU-1222</t>
  </si>
  <si>
    <t>2024-02-08</t>
  </si>
  <si>
    <t>SKU-1223</t>
  </si>
  <si>
    <t>SKU-1224</t>
  </si>
  <si>
    <t>SKU-1225</t>
  </si>
  <si>
    <t>SKU-1226</t>
  </si>
  <si>
    <t>SKU-1227</t>
  </si>
  <si>
    <t>SKU-1228</t>
  </si>
  <si>
    <t>SKU-1229</t>
  </si>
  <si>
    <t>SKU-1230</t>
  </si>
  <si>
    <t>SKU-1231</t>
  </si>
  <si>
    <t>2024-01-04</t>
  </si>
  <si>
    <t>SKU-1232</t>
  </si>
  <si>
    <t>SKU-1233</t>
  </si>
  <si>
    <t>SKU-1234</t>
  </si>
  <si>
    <t>SKU-1235</t>
  </si>
  <si>
    <t>SKU-1236</t>
  </si>
  <si>
    <t>SKU-1238</t>
  </si>
  <si>
    <t>2024-04-12</t>
  </si>
  <si>
    <t>SKU-1239</t>
  </si>
  <si>
    <t>SKU-1240</t>
  </si>
  <si>
    <t>SKU-1241</t>
  </si>
  <si>
    <t>SKU-1242</t>
  </si>
  <si>
    <t>SKU-1243</t>
  </si>
  <si>
    <t>SKU-1244</t>
  </si>
  <si>
    <t>SKU-1245</t>
  </si>
  <si>
    <t>2024-04-18</t>
  </si>
  <si>
    <t>SKU-1246</t>
  </si>
  <si>
    <t>SKU-1247</t>
  </si>
  <si>
    <t>SKU-1248</t>
  </si>
  <si>
    <t>SKU-1249</t>
  </si>
  <si>
    <t>SKU-1250</t>
  </si>
  <si>
    <t>SKU-1251</t>
  </si>
  <si>
    <t>2024-03-03</t>
  </si>
  <si>
    <t>2024-01-02</t>
  </si>
  <si>
    <t>SKU-1253</t>
  </si>
  <si>
    <t>SKU-1254</t>
  </si>
  <si>
    <t>SKU-1255</t>
  </si>
  <si>
    <t>SKU-1256</t>
  </si>
  <si>
    <t>SKU-1258</t>
  </si>
  <si>
    <t>SKU-1259</t>
  </si>
  <si>
    <t>SKU-1260</t>
  </si>
  <si>
    <t>SKU-1261</t>
  </si>
  <si>
    <t>SKU-1262</t>
  </si>
  <si>
    <t>SKU-1263</t>
  </si>
  <si>
    <t>SKU-1264</t>
  </si>
  <si>
    <t>SKU-1265</t>
  </si>
  <si>
    <t>SKU-1266</t>
  </si>
  <si>
    <t>SKU-1267</t>
  </si>
  <si>
    <t>SKU-1268</t>
  </si>
  <si>
    <t>Monitor Riser</t>
  </si>
  <si>
    <t>SKU-1269</t>
  </si>
  <si>
    <t>2024-04-24</t>
  </si>
  <si>
    <t>SKU-1270</t>
  </si>
  <si>
    <t>SKU-1271</t>
  </si>
  <si>
    <t>SKU-1272</t>
  </si>
  <si>
    <t>SKU-1273</t>
  </si>
  <si>
    <t>SKU-1274</t>
  </si>
  <si>
    <t>SKU-1275</t>
  </si>
  <si>
    <t>SKU-1276</t>
  </si>
  <si>
    <t>SKU-1277</t>
  </si>
  <si>
    <t>2024-01-21</t>
  </si>
  <si>
    <t>SKU-1278</t>
  </si>
  <si>
    <t>SKU-1279</t>
  </si>
  <si>
    <t>SKU-1280</t>
  </si>
  <si>
    <t>SKU-1281</t>
  </si>
  <si>
    <t>SKU-1282</t>
  </si>
  <si>
    <t>SKU-1283</t>
  </si>
  <si>
    <t>2024-02-17</t>
  </si>
  <si>
    <t>SKU-1284</t>
  </si>
  <si>
    <t>SKU-1285</t>
  </si>
  <si>
    <t>SKU-1286</t>
  </si>
  <si>
    <t>SKU-1287</t>
  </si>
  <si>
    <t>SKU-1288</t>
  </si>
  <si>
    <t>SKU-1289</t>
  </si>
  <si>
    <t>SKU-1290</t>
  </si>
  <si>
    <t>2024-04-15</t>
  </si>
  <si>
    <t>SKU-1291</t>
  </si>
  <si>
    <t>SKU-1292</t>
  </si>
  <si>
    <t>2024-02-29</t>
  </si>
  <si>
    <t>SKU-1293</t>
  </si>
  <si>
    <t>Whiteboard</t>
  </si>
  <si>
    <t>SKU-1294</t>
  </si>
  <si>
    <t>SKU-1295</t>
  </si>
  <si>
    <t>SKU-1296</t>
  </si>
  <si>
    <t>SKU-1297</t>
  </si>
  <si>
    <t>SKU-1299</t>
  </si>
  <si>
    <t>2024-01-13</t>
  </si>
  <si>
    <t>SKU-1300</t>
  </si>
  <si>
    <t>Column1</t>
  </si>
  <si>
    <t>Inventory Value</t>
  </si>
  <si>
    <t>Reorder Flag</t>
  </si>
  <si>
    <t>Count of SKU</t>
  </si>
  <si>
    <t>Total products</t>
  </si>
  <si>
    <t>Grand Total</t>
  </si>
  <si>
    <t>Row Labels</t>
  </si>
  <si>
    <t>Inventory units</t>
  </si>
  <si>
    <t>Total stock value</t>
  </si>
  <si>
    <t>Total Revenue</t>
  </si>
  <si>
    <t>Total Profit</t>
  </si>
  <si>
    <t>Out of stock items</t>
  </si>
  <si>
    <t>Inventory by Category</t>
  </si>
  <si>
    <t>Stock status distribution</t>
  </si>
  <si>
    <t>Top 10 Products revenue</t>
  </si>
  <si>
    <t>Profit by Category</t>
  </si>
  <si>
    <t>Reorder Analysis</t>
  </si>
  <si>
    <t>(All)</t>
  </si>
  <si>
    <t>Warehouse Value</t>
  </si>
  <si>
    <t>INVENTORY DETAILS</t>
  </si>
  <si>
    <t>Qty on hand</t>
  </si>
  <si>
    <t xml:space="preserve"> Inventory Value</t>
  </si>
  <si>
    <t>Revenue_30D</t>
  </si>
  <si>
    <t>Profit_30D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</si>
</sst>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0"/>
    <numFmt numFmtId="165" formatCode="\$#,##0"/>
    <numFmt numFmtId="166" formatCode="_(&quot;$&quot;* #,##0_);_(&quot;$&quot;* \(#,##0\);_(&quot;$&quot;* &quot;-&quot;??_);_(@_)"/>
    <numFmt numFmtId="167" formatCode="&quot;$&quot;#,##0.0,,&quot;M&quot;"/>
    <numFmt numFmtId="168" formatCode="&quot;$&quot;#,##0,&quot;K&quot;"/>
  </numFmts>
  <fonts count="13" x14ac:knownFonts="1">
    <font>
      <sz val="11"/>
      <color theme="1"/>
      <name val="Calibri"/>
      <family val="2"/>
      <scheme val="minor"/>
    </font>
    <font>
      <b/>
      <sz val="10"/>
      <color rgb="FFFFFFFF"/>
      <name val="Calibri"/>
    </font>
    <font>
      <b/>
      <sz val="11"/>
      <color rgb="FF9C0006"/>
      <name val="Calibri"/>
    </font>
    <font>
      <b/>
      <sz val="11"/>
      <color rgb="FF9C6500"/>
      <name val="Calibri"/>
    </font>
    <font>
      <b/>
      <sz val="11"/>
      <color rgb="FF006100"/>
      <name val="Calibri"/>
    </font>
    <font>
      <b/>
      <sz val="10"/>
      <color rgb="FFFFFFFF"/>
      <name val="Calibri"/>
      <family val="2"/>
    </font>
    <font>
      <sz val="11"/>
      <color theme="1"/>
      <name val="Segoe UI"/>
      <family val="2"/>
    </font>
    <font>
      <b/>
      <sz val="18"/>
      <color theme="0"/>
      <name val="Segoe UI"/>
      <family val="2"/>
    </font>
    <font>
      <b/>
      <sz val="10"/>
      <color theme="0"/>
      <name val="Segoe UI"/>
      <family val="2"/>
    </font>
    <font>
      <b/>
      <sz val="10"/>
      <color theme="1"/>
      <name val="Segoe UI"/>
      <family val="2"/>
    </font>
    <font>
      <b/>
      <sz val="20"/>
      <color rgb="FFFFC000"/>
      <name val="Segoe UI"/>
      <family val="2"/>
    </font>
    <font>
      <b/>
      <sz val="10"/>
      <color theme="0"/>
      <name val="Segoe UI"/>
    </font>
    <font>
      <b/>
      <sz val="10"/>
      <color theme="1"/>
      <name val="Segoe UI"/>
    </font>
  </fonts>
  <fills count="11">
    <fill>
      <patternFill patternType="none"/>
    </fill>
    <fill>
      <patternFill patternType="gray125"/>
    </fill>
    <fill>
      <patternFill patternType="solid">
        <fgColor rgb="FF1F4E78"/>
        <bgColor rgb="FF1F4E78"/>
      </patternFill>
    </fill>
    <fill>
      <patternFill patternType="solid">
        <fgColor rgb="FFFFC7CE"/>
        <bgColor rgb="FFFFC7CE"/>
      </patternFill>
    </fill>
    <fill>
      <patternFill patternType="solid">
        <fgColor rgb="FFFFEB9C"/>
        <bgColor rgb="FFFFEB9C"/>
      </patternFill>
    </fill>
    <fill>
      <patternFill patternType="solid">
        <fgColor rgb="FFC6EFCE"/>
        <bgColor rgb="FFC6EFCE"/>
      </patternFill>
    </fill>
    <fill>
      <patternFill patternType="solid">
        <fgColor rgb="FF002060"/>
        <bgColor indexed="64"/>
      </patternFill>
    </fill>
    <fill>
      <patternFill patternType="solid">
        <fgColor rgb="FF0F172A"/>
        <bgColor indexed="64"/>
      </patternFill>
    </fill>
    <fill>
      <patternFill patternType="solid">
        <fgColor rgb="FF1E293B"/>
        <bgColor indexed="64"/>
      </patternFill>
    </fill>
    <fill>
      <patternFill patternType="solid">
        <fgColor rgb="FF111827"/>
        <bgColor indexed="64"/>
      </patternFill>
    </fill>
    <fill>
      <patternFill patternType="solid">
        <fgColor theme="0"/>
        <bgColor indexed="64"/>
      </patternFill>
    </fill>
  </fills>
  <borders count="3">
    <border>
      <left/>
      <right/>
      <top/>
      <bottom/>
      <diagonal/>
    </border>
    <border>
      <left style="hair">
        <color auto="1"/>
      </left>
      <right style="hair">
        <color auto="1"/>
      </right>
      <top/>
      <bottom/>
      <diagonal/>
    </border>
    <border>
      <left style="thin">
        <color auto="1"/>
      </left>
      <right style="thin">
        <color auto="1"/>
      </right>
      <top/>
      <bottom style="thin">
        <color auto="1"/>
      </bottom>
      <diagonal/>
    </border>
  </borders>
  <cellStyleXfs count="1">
    <xf numFmtId="0" fontId="0" fillId="0" borderId="0"/>
  </cellStyleXfs>
  <cellXfs count="27">
    <xf numFmtId="0" fontId="0" fillId="0" borderId="0" xfId="0"/>
    <xf numFmtId="165" fontId="0" fillId="0" borderId="0" xfId="0" applyNumberFormat="1"/>
    <xf numFmtId="0" fontId="0" fillId="0" borderId="1" xfId="0" applyBorder="1"/>
    <xf numFmtId="1" fontId="0" fillId="0" borderId="1" xfId="0" applyNumberFormat="1" applyBorder="1"/>
    <xf numFmtId="164" fontId="0" fillId="0" borderId="1" xfId="0" applyNumberFormat="1" applyBorder="1"/>
    <xf numFmtId="164" fontId="2" fillId="3" borderId="1" xfId="0" applyNumberFormat="1" applyFont="1" applyFill="1" applyBorder="1"/>
    <xf numFmtId="164" fontId="3" fillId="4" borderId="1" xfId="0" applyNumberFormat="1" applyFont="1" applyFill="1" applyBorder="1"/>
    <xf numFmtId="164" fontId="4" fillId="5" borderId="1" xfId="0" applyNumberFormat="1" applyFont="1" applyFill="1" applyBorder="1"/>
    <xf numFmtId="0" fontId="1" fillId="2" borderId="2"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0" fillId="0" borderId="0" xfId="0" pivotButton="1"/>
    <xf numFmtId="1" fontId="0" fillId="0" borderId="0" xfId="0" applyNumberFormat="1"/>
    <xf numFmtId="0" fontId="0" fillId="0" borderId="0" xfId="0" applyAlignment="1">
      <alignment horizontal="left"/>
    </xf>
    <xf numFmtId="0" fontId="6" fillId="7" borderId="0" xfId="0" applyFont="1" applyFill="1"/>
    <xf numFmtId="166" fontId="0" fillId="0" borderId="0" xfId="0" applyNumberFormat="1"/>
    <xf numFmtId="167" fontId="0" fillId="0" borderId="0" xfId="0" applyNumberFormat="1"/>
    <xf numFmtId="0" fontId="0" fillId="9" borderId="0" xfId="0" applyFill="1"/>
    <xf numFmtId="0" fontId="6" fillId="10" borderId="0" xfId="0" applyFont="1" applyFill="1"/>
    <xf numFmtId="0" fontId="9" fillId="7" borderId="0" xfId="0" applyFont="1" applyFill="1"/>
    <xf numFmtId="0" fontId="8" fillId="9" borderId="0" xfId="0" applyFont="1" applyFill="1"/>
    <xf numFmtId="0" fontId="11" fillId="8" borderId="0" xfId="0" applyFont="1" applyFill="1"/>
    <xf numFmtId="0" fontId="12" fillId="0" borderId="0" xfId="0" applyFont="1"/>
    <xf numFmtId="1" fontId="12" fillId="0" borderId="0" xfId="0" applyNumberFormat="1" applyFont="1"/>
    <xf numFmtId="168" fontId="12" fillId="0" borderId="0" xfId="0" applyNumberFormat="1" applyFont="1"/>
    <xf numFmtId="167" fontId="12" fillId="0" borderId="0" xfId="0" applyNumberFormat="1" applyFont="1"/>
    <xf numFmtId="0" fontId="10" fillId="6" borderId="0" xfId="0" applyFont="1" applyFill="1" applyAlignment="1">
      <alignment horizontal="center"/>
    </xf>
    <xf numFmtId="0" fontId="7" fillId="6" borderId="0" xfId="0" applyFont="1" applyFill="1" applyAlignment="1">
      <alignment horizontal="center"/>
    </xf>
  </cellXfs>
  <cellStyles count="1">
    <cellStyle name="Normal" xfId="0" builtinId="0"/>
  </cellStyles>
  <dxfs count="4164">
    <dxf>
      <numFmt numFmtId="167" formatCode="&quot;$&quot;#,##0.0,,&quot;M&quot;"/>
    </dxf>
    <dxf>
      <numFmt numFmtId="167" formatCode="&quot;$&quot;#,##0.0,,&quot;M&quot;"/>
    </dxf>
    <dxf>
      <numFmt numFmtId="165" formatCode="\$#,##0"/>
    </dxf>
    <dxf>
      <numFmt numFmtId="166" formatCode="_(&quot;$&quot;* #,##0_);_(&quot;$&quot;* \(#,##0\);_(&quot;$&quot;* &quot;-&quot;??_);_(@_)"/>
    </dxf>
    <dxf>
      <numFmt numFmtId="165" formatCode="\$#,##0"/>
    </dxf>
    <dxf>
      <border diagonalUp="0" diagonalDown="0">
        <left style="hair">
          <color auto="1"/>
        </left>
        <right style="hair">
          <color auto="1"/>
        </right>
        <top/>
        <bottom/>
        <vertical/>
        <horizontal/>
      </border>
    </dxf>
    <dxf>
      <numFmt numFmtId="164" formatCode="\$#,##0.00"/>
      <border diagonalUp="0" diagonalDown="0">
        <left style="hair">
          <color auto="1"/>
        </left>
        <right style="hair">
          <color auto="1"/>
        </right>
        <top/>
        <bottom/>
        <vertical/>
        <horizontal/>
      </border>
    </dxf>
    <dxf>
      <numFmt numFmtId="164" formatCode="\$#,##0.00"/>
      <border diagonalUp="0" diagonalDown="0">
        <left style="hair">
          <color auto="1"/>
        </left>
        <right style="hair">
          <color auto="1"/>
        </right>
        <top/>
        <bottom/>
        <vertical/>
        <horizontal/>
      </border>
    </dxf>
    <dxf>
      <numFmt numFmtId="164" formatCode="\$#,##0.00"/>
      <border diagonalUp="0" diagonalDown="0">
        <left style="hair">
          <color auto="1"/>
        </left>
        <right style="hair">
          <color auto="1"/>
        </right>
        <top/>
        <bottom/>
        <vertical/>
        <horizontal/>
      </border>
    </dxf>
    <dxf>
      <numFmt numFmtId="164" formatCode="\$#,##0.00"/>
      <border diagonalUp="0" diagonalDown="0">
        <left style="hair">
          <color auto="1"/>
        </left>
        <right style="hair">
          <color auto="1"/>
        </right>
        <top/>
        <bottom/>
        <vertical/>
        <horizontal/>
      </border>
    </dxf>
    <dxf>
      <font>
        <b/>
        <i val="0"/>
        <strike val="0"/>
        <condense val="0"/>
        <extend val="0"/>
        <outline val="0"/>
        <shadow val="0"/>
        <u val="none"/>
        <vertAlign val="baseline"/>
        <sz val="11"/>
        <color rgb="FF006100"/>
        <name val="Calibri"/>
        <scheme val="none"/>
      </font>
      <numFmt numFmtId="164" formatCode="\$#,##0.00"/>
      <fill>
        <patternFill patternType="solid">
          <fgColor rgb="FFC6EFCE"/>
          <bgColor rgb="FFC6EFCE"/>
        </patternFill>
      </fill>
      <border diagonalUp="0" diagonalDown="0">
        <left style="hair">
          <color auto="1"/>
        </left>
        <right style="hair">
          <color auto="1"/>
        </right>
        <top/>
        <bottom/>
        <vertical/>
        <horizontal/>
      </border>
    </dxf>
    <dxf>
      <border diagonalUp="0" diagonalDown="0">
        <left style="hair">
          <color auto="1"/>
        </left>
        <right style="hair">
          <color auto="1"/>
        </right>
        <top/>
        <bottom/>
        <vertical/>
        <horizontal/>
      </border>
    </dxf>
    <dxf>
      <numFmt numFmtId="1" formatCode="0"/>
      <border diagonalUp="0" diagonalDown="0">
        <left style="hair">
          <color auto="1"/>
        </left>
        <right style="hair">
          <color auto="1"/>
        </right>
        <top/>
        <bottom/>
        <vertical/>
        <horizontal/>
      </border>
    </dxf>
    <dxf>
      <numFmt numFmtId="1" formatCode="0"/>
      <border diagonalUp="0" diagonalDown="0">
        <left style="hair">
          <color auto="1"/>
        </left>
        <right style="hair">
          <color auto="1"/>
        </right>
        <top/>
        <bottom/>
        <vertical/>
        <horizontal/>
      </border>
    </dxf>
    <dxf>
      <numFmt numFmtId="1" formatCode="0"/>
      <border diagonalUp="0" diagonalDown="0">
        <left style="hair">
          <color auto="1"/>
        </left>
        <right style="hair">
          <color auto="1"/>
        </right>
        <top/>
        <bottom/>
        <vertical/>
        <horizontal/>
      </border>
    </dxf>
    <dxf>
      <numFmt numFmtId="1" formatCode="0"/>
      <border diagonalUp="0" diagonalDown="0">
        <left style="hair">
          <color auto="1"/>
        </left>
        <right style="hair">
          <color auto="1"/>
        </right>
        <top/>
        <bottom/>
        <vertical/>
        <horizontal/>
      </border>
    </dxf>
    <dxf>
      <numFmt numFmtId="1" formatCode="0"/>
      <border diagonalUp="0" diagonalDown="0">
        <left style="hair">
          <color auto="1"/>
        </left>
        <right style="hair">
          <color auto="1"/>
        </right>
        <top/>
        <bottom/>
        <vertical/>
        <horizontal/>
      </border>
    </dxf>
    <dxf>
      <numFmt numFmtId="1" formatCode="0"/>
      <border diagonalUp="0" diagonalDown="0">
        <left style="hair">
          <color auto="1"/>
        </left>
        <right style="hair">
          <color auto="1"/>
        </right>
        <top/>
        <bottom/>
        <vertical/>
        <horizontal/>
      </border>
    </dxf>
    <dxf>
      <numFmt numFmtId="164" formatCode="\$#,##0.00"/>
      <border diagonalUp="0" diagonalDown="0">
        <left style="hair">
          <color auto="1"/>
        </left>
        <right style="hair">
          <color auto="1"/>
        </right>
        <top/>
        <bottom/>
        <vertical/>
        <horizontal/>
      </border>
    </dxf>
    <dxf>
      <numFmt numFmtId="164" formatCode="\$#,##0.00"/>
      <border diagonalUp="0" diagonalDown="0">
        <left style="hair">
          <color auto="1"/>
        </left>
        <right style="hair">
          <color auto="1"/>
        </right>
        <top/>
        <bottom/>
        <vertical/>
        <horizontal/>
      </border>
    </dxf>
    <dxf>
      <numFmt numFmtId="1" formatCode="0"/>
      <border diagonalUp="0" diagonalDown="0">
        <left style="hair">
          <color auto="1"/>
        </left>
        <right style="hair">
          <color auto="1"/>
        </right>
        <top/>
        <bottom/>
        <vertical/>
        <horizontal/>
      </border>
    </dxf>
    <dxf>
      <border diagonalUp="0" diagonalDown="0">
        <left style="hair">
          <color auto="1"/>
        </left>
        <right style="hair">
          <color auto="1"/>
        </right>
        <top/>
        <bottom/>
        <vertical/>
        <horizontal/>
      </border>
    </dxf>
    <dxf>
      <border diagonalUp="0" diagonalDown="0">
        <left style="hair">
          <color auto="1"/>
        </left>
        <right style="hair">
          <color auto="1"/>
        </right>
        <top/>
        <bottom/>
        <vertical/>
        <horizontal/>
      </border>
    </dxf>
    <dxf>
      <border diagonalUp="0" diagonalDown="0">
        <left style="hair">
          <color auto="1"/>
        </left>
        <right style="hair">
          <color auto="1"/>
        </right>
        <top/>
        <bottom/>
        <vertical/>
        <horizontal/>
      </border>
    </dxf>
    <dxf>
      <border diagonalUp="0" diagonalDown="0">
        <left style="hair">
          <color auto="1"/>
        </left>
        <right style="hair">
          <color auto="1"/>
        </right>
        <top/>
        <bottom/>
        <vertical/>
        <horizontal/>
      </border>
    </dxf>
    <dxf>
      <border diagonalUp="0" diagonalDown="0">
        <left style="hair">
          <color auto="1"/>
        </left>
        <right style="hair">
          <color auto="1"/>
        </right>
        <top/>
        <bottom/>
        <vertical/>
        <horizontal/>
      </border>
    </dxf>
    <dxf>
      <border diagonalUp="0" diagonalDown="0">
        <left style="hair">
          <color auto="1"/>
        </left>
        <right style="hair">
          <color auto="1"/>
        </right>
        <top/>
        <bottom/>
        <vertical/>
        <horizontal/>
      </border>
    </dxf>
    <dxf>
      <border outline="0">
        <top style="thin">
          <color auto="1"/>
        </top>
      </border>
    </dxf>
    <dxf>
      <border outline="0">
        <bottom style="thin">
          <color auto="1"/>
        </bottom>
      </border>
    </dxf>
    <dxf>
      <font>
        <b/>
        <i val="0"/>
        <strike val="0"/>
        <condense val="0"/>
        <extend val="0"/>
        <outline val="0"/>
        <shadow val="0"/>
        <u val="none"/>
        <vertAlign val="baseline"/>
        <sz val="10"/>
        <color rgb="FFFFFFFF"/>
        <name val="Calibri"/>
        <scheme val="none"/>
      </font>
      <fill>
        <patternFill patternType="solid">
          <fgColor rgb="FF1F4E78"/>
          <bgColor rgb="FF1F4E78"/>
        </patternFill>
      </fill>
      <alignment horizontal="center" vertical="center" textRotation="0" wrapText="1" indent="0" justifyLastLine="0" shrinkToFit="0" readingOrder="0"/>
      <border diagonalUp="0" diagonalDown="0" outline="0">
        <left style="thin">
          <color auto="1"/>
        </left>
        <right style="thin">
          <color auto="1"/>
        </right>
        <top/>
        <bottom/>
      </border>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numFmt numFmtId="167" formatCode="&quot;$&quot;#,##0.0,,&quot;M&quot;"/>
    </dxf>
    <dxf>
      <numFmt numFmtId="168" formatCode="&quot;$&quot;#,##0,&quot;K&quot;"/>
    </dxf>
    <dxf>
      <font>
        <color theme="0"/>
      </font>
    </dxf>
    <dxf>
      <fill>
        <patternFill patternType="solid">
          <bgColor rgb="FF1E293B"/>
        </patternFill>
      </fill>
    </dxf>
    <dxf>
      <font>
        <color theme="0"/>
      </font>
    </dxf>
    <dxf>
      <font>
        <color theme="0"/>
      </font>
    </dxf>
    <dxf>
      <font>
        <color theme="0"/>
      </font>
    </dxf>
    <dxf>
      <font>
        <color theme="0"/>
      </font>
    </dxf>
    <dxf>
      <font>
        <color theme="0"/>
      </font>
    </dxf>
    <dxf>
      <font>
        <color theme="0"/>
      </font>
    </dxf>
    <dxf>
      <fill>
        <patternFill patternType="solid">
          <bgColor rgb="FF1E293B"/>
        </patternFill>
      </fill>
    </dxf>
    <dxf>
      <fill>
        <patternFill patternType="solid">
          <bgColor rgb="FF1E293B"/>
        </patternFill>
      </fill>
    </dxf>
    <dxf>
      <fill>
        <patternFill patternType="solid">
          <bgColor rgb="FF1E293B"/>
        </patternFill>
      </fill>
    </dxf>
    <dxf>
      <fill>
        <patternFill patternType="solid">
          <bgColor rgb="FF1E293B"/>
        </patternFill>
      </fill>
    </dxf>
    <dxf>
      <fill>
        <patternFill patternType="solid">
          <bgColor rgb="FF1E293B"/>
        </patternFill>
      </fill>
    </dxf>
    <dxf>
      <fill>
        <patternFill patternType="solid">
          <bgColor rgb="FF1E293B"/>
        </patternFill>
      </fill>
    </dxf>
    <dxf>
      <font>
        <color rgb="FF15803D"/>
      </font>
      <fill>
        <patternFill>
          <bgColor rgb="FFDCFCE7"/>
        </patternFill>
      </fill>
    </dxf>
    <dxf>
      <font>
        <u val="none"/>
        <color rgb="FFD97706"/>
      </font>
      <fill>
        <patternFill>
          <bgColor rgb="FFFEF3C7"/>
        </patternFill>
      </fill>
    </dxf>
    <dxf>
      <font>
        <color rgb="FFDC2626"/>
      </font>
      <fill>
        <patternFill>
          <bgColor rgb="FFFEE2E2"/>
        </patternFill>
      </fill>
    </dxf>
    <dxf>
      <font>
        <b/>
        <i val="0"/>
        <color theme="0"/>
      </font>
      <fill>
        <patternFill>
          <bgColor rgb="FF10B981"/>
        </patternFill>
      </fill>
      <border>
        <left style="medium">
          <color rgb="FF059669"/>
        </left>
        <right style="medium">
          <color rgb="FF059669"/>
        </right>
        <top style="medium">
          <color rgb="FF059669"/>
        </top>
        <bottom style="medium">
          <color rgb="FF059669"/>
        </bottom>
      </border>
    </dxf>
    <dxf>
      <font>
        <color theme="0"/>
        <name val="Segoe UI"/>
        <family val="2"/>
        <scheme val="none"/>
      </font>
      <fill>
        <patternFill>
          <bgColor rgb="FF111827"/>
        </patternFill>
      </fill>
      <border>
        <left style="medium">
          <color rgb="FF374151"/>
        </left>
        <right style="medium">
          <color rgb="FF374151"/>
        </right>
        <top style="medium">
          <color rgb="FF374151"/>
        </top>
        <bottom style="medium">
          <color rgb="FF374151"/>
        </bottom>
      </border>
    </dxf>
  </dxfs>
  <tableStyles count="1" defaultTableStyle="TableStyleMedium9" defaultPivotStyle="PivotStyleLight16">
    <tableStyle name="Slicer Style 1" pivot="0" table="0" count="7" xr9:uid="{BD3406E2-593A-4D9F-93D3-D8A8D1230AE1}">
      <tableStyleElement type="wholeTable" dxfId="4163"/>
      <tableStyleElement type="headerRow" dxfId="4162"/>
    </tableStyle>
  </tableStyles>
  <colors>
    <mruColors>
      <color rgb="FF111827"/>
      <color rgb="FF8B5CF6"/>
      <color rgb="FF10B981"/>
      <color rgb="FF15803D"/>
      <color rgb="FF22C55E"/>
      <color rgb="FFDC2626"/>
      <color rgb="FFFEE2E2"/>
      <color rgb="FFD97706"/>
      <color rgb="FFFEF3C7"/>
      <color rgb="FFDCFCE7"/>
    </mruColors>
  </colors>
  <extLst>
    <ext xmlns:x14="http://schemas.microsoft.com/office/spreadsheetml/2009/9/main" uri="{46F421CA-312F-682f-3DD2-61675219B42D}">
      <x14:dxfs count="5">
        <dxf>
          <font>
            <color theme="0"/>
          </font>
          <fill>
            <patternFill>
              <bgColor rgb="FF34D399"/>
            </patternFill>
          </fill>
        </dxf>
        <dxf>
          <font>
            <color theme="0"/>
          </font>
          <fill>
            <patternFill>
              <bgColor rgb="FF6B7280"/>
            </patternFill>
          </fill>
        </dxf>
        <dxf>
          <font>
            <b/>
            <i val="0"/>
            <color theme="0"/>
          </font>
          <fill>
            <patternFill>
              <bgColor rgb="FF22C55E"/>
            </patternFill>
          </fill>
          <border>
            <left style="thin">
              <color rgb="FF16A34A"/>
            </left>
            <right style="thin">
              <color rgb="FF16A34A"/>
            </right>
            <top style="thin">
              <color rgb="FF16A34A"/>
            </top>
            <bottom style="thin">
              <color rgb="FF16A34A"/>
            </bottom>
          </border>
        </dxf>
        <dxf>
          <font>
            <color rgb="FF9CA3AF"/>
          </font>
          <fill>
            <patternFill>
              <bgColor rgb="FF374151"/>
            </patternFill>
          </fill>
        </dxf>
        <dxf>
          <font>
            <color theme="0"/>
          </font>
          <fill>
            <patternFill>
              <bgColor rgb="FF1F2937"/>
            </patternFill>
          </fill>
          <border>
            <left style="medium">
              <color rgb="FF374151"/>
            </left>
            <right style="medium">
              <color rgb="FF374151"/>
            </right>
            <top style="medium">
              <color rgb="FF374151"/>
            </top>
            <bottom style="medium">
              <color rgb="FF374151"/>
            </bottom>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4"/>
            <x14:slicerStyleElement type="unselectedItemWithNoData" dxfId="3"/>
            <x14:slicerStyleElement type="selectedItemWithData" dxfId="2"/>
            <x14:slicerStyleElement type="selectedItemWithNoData" dxfId="1"/>
            <x14:slicerStyleElement type="hoveredUn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[Interactive_Inventory_Dashboard.xlsx]Pivot tables!PivotTable8</c:name>
    <c:fmtId val="5"/>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200" b="1">
                <a:solidFill>
                  <a:schemeClr val="bg1"/>
                </a:solidFill>
                <a:latin typeface="Segoe UI" panose="020B0502040204020203" pitchFamily="34" charset="0"/>
                <a:cs typeface="Segoe UI" panose="020B0502040204020203" pitchFamily="34" charset="0"/>
              </a:rPr>
              <a:t>INVENTORY</a:t>
            </a:r>
            <a:r>
              <a:rPr lang="en-US" sz="1200" b="1" baseline="0">
                <a:solidFill>
                  <a:schemeClr val="bg1"/>
                </a:solidFill>
                <a:latin typeface="Segoe UI" panose="020B0502040204020203" pitchFamily="34" charset="0"/>
                <a:cs typeface="Segoe UI" panose="020B0502040204020203" pitchFamily="34" charset="0"/>
              </a:rPr>
              <a:t> BY CATEGORY</a:t>
            </a:r>
            <a:endParaRPr lang="en-US" sz="1200" b="1">
              <a:solidFill>
                <a:schemeClr val="bg1"/>
              </a:solidFill>
              <a:latin typeface="Segoe UI" panose="020B0502040204020203" pitchFamily="34" charset="0"/>
              <a:cs typeface="Segoe UI" panose="020B0502040204020203" pitchFamily="34" charset="0"/>
            </a:endParaRPr>
          </a:p>
        </c:rich>
      </c:tx>
      <c:layout>
        <c:manualLayout>
          <c:xMode val="edge"/>
          <c:yMode val="edge"/>
          <c:x val="0.30568739252421029"/>
          <c:y val="2.336860670194003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rgbClr val="22C55E"/>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22C55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2C55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tables'!$B$2</c:f>
              <c:strCache>
                <c:ptCount val="1"/>
                <c:pt idx="0">
                  <c:v>Total</c:v>
                </c:pt>
              </c:strCache>
            </c:strRef>
          </c:tx>
          <c:spPr>
            <a:solidFill>
              <a:srgbClr val="22C55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tables'!$A$3:$A$8</c:f>
              <c:strCache>
                <c:ptCount val="6"/>
                <c:pt idx="0">
                  <c:v>Apparel</c:v>
                </c:pt>
                <c:pt idx="1">
                  <c:v>Electronics</c:v>
                </c:pt>
                <c:pt idx="2">
                  <c:v>Fitness</c:v>
                </c:pt>
                <c:pt idx="3">
                  <c:v>Home &amp; Kitchen</c:v>
                </c:pt>
                <c:pt idx="4">
                  <c:v>Office</c:v>
                </c:pt>
                <c:pt idx="5">
                  <c:v>Stationery</c:v>
                </c:pt>
              </c:strCache>
            </c:strRef>
          </c:cat>
          <c:val>
            <c:numRef>
              <c:f>'Pivot tables'!$B$3:$B$8</c:f>
              <c:numCache>
                <c:formatCode>0</c:formatCode>
                <c:ptCount val="6"/>
                <c:pt idx="0">
                  <c:v>4789</c:v>
                </c:pt>
                <c:pt idx="1">
                  <c:v>6631</c:v>
                </c:pt>
                <c:pt idx="2">
                  <c:v>6661</c:v>
                </c:pt>
                <c:pt idx="3">
                  <c:v>4815</c:v>
                </c:pt>
                <c:pt idx="4">
                  <c:v>4852</c:v>
                </c:pt>
                <c:pt idx="5">
                  <c:v>6832</c:v>
                </c:pt>
              </c:numCache>
            </c:numRef>
          </c:val>
          <c:extLst>
            <c:ext xmlns:c16="http://schemas.microsoft.com/office/drawing/2014/chart" uri="{C3380CC4-5D6E-409C-BE32-E72D297353CC}">
              <c16:uniqueId val="{00000000-860C-4CBC-8089-A3E5A4DC8820}"/>
            </c:ext>
          </c:extLst>
        </c:ser>
        <c:dLbls>
          <c:showLegendKey val="0"/>
          <c:showVal val="0"/>
          <c:showCatName val="0"/>
          <c:showSerName val="0"/>
          <c:showPercent val="0"/>
          <c:showBubbleSize val="0"/>
        </c:dLbls>
        <c:gapWidth val="50"/>
        <c:overlap val="-27"/>
        <c:axId val="338332144"/>
        <c:axId val="338333104"/>
      </c:barChart>
      <c:catAx>
        <c:axId val="338332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38333104"/>
        <c:crosses val="autoZero"/>
        <c:auto val="1"/>
        <c:lblAlgn val="ctr"/>
        <c:lblOffset val="100"/>
        <c:noMultiLvlLbl val="0"/>
      </c:catAx>
      <c:valAx>
        <c:axId val="338333104"/>
        <c:scaling>
          <c:orientation val="minMax"/>
        </c:scaling>
        <c:delete val="0"/>
        <c:axPos val="l"/>
        <c:majorGridlines>
          <c:spPr>
            <a:ln w="9525" cap="flat" cmpd="sng" algn="ctr">
              <a:solidFill>
                <a:schemeClr val="bg1">
                  <a:lumMod val="7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38332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[Interactive_Inventory_Dashboard.xlsx]Pivot tables!PivotTable9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bg1"/>
                </a:solidFill>
                <a:latin typeface="Segoe UI" panose="020B0502040204020203" pitchFamily="34" charset="0"/>
                <a:cs typeface="Segoe UI" panose="020B0502040204020203" pitchFamily="34" charset="0"/>
              </a:rPr>
              <a:t>STOCK</a:t>
            </a:r>
            <a:r>
              <a:rPr lang="en-US" sz="1200" b="1" baseline="0">
                <a:solidFill>
                  <a:schemeClr val="bg1"/>
                </a:solidFill>
                <a:latin typeface="Segoe UI" panose="020B0502040204020203" pitchFamily="34" charset="0"/>
                <a:cs typeface="Segoe UI" panose="020B0502040204020203" pitchFamily="34" charset="0"/>
              </a:rPr>
              <a:t> STATUS</a:t>
            </a:r>
            <a:endParaRPr lang="en-US" sz="1200" b="1">
              <a:solidFill>
                <a:schemeClr val="bg1"/>
              </a:solidFill>
              <a:latin typeface="Segoe UI" panose="020B0502040204020203" pitchFamily="34" charset="0"/>
              <a:cs typeface="Segoe UI" panose="020B0502040204020203" pitchFamily="34" charset="0"/>
            </a:endParaRPr>
          </a:p>
        </c:rich>
      </c:tx>
      <c:layout>
        <c:manualLayout>
          <c:xMode val="edge"/>
          <c:yMode val="edge"/>
          <c:x val="0.37541162679796752"/>
          <c:y val="3.359828274244797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rgbClr val="002060"/>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borderCallout1">
                  <a:avLst/>
                </a:prstGeom>
                <a:noFill/>
                <a:ln>
                  <a:noFill/>
                </a:ln>
              </c15:spPr>
            </c:ext>
          </c:extLst>
        </c:dLbl>
      </c:pivotFmt>
      <c:pivotFmt>
        <c:idx val="1"/>
        <c:spPr>
          <a:solidFill>
            <a:srgbClr val="22C55E"/>
          </a:solidFill>
          <a:ln w="19050">
            <a:solidFill>
              <a:schemeClr val="lt1"/>
            </a:solidFill>
          </a:ln>
          <a:effectLst/>
        </c:spPr>
        <c:dLbl>
          <c:idx val="0"/>
          <c:layout>
            <c:manualLayout>
              <c:x val="0.16110352863240535"/>
              <c:y val="0.15172448344499748"/>
            </c:manualLayout>
          </c:layout>
          <c:spPr>
            <a:solidFill>
              <a:srgbClr val="002060"/>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borderCallout1">
                  <a:avLst/>
                </a:prstGeom>
                <a:noFill/>
                <a:ln>
                  <a:noFill/>
                </a:ln>
              </c15:spPr>
            </c:ext>
          </c:extLst>
        </c:dLbl>
      </c:pivotFmt>
      <c:pivotFmt>
        <c:idx val="2"/>
        <c:spPr>
          <a:solidFill>
            <a:srgbClr val="F59E0B"/>
          </a:solidFill>
          <a:ln w="19050">
            <a:solidFill>
              <a:schemeClr val="lt1"/>
            </a:solidFill>
          </a:ln>
          <a:effectLst/>
        </c:spPr>
        <c:dLbl>
          <c:idx val="0"/>
          <c:layout>
            <c:manualLayout>
              <c:x val="-0.11038575109998144"/>
              <c:y val="0.20066786520144825"/>
            </c:manualLayout>
          </c:layout>
          <c:spPr>
            <a:solidFill>
              <a:srgbClr val="002060"/>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borderCallout1">
                  <a:avLst/>
                </a:prstGeom>
                <a:noFill/>
                <a:ln>
                  <a:noFill/>
                </a:ln>
              </c15:spPr>
            </c:ext>
          </c:extLst>
        </c:dLbl>
      </c:pivotFmt>
      <c:pivotFmt>
        <c:idx val="3"/>
        <c:spPr>
          <a:solidFill>
            <a:srgbClr val="EF4444"/>
          </a:solidFill>
          <a:ln w="19050">
            <a:solidFill>
              <a:schemeClr val="lt1"/>
            </a:solidFill>
          </a:ln>
          <a:effectLst/>
        </c:spPr>
        <c:dLbl>
          <c:idx val="0"/>
          <c:layout>
            <c:manualLayout>
              <c:x val="-0.15513673127564959"/>
              <c:y val="-7.3415072634676198E-2"/>
            </c:manualLayout>
          </c:layout>
          <c:spPr>
            <a:solidFill>
              <a:srgbClr val="002060"/>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borderCallout1">
                  <a:avLst/>
                </a:prstGeom>
                <a:noFill/>
                <a:ln>
                  <a:noFill/>
                </a:ln>
              </c15:spPr>
            </c:ext>
          </c:extLst>
        </c:dLbl>
      </c:pivotFmt>
      <c:pivotFmt>
        <c:idx val="4"/>
        <c:spPr>
          <a:solidFill>
            <a:schemeClr val="accent1"/>
          </a:solidFill>
          <a:ln w="19050">
            <a:solidFill>
              <a:schemeClr val="lt1"/>
            </a:solidFill>
          </a:ln>
          <a:effectLst/>
        </c:spPr>
        <c:marker>
          <c:symbol val="none"/>
        </c:marker>
        <c:dLbl>
          <c:idx val="0"/>
          <c:spPr>
            <a:solidFill>
              <a:srgbClr val="002060"/>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borderCallout1">
                  <a:avLst/>
                </a:prstGeom>
                <a:noFill/>
                <a:ln>
                  <a:noFill/>
                </a:ln>
              </c15:spPr>
            </c:ext>
          </c:extLst>
        </c:dLbl>
      </c:pivotFmt>
      <c:pivotFmt>
        <c:idx val="5"/>
        <c:spPr>
          <a:solidFill>
            <a:srgbClr val="22C55E"/>
          </a:solidFill>
          <a:ln w="19050">
            <a:solidFill>
              <a:schemeClr val="lt1"/>
            </a:solidFill>
          </a:ln>
          <a:effectLst/>
        </c:spPr>
        <c:dLbl>
          <c:idx val="0"/>
          <c:layout>
            <c:manualLayout>
              <c:x val="0.16110352863240535"/>
              <c:y val="0.15172448344499748"/>
            </c:manualLayout>
          </c:layout>
          <c:spPr>
            <a:solidFill>
              <a:srgbClr val="002060"/>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borderCallout1">
                  <a:avLst/>
                </a:prstGeom>
                <a:noFill/>
                <a:ln>
                  <a:noFill/>
                </a:ln>
              </c15:spPr>
            </c:ext>
          </c:extLst>
        </c:dLbl>
      </c:pivotFmt>
      <c:pivotFmt>
        <c:idx val="6"/>
        <c:spPr>
          <a:solidFill>
            <a:srgbClr val="F59E0B"/>
          </a:solidFill>
          <a:ln w="19050">
            <a:solidFill>
              <a:schemeClr val="lt1"/>
            </a:solidFill>
          </a:ln>
          <a:effectLst/>
        </c:spPr>
        <c:dLbl>
          <c:idx val="0"/>
          <c:layout>
            <c:manualLayout>
              <c:x val="-0.11038575109998144"/>
              <c:y val="0.20066786520144825"/>
            </c:manualLayout>
          </c:layout>
          <c:spPr>
            <a:solidFill>
              <a:srgbClr val="002060"/>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borderCallout1">
                  <a:avLst/>
                </a:prstGeom>
                <a:noFill/>
                <a:ln>
                  <a:noFill/>
                </a:ln>
              </c15:spPr>
            </c:ext>
          </c:extLst>
        </c:dLbl>
      </c:pivotFmt>
      <c:pivotFmt>
        <c:idx val="7"/>
        <c:spPr>
          <a:solidFill>
            <a:srgbClr val="EF4444"/>
          </a:solidFill>
          <a:ln w="19050">
            <a:solidFill>
              <a:schemeClr val="lt1"/>
            </a:solidFill>
          </a:ln>
          <a:effectLst/>
        </c:spPr>
        <c:dLbl>
          <c:idx val="0"/>
          <c:layout>
            <c:manualLayout>
              <c:x val="-0.15513673127564959"/>
              <c:y val="-7.3415072634676198E-2"/>
            </c:manualLayout>
          </c:layout>
          <c:spPr>
            <a:solidFill>
              <a:srgbClr val="002060"/>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borderCallout1">
                  <a:avLst/>
                </a:prstGeom>
                <a:noFill/>
                <a:ln>
                  <a:noFill/>
                </a:ln>
              </c15:spPr>
            </c:ext>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rgbClr val="22C55E"/>
          </a:solidFill>
          <a:ln w="19050">
            <a:solidFill>
              <a:schemeClr val="lt1"/>
            </a:solidFill>
          </a:ln>
          <a:effectLst/>
        </c:spPr>
      </c:pivotFmt>
      <c:pivotFmt>
        <c:idx val="10"/>
        <c:spPr>
          <a:solidFill>
            <a:srgbClr val="F59E0B"/>
          </a:solidFill>
          <a:ln w="19050">
            <a:solidFill>
              <a:schemeClr val="lt1"/>
            </a:solidFill>
          </a:ln>
          <a:effectLst/>
        </c:spPr>
      </c:pivotFmt>
      <c:pivotFmt>
        <c:idx val="11"/>
        <c:spPr>
          <a:solidFill>
            <a:srgbClr val="EF4444"/>
          </a:solidFill>
          <a:ln w="19050">
            <a:solidFill>
              <a:schemeClr val="lt1"/>
            </a:solidFill>
          </a:ln>
          <a:effectLst/>
        </c:spPr>
      </c:pivotFmt>
    </c:pivotFmts>
    <c:plotArea>
      <c:layout/>
      <c:doughnutChart>
        <c:varyColors val="1"/>
        <c:ser>
          <c:idx val="0"/>
          <c:order val="0"/>
          <c:tx>
            <c:strRef>
              <c:f>'Pivot tables'!$E$2</c:f>
              <c:strCache>
                <c:ptCount val="1"/>
                <c:pt idx="0">
                  <c:v>Total</c:v>
                </c:pt>
              </c:strCache>
            </c:strRef>
          </c:tx>
          <c:dPt>
            <c:idx val="0"/>
            <c:bubble3D val="0"/>
            <c:spPr>
              <a:solidFill>
                <a:srgbClr val="22C55E"/>
              </a:solidFill>
              <a:ln w="19050">
                <a:solidFill>
                  <a:schemeClr val="lt1"/>
                </a:solidFill>
              </a:ln>
              <a:effectLst/>
            </c:spPr>
            <c:extLst>
              <c:ext xmlns:c16="http://schemas.microsoft.com/office/drawing/2014/chart" uri="{C3380CC4-5D6E-409C-BE32-E72D297353CC}">
                <c16:uniqueId val="{00000001-9E7F-4F79-A8E0-B1979F1F488B}"/>
              </c:ext>
            </c:extLst>
          </c:dPt>
          <c:dPt>
            <c:idx val="1"/>
            <c:bubble3D val="0"/>
            <c:spPr>
              <a:solidFill>
                <a:srgbClr val="F59E0B"/>
              </a:solidFill>
              <a:ln w="19050">
                <a:solidFill>
                  <a:schemeClr val="lt1"/>
                </a:solidFill>
              </a:ln>
              <a:effectLst/>
            </c:spPr>
            <c:extLst>
              <c:ext xmlns:c16="http://schemas.microsoft.com/office/drawing/2014/chart" uri="{C3380CC4-5D6E-409C-BE32-E72D297353CC}">
                <c16:uniqueId val="{00000003-9E7F-4F79-A8E0-B1979F1F488B}"/>
              </c:ext>
            </c:extLst>
          </c:dPt>
          <c:dPt>
            <c:idx val="2"/>
            <c:bubble3D val="0"/>
            <c:spPr>
              <a:solidFill>
                <a:srgbClr val="EF4444"/>
              </a:solidFill>
              <a:ln w="19050">
                <a:solidFill>
                  <a:schemeClr val="lt1"/>
                </a:solidFill>
              </a:ln>
              <a:effectLst/>
            </c:spPr>
            <c:extLst>
              <c:ext xmlns:c16="http://schemas.microsoft.com/office/drawing/2014/chart" uri="{C3380CC4-5D6E-409C-BE32-E72D297353CC}">
                <c16:uniqueId val="{00000005-9E7F-4F79-A8E0-B1979F1F488B}"/>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'Pivot tables'!$D$3:$D$5</c:f>
              <c:strCache>
                <c:ptCount val="3"/>
                <c:pt idx="0">
                  <c:v>In Stock</c:v>
                </c:pt>
                <c:pt idx="1">
                  <c:v>Low Stock</c:v>
                </c:pt>
                <c:pt idx="2">
                  <c:v>Out of Stock</c:v>
                </c:pt>
              </c:strCache>
            </c:strRef>
          </c:cat>
          <c:val>
            <c:numRef>
              <c:f>'Pivot tables'!$E$3:$E$5</c:f>
              <c:numCache>
                <c:formatCode>General</c:formatCode>
                <c:ptCount val="3"/>
                <c:pt idx="0">
                  <c:v>163</c:v>
                </c:pt>
                <c:pt idx="1">
                  <c:v>121</c:v>
                </c:pt>
                <c:pt idx="2">
                  <c:v>16</c:v>
                </c:pt>
              </c:numCache>
            </c:numRef>
          </c:val>
          <c:extLst>
            <c:ext xmlns:c16="http://schemas.microsoft.com/office/drawing/2014/chart" uri="{C3380CC4-5D6E-409C-BE32-E72D297353CC}">
              <c16:uniqueId val="{00000006-9E7F-4F79-A8E0-B1979F1F488B}"/>
            </c:ext>
          </c:extLst>
        </c:ser>
        <c:dLbls>
          <c:showLegendKey val="0"/>
          <c:showVal val="0"/>
          <c:showCatName val="0"/>
          <c:showSerName val="0"/>
          <c:showPercent val="0"/>
          <c:showBubbleSize val="0"/>
          <c:showLeaderLines val="0"/>
        </c:dLbls>
        <c:firstSliceAng val="0"/>
        <c:holeSize val="6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bg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[Interactive_Inventory_Dashboard.xlsx]Pivot tables!PivotTable10</c:name>
    <c:fmtId val="4"/>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1" baseline="0">
                <a:solidFill>
                  <a:schemeClr val="bg1"/>
                </a:solidFill>
                <a:latin typeface="Segoe UI" panose="020B0502040204020203" pitchFamily="34" charset="0"/>
                <a:cs typeface="Segoe UI" panose="020B0502040204020203" pitchFamily="34" charset="0"/>
              </a:rPr>
              <a:t>TOP 10 PRODUCTS BY REVENUE</a:t>
            </a:r>
            <a:endParaRPr lang="en-US" sz="1200" b="1">
              <a:solidFill>
                <a:schemeClr val="bg1"/>
              </a:solidFill>
              <a:latin typeface="Segoe UI" panose="020B0502040204020203" pitchFamily="34" charset="0"/>
              <a:cs typeface="Segoe UI" panose="020B0502040204020203" pitchFamily="34" charset="0"/>
            </a:endParaRPr>
          </a:p>
        </c:rich>
      </c:tx>
      <c:layout>
        <c:manualLayout>
          <c:xMode val="edge"/>
          <c:yMode val="edge"/>
          <c:x val="0.3386612488045736"/>
          <c:y val="2.7777777777777776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3B82F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3B82F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3B82F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tables'!$H$2</c:f>
              <c:strCache>
                <c:ptCount val="1"/>
                <c:pt idx="0">
                  <c:v>Total</c:v>
                </c:pt>
              </c:strCache>
            </c:strRef>
          </c:tx>
          <c:spPr>
            <a:solidFill>
              <a:srgbClr val="3B82F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tables'!$G$3:$G$12</c:f>
              <c:strCache>
                <c:ptCount val="10"/>
                <c:pt idx="0">
                  <c:v>Skipping Rope</c:v>
                </c:pt>
                <c:pt idx="1">
                  <c:v>Hoodie</c:v>
                </c:pt>
                <c:pt idx="2">
                  <c:v>Resistance Bands</c:v>
                </c:pt>
                <c:pt idx="3">
                  <c:v>Exercise Ball</c:v>
                </c:pt>
                <c:pt idx="4">
                  <c:v>Correction Fluid</c:v>
                </c:pt>
                <c:pt idx="5">
                  <c:v>USB Hub</c:v>
                </c:pt>
                <c:pt idx="6">
                  <c:v>Stapler</c:v>
                </c:pt>
                <c:pt idx="7">
                  <c:v>Push-up Bars</c:v>
                </c:pt>
                <c:pt idx="8">
                  <c:v>Desk Pad</c:v>
                </c:pt>
                <c:pt idx="9">
                  <c:v>Ballpoint Pens</c:v>
                </c:pt>
              </c:strCache>
            </c:strRef>
          </c:cat>
          <c:val>
            <c:numRef>
              <c:f>'Pivot tables'!$H$3:$H$12</c:f>
              <c:numCache>
                <c:formatCode>"$"#,##0.0,,"M"</c:formatCode>
                <c:ptCount val="10"/>
                <c:pt idx="0">
                  <c:v>1295099.17</c:v>
                </c:pt>
                <c:pt idx="1">
                  <c:v>1333197.0900000001</c:v>
                </c:pt>
                <c:pt idx="2">
                  <c:v>1338832.22</c:v>
                </c:pt>
                <c:pt idx="3">
                  <c:v>1345588.53</c:v>
                </c:pt>
                <c:pt idx="4">
                  <c:v>1398080.1400000001</c:v>
                </c:pt>
                <c:pt idx="5">
                  <c:v>1485868.07</c:v>
                </c:pt>
                <c:pt idx="6">
                  <c:v>1511006.4899999998</c:v>
                </c:pt>
                <c:pt idx="7">
                  <c:v>1520482.8099999998</c:v>
                </c:pt>
                <c:pt idx="8">
                  <c:v>1752441.7999999998</c:v>
                </c:pt>
                <c:pt idx="9">
                  <c:v>2819512.42</c:v>
                </c:pt>
              </c:numCache>
            </c:numRef>
          </c:val>
          <c:extLst>
            <c:ext xmlns:c16="http://schemas.microsoft.com/office/drawing/2014/chart" uri="{C3380CC4-5D6E-409C-BE32-E72D297353CC}">
              <c16:uniqueId val="{00000000-E14B-49EE-B468-5234ADC70813}"/>
            </c:ext>
          </c:extLst>
        </c:ser>
        <c:dLbls>
          <c:showLegendKey val="0"/>
          <c:showVal val="0"/>
          <c:showCatName val="0"/>
          <c:showSerName val="0"/>
          <c:showPercent val="0"/>
          <c:showBubbleSize val="0"/>
        </c:dLbls>
        <c:gapWidth val="40"/>
        <c:axId val="304108080"/>
        <c:axId val="304112880"/>
      </c:barChart>
      <c:catAx>
        <c:axId val="304108080"/>
        <c:scaling>
          <c:orientation val="minMax"/>
        </c:scaling>
        <c:delete val="0"/>
        <c:axPos val="l"/>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85000"/>
                  </a:schemeClr>
                </a:solidFill>
                <a:latin typeface="+mn-lt"/>
                <a:ea typeface="+mn-ea"/>
                <a:cs typeface="+mn-cs"/>
              </a:defRPr>
            </a:pPr>
            <a:endParaRPr lang="en-US"/>
          </a:p>
        </c:txPr>
        <c:crossAx val="304112880"/>
        <c:crosses val="autoZero"/>
        <c:auto val="1"/>
        <c:lblAlgn val="ctr"/>
        <c:lblOffset val="100"/>
        <c:noMultiLvlLbl val="0"/>
      </c:catAx>
      <c:valAx>
        <c:axId val="304112880"/>
        <c:scaling>
          <c:orientation val="minMax"/>
        </c:scaling>
        <c:delete val="1"/>
        <c:axPos val="b"/>
        <c:numFmt formatCode="&quot;$&quot;#,##0.0,,&quot;M&quot;" sourceLinked="1"/>
        <c:majorTickMark val="none"/>
        <c:minorTickMark val="none"/>
        <c:tickLblPos val="nextTo"/>
        <c:crossAx val="304108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[Interactive_Inventory_Dashboard.xlsx]Pivot tables!PivotTable11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bg1"/>
                </a:solidFill>
                <a:latin typeface="Segoe UI" panose="020B0502040204020203" pitchFamily="34" charset="0"/>
                <a:cs typeface="Segoe UI" panose="020B0502040204020203" pitchFamily="34" charset="0"/>
              </a:rPr>
              <a:t>PROFIT</a:t>
            </a:r>
            <a:r>
              <a:rPr lang="en-US" sz="1200" b="1" baseline="0">
                <a:solidFill>
                  <a:schemeClr val="bg1"/>
                </a:solidFill>
                <a:latin typeface="Segoe UI" panose="020B0502040204020203" pitchFamily="34" charset="0"/>
                <a:cs typeface="Segoe UI" panose="020B0502040204020203" pitchFamily="34" charset="0"/>
              </a:rPr>
              <a:t> BY CATEGORY</a:t>
            </a:r>
            <a:endParaRPr lang="en-US" sz="1200" b="1">
              <a:solidFill>
                <a:schemeClr val="bg1"/>
              </a:solidFill>
              <a:latin typeface="Segoe UI" panose="020B0502040204020203" pitchFamily="34" charset="0"/>
              <a:cs typeface="Segoe UI" panose="020B0502040204020203" pitchFamily="34" charset="0"/>
            </a:endParaRPr>
          </a:p>
        </c:rich>
      </c:tx>
      <c:layout>
        <c:manualLayout>
          <c:xMode val="edge"/>
          <c:yMode val="edge"/>
          <c:x val="0.37255390345114425"/>
          <c:y val="5.91644794400699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8B5CF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8B5CF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8B5CF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tables'!$K$2</c:f>
              <c:strCache>
                <c:ptCount val="1"/>
                <c:pt idx="0">
                  <c:v>Total</c:v>
                </c:pt>
              </c:strCache>
            </c:strRef>
          </c:tx>
          <c:spPr>
            <a:solidFill>
              <a:srgbClr val="8B5CF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og"/>
            <c:dispRSqr val="0"/>
            <c:dispEq val="0"/>
          </c:trendline>
          <c:cat>
            <c:strRef>
              <c:f>'Pivot tables'!$J$3:$J$8</c:f>
              <c:strCache>
                <c:ptCount val="6"/>
                <c:pt idx="0">
                  <c:v>Apparel</c:v>
                </c:pt>
                <c:pt idx="1">
                  <c:v>Electronics</c:v>
                </c:pt>
                <c:pt idx="2">
                  <c:v>Fitness</c:v>
                </c:pt>
                <c:pt idx="3">
                  <c:v>Home &amp; Kitchen</c:v>
                </c:pt>
                <c:pt idx="4">
                  <c:v>Office</c:v>
                </c:pt>
                <c:pt idx="5">
                  <c:v>Stationery</c:v>
                </c:pt>
              </c:strCache>
            </c:strRef>
          </c:cat>
          <c:val>
            <c:numRef>
              <c:f>'Pivot tables'!$K$3:$K$8</c:f>
              <c:numCache>
                <c:formatCode>"$"#,##0.0,,"M"</c:formatCode>
                <c:ptCount val="6"/>
                <c:pt idx="0">
                  <c:v>3230942.1199999996</c:v>
                </c:pt>
                <c:pt idx="1">
                  <c:v>2850230.6900000009</c:v>
                </c:pt>
                <c:pt idx="2">
                  <c:v>4416296.3400000008</c:v>
                </c:pt>
                <c:pt idx="3">
                  <c:v>3536246.9099999997</c:v>
                </c:pt>
                <c:pt idx="4">
                  <c:v>3757108.52</c:v>
                </c:pt>
                <c:pt idx="5">
                  <c:v>5147330.7599999988</c:v>
                </c:pt>
              </c:numCache>
            </c:numRef>
          </c:val>
          <c:extLst>
            <c:ext xmlns:c16="http://schemas.microsoft.com/office/drawing/2014/chart" uri="{C3380CC4-5D6E-409C-BE32-E72D297353CC}">
              <c16:uniqueId val="{00000001-6A85-4239-8E86-65E3917F3BA1}"/>
            </c:ext>
          </c:extLst>
        </c:ser>
        <c:dLbls>
          <c:showLegendKey val="0"/>
          <c:showVal val="0"/>
          <c:showCatName val="0"/>
          <c:showSerName val="0"/>
          <c:showPercent val="0"/>
          <c:showBubbleSize val="0"/>
        </c:dLbls>
        <c:gapWidth val="219"/>
        <c:overlap val="-27"/>
        <c:axId val="343606944"/>
        <c:axId val="343606464"/>
      </c:barChart>
      <c:catAx>
        <c:axId val="343606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85000"/>
                  </a:schemeClr>
                </a:solidFill>
                <a:latin typeface="+mn-lt"/>
                <a:ea typeface="+mn-ea"/>
                <a:cs typeface="+mn-cs"/>
              </a:defRPr>
            </a:pPr>
            <a:endParaRPr lang="en-US"/>
          </a:p>
        </c:txPr>
        <c:crossAx val="343606464"/>
        <c:crosses val="autoZero"/>
        <c:auto val="1"/>
        <c:lblAlgn val="ctr"/>
        <c:lblOffset val="100"/>
        <c:noMultiLvlLbl val="0"/>
      </c:catAx>
      <c:valAx>
        <c:axId val="343606464"/>
        <c:scaling>
          <c:orientation val="minMax"/>
        </c:scaling>
        <c:delete val="0"/>
        <c:axPos val="l"/>
        <c:numFmt formatCode="&quot;$&quot;#,##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85000"/>
                  </a:schemeClr>
                </a:solidFill>
                <a:latin typeface="+mn-lt"/>
                <a:ea typeface="+mn-ea"/>
                <a:cs typeface="+mn-cs"/>
              </a:defRPr>
            </a:pPr>
            <a:endParaRPr lang="en-US"/>
          </a:p>
        </c:txPr>
        <c:crossAx val="343606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[Interactive_Inventory_Dashboard.xlsx]Pivot tables!PivotTable12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latin typeface="Segoe UI" panose="020B0502040204020203" pitchFamily="34" charset="0"/>
                <a:cs typeface="Segoe UI" panose="020B0502040204020203" pitchFamily="34" charset="0"/>
              </a:rPr>
              <a:t>Warehouse</a:t>
            </a:r>
            <a:r>
              <a:rPr lang="en-US" b="1" baseline="0">
                <a:solidFill>
                  <a:schemeClr val="bg1"/>
                </a:solidFill>
                <a:latin typeface="Segoe UI" panose="020B0502040204020203" pitchFamily="34" charset="0"/>
                <a:cs typeface="Segoe UI" panose="020B0502040204020203" pitchFamily="34" charset="0"/>
              </a:rPr>
              <a:t> Value</a:t>
            </a:r>
            <a:endParaRPr lang="en-US" b="1">
              <a:solidFill>
                <a:schemeClr val="bg1"/>
              </a:solidFill>
              <a:latin typeface="Segoe UI" panose="020B0502040204020203" pitchFamily="34" charset="0"/>
              <a:cs typeface="Segoe UI" panose="020B0502040204020203" pitchFamily="34" charset="0"/>
            </a:endParaRPr>
          </a:p>
        </c:rich>
      </c:tx>
      <c:layout>
        <c:manualLayout>
          <c:xMode val="edge"/>
          <c:yMode val="edge"/>
          <c:x val="0.32099462567179105"/>
          <c:y val="2.24191424953669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6B6D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6B6D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6B6D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tables'!$N$2</c:f>
              <c:strCache>
                <c:ptCount val="1"/>
                <c:pt idx="0">
                  <c:v>Total</c:v>
                </c:pt>
              </c:strCache>
            </c:strRef>
          </c:tx>
          <c:spPr>
            <a:solidFill>
              <a:srgbClr val="06B6D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tables'!$M$3:$M$7</c:f>
              <c:strCache>
                <c:ptCount val="5"/>
                <c:pt idx="0">
                  <c:v>Bangalore WH</c:v>
                </c:pt>
                <c:pt idx="1">
                  <c:v>Delhi WH</c:v>
                </c:pt>
                <c:pt idx="2">
                  <c:v>Hyderabad WH</c:v>
                </c:pt>
                <c:pt idx="3">
                  <c:v>Mumbai WH</c:v>
                </c:pt>
                <c:pt idx="4">
                  <c:v>Pune WH</c:v>
                </c:pt>
              </c:strCache>
            </c:strRef>
          </c:cat>
          <c:val>
            <c:numRef>
              <c:f>'Pivot tables'!$N$3:$N$7</c:f>
              <c:numCache>
                <c:formatCode>0</c:formatCode>
                <c:ptCount val="5"/>
                <c:pt idx="0">
                  <c:v>7557814.049999998</c:v>
                </c:pt>
                <c:pt idx="1">
                  <c:v>7684295.0999999996</c:v>
                </c:pt>
                <c:pt idx="2">
                  <c:v>5974986.8599999994</c:v>
                </c:pt>
                <c:pt idx="3">
                  <c:v>8054665.46</c:v>
                </c:pt>
                <c:pt idx="4">
                  <c:v>5855197.2799999984</c:v>
                </c:pt>
              </c:numCache>
            </c:numRef>
          </c:val>
          <c:extLst>
            <c:ext xmlns:c16="http://schemas.microsoft.com/office/drawing/2014/chart" uri="{C3380CC4-5D6E-409C-BE32-E72D297353CC}">
              <c16:uniqueId val="{00000000-6614-4536-BDED-5690CAD6FDD0}"/>
            </c:ext>
          </c:extLst>
        </c:ser>
        <c:dLbls>
          <c:showLegendKey val="0"/>
          <c:showVal val="0"/>
          <c:showCatName val="0"/>
          <c:showSerName val="0"/>
          <c:showPercent val="0"/>
          <c:showBubbleSize val="0"/>
        </c:dLbls>
        <c:gapWidth val="182"/>
        <c:axId val="583337760"/>
        <c:axId val="583342080"/>
      </c:barChart>
      <c:catAx>
        <c:axId val="5833377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85000"/>
                  </a:schemeClr>
                </a:solidFill>
                <a:latin typeface="+mn-lt"/>
                <a:ea typeface="+mn-ea"/>
                <a:cs typeface="+mn-cs"/>
              </a:defRPr>
            </a:pPr>
            <a:endParaRPr lang="en-US"/>
          </a:p>
        </c:txPr>
        <c:crossAx val="583342080"/>
        <c:crosses val="autoZero"/>
        <c:auto val="1"/>
        <c:lblAlgn val="ctr"/>
        <c:lblOffset val="100"/>
        <c:noMultiLvlLbl val="0"/>
      </c:catAx>
      <c:valAx>
        <c:axId val="583342080"/>
        <c:scaling>
          <c:orientation val="minMax"/>
        </c:scaling>
        <c:delete val="1"/>
        <c:axPos val="b"/>
        <c:numFmt formatCode="0" sourceLinked="1"/>
        <c:majorTickMark val="none"/>
        <c:minorTickMark val="none"/>
        <c:tickLblPos val="nextTo"/>
        <c:crossAx val="583337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[Interactive_Inventory_Dashboard.xlsx]Pivot tables!PivotTable13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bg1"/>
                </a:solidFill>
                <a:latin typeface="Segoe UI" panose="020B0502040204020203" pitchFamily="34" charset="0"/>
                <a:cs typeface="Segoe UI" panose="020B0502040204020203" pitchFamily="34" charset="0"/>
              </a:rPr>
              <a:t>Products</a:t>
            </a:r>
            <a:r>
              <a:rPr lang="en-US" sz="1200" b="1" baseline="0">
                <a:solidFill>
                  <a:schemeClr val="bg1"/>
                </a:solidFill>
                <a:latin typeface="Segoe UI" panose="020B0502040204020203" pitchFamily="34" charset="0"/>
                <a:cs typeface="Segoe UI" panose="020B0502040204020203" pitchFamily="34" charset="0"/>
              </a:rPr>
              <a:t> Below Reorder Level</a:t>
            </a:r>
            <a:endParaRPr lang="en-US" sz="1200" b="1">
              <a:solidFill>
                <a:schemeClr val="bg1"/>
              </a:solidFill>
              <a:latin typeface="Segoe UI" panose="020B0502040204020203" pitchFamily="34" charset="0"/>
              <a:cs typeface="Segoe UI" panose="020B0502040204020203" pitchFamily="34" charset="0"/>
            </a:endParaRPr>
          </a:p>
        </c:rich>
      </c:tx>
      <c:layout>
        <c:manualLayout>
          <c:xMode val="edge"/>
          <c:yMode val="edge"/>
          <c:x val="0.26200678040244968"/>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11182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1182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59E0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tables'!$Q$3</c:f>
              <c:strCache>
                <c:ptCount val="1"/>
                <c:pt idx="0">
                  <c:v>Total</c:v>
                </c:pt>
              </c:strCache>
            </c:strRef>
          </c:tx>
          <c:spPr>
            <a:solidFill>
              <a:srgbClr val="F59E0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tables'!$P$4:$P$9</c:f>
              <c:strCache>
                <c:ptCount val="5"/>
                <c:pt idx="0">
                  <c:v>Bangalore WH</c:v>
                </c:pt>
                <c:pt idx="1">
                  <c:v>Delhi WH</c:v>
                </c:pt>
                <c:pt idx="2">
                  <c:v>Hyderabad WH</c:v>
                </c:pt>
                <c:pt idx="3">
                  <c:v>Mumbai WH</c:v>
                </c:pt>
                <c:pt idx="4">
                  <c:v>Pune WH</c:v>
                </c:pt>
              </c:strCache>
            </c:strRef>
          </c:cat>
          <c:val>
            <c:numRef>
              <c:f>'Pivot tables'!$Q$4:$Q$9</c:f>
              <c:numCache>
                <c:formatCode>0</c:formatCode>
                <c:ptCount val="5"/>
                <c:pt idx="0">
                  <c:v>27</c:v>
                </c:pt>
                <c:pt idx="1">
                  <c:v>32</c:v>
                </c:pt>
                <c:pt idx="2">
                  <c:v>14</c:v>
                </c:pt>
                <c:pt idx="3">
                  <c:v>31</c:v>
                </c:pt>
                <c:pt idx="4">
                  <c:v>22</c:v>
                </c:pt>
              </c:numCache>
            </c:numRef>
          </c:val>
          <c:extLst>
            <c:ext xmlns:c16="http://schemas.microsoft.com/office/drawing/2014/chart" uri="{C3380CC4-5D6E-409C-BE32-E72D297353CC}">
              <c16:uniqueId val="{00000000-41FD-42FE-8C30-089AF2AA7EDF}"/>
            </c:ext>
          </c:extLst>
        </c:ser>
        <c:dLbls>
          <c:showLegendKey val="0"/>
          <c:showVal val="0"/>
          <c:showCatName val="0"/>
          <c:showSerName val="0"/>
          <c:showPercent val="0"/>
          <c:showBubbleSize val="0"/>
        </c:dLbls>
        <c:gapWidth val="100"/>
        <c:overlap val="-27"/>
        <c:axId val="591026784"/>
        <c:axId val="591010944"/>
      </c:barChart>
      <c:catAx>
        <c:axId val="591026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85000"/>
                  </a:schemeClr>
                </a:solidFill>
                <a:latin typeface="+mn-lt"/>
                <a:ea typeface="+mn-ea"/>
                <a:cs typeface="+mn-cs"/>
              </a:defRPr>
            </a:pPr>
            <a:endParaRPr lang="en-US"/>
          </a:p>
        </c:txPr>
        <c:crossAx val="591010944"/>
        <c:crosses val="autoZero"/>
        <c:auto val="1"/>
        <c:lblAlgn val="ctr"/>
        <c:lblOffset val="100"/>
        <c:noMultiLvlLbl val="0"/>
      </c:catAx>
      <c:valAx>
        <c:axId val="59101094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85000"/>
                  </a:schemeClr>
                </a:solidFill>
                <a:latin typeface="+mn-lt"/>
                <a:ea typeface="+mn-ea"/>
                <a:cs typeface="+mn-cs"/>
              </a:defRPr>
            </a:pPr>
            <a:endParaRPr lang="en-US"/>
          </a:p>
        </c:txPr>
        <c:crossAx val="591026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chart" Target="../charts/chart5.xml"/><Relationship Id="rId3" Type="http://schemas.openxmlformats.org/officeDocument/2006/relationships/image" Target="../media/image3.jpeg"/><Relationship Id="rId7" Type="http://schemas.openxmlformats.org/officeDocument/2006/relationships/image" Target="../media/image7.png"/><Relationship Id="rId12" Type="http://schemas.openxmlformats.org/officeDocument/2006/relationships/chart" Target="../charts/chart4.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png"/><Relationship Id="rId10" Type="http://schemas.openxmlformats.org/officeDocument/2006/relationships/chart" Target="../charts/chart2.xml"/><Relationship Id="rId4" Type="http://schemas.openxmlformats.org/officeDocument/2006/relationships/image" Target="../media/image4.png"/><Relationship Id="rId9" Type="http://schemas.openxmlformats.org/officeDocument/2006/relationships/chart" Target="../charts/chart1.xml"/><Relationship Id="rId1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22860</xdr:rowOff>
    </xdr:from>
    <xdr:to>
      <xdr:col>25</xdr:col>
      <xdr:colOff>533400</xdr:colOff>
      <xdr:row>3</xdr:row>
      <xdr:rowOff>68580</xdr:rowOff>
    </xdr:to>
    <xdr:sp macro="" textlink="">
      <xdr:nvSpPr>
        <xdr:cNvPr id="2" name="Rectangle 1">
          <a:extLst>
            <a:ext uri="{FF2B5EF4-FFF2-40B4-BE49-F238E27FC236}">
              <a16:creationId xmlns:a16="http://schemas.microsoft.com/office/drawing/2014/main" id="{015C2B79-3B25-B09B-2A99-960FFC4D12AD}"/>
            </a:ext>
          </a:extLst>
        </xdr:cNvPr>
        <xdr:cNvSpPr/>
      </xdr:nvSpPr>
      <xdr:spPr>
        <a:xfrm>
          <a:off x="0" y="22860"/>
          <a:ext cx="21012150" cy="674370"/>
        </a:xfrm>
        <a:prstGeom prst="rect">
          <a:avLst/>
        </a:prstGeom>
        <a:solidFill>
          <a:srgbClr val="001B4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chemeClr val="bg1"/>
              </a:solidFill>
              <a:latin typeface="Segoe UI" panose="020B0502040204020203" pitchFamily="34" charset="0"/>
              <a:cs typeface="Segoe UI" panose="020B0502040204020203" pitchFamily="34" charset="0"/>
            </a:rPr>
            <a:t>         </a:t>
          </a:r>
          <a:r>
            <a:rPr lang="en-US" sz="1800" b="1">
              <a:solidFill>
                <a:srgbClr val="FFFF00"/>
              </a:solidFill>
              <a:latin typeface="Segoe UI" panose="020B0502040204020203" pitchFamily="34" charset="0"/>
              <a:cs typeface="Segoe UI" panose="020B0502040204020203" pitchFamily="34" charset="0"/>
            </a:rPr>
            <a:t>INVENTORY</a:t>
          </a:r>
          <a:r>
            <a:rPr lang="en-US" sz="1800" b="1">
              <a:solidFill>
                <a:schemeClr val="bg1"/>
              </a:solidFill>
              <a:latin typeface="Segoe UI" panose="020B0502040204020203" pitchFamily="34" charset="0"/>
              <a:cs typeface="Segoe UI" panose="020B0502040204020203" pitchFamily="34" charset="0"/>
            </a:rPr>
            <a:t> MANAGEMENT </a:t>
          </a:r>
          <a:r>
            <a:rPr lang="en-US" sz="1800" b="1">
              <a:solidFill>
                <a:srgbClr val="FFC000"/>
              </a:solidFill>
              <a:latin typeface="Segoe UI" panose="020B0502040204020203" pitchFamily="34" charset="0"/>
              <a:cs typeface="Segoe UI" panose="020B0502040204020203" pitchFamily="34" charset="0"/>
            </a:rPr>
            <a:t>DASHBOARD</a:t>
          </a:r>
        </a:p>
        <a:p>
          <a:pPr algn="l"/>
          <a:r>
            <a:rPr lang="en-US" sz="1100" b="1">
              <a:solidFill>
                <a:schemeClr val="bg1">
                  <a:lumMod val="75000"/>
                </a:schemeClr>
              </a:solidFill>
              <a:latin typeface="Segoe UI" panose="020B0502040204020203" pitchFamily="34" charset="0"/>
              <a:cs typeface="Segoe UI" panose="020B0502040204020203" pitchFamily="34" charset="0"/>
            </a:rPr>
            <a:t>                 </a:t>
          </a:r>
          <a:r>
            <a:rPr lang="en-US" sz="1050" b="1">
              <a:solidFill>
                <a:schemeClr val="bg1">
                  <a:lumMod val="75000"/>
                </a:schemeClr>
              </a:solidFill>
              <a:latin typeface="Segoe UI" panose="020B0502040204020203" pitchFamily="34" charset="0"/>
              <a:cs typeface="Segoe UI" panose="020B0502040204020203" pitchFamily="34" charset="0"/>
            </a:rPr>
            <a:t>Interactive</a:t>
          </a:r>
          <a:r>
            <a:rPr lang="en-US" sz="1050" b="1" baseline="0">
              <a:solidFill>
                <a:schemeClr val="bg1">
                  <a:lumMod val="75000"/>
                </a:schemeClr>
              </a:solidFill>
              <a:latin typeface="Segoe UI" panose="020B0502040204020203" pitchFamily="34" charset="0"/>
              <a:cs typeface="Segoe UI" panose="020B0502040204020203" pitchFamily="34" charset="0"/>
            </a:rPr>
            <a:t> Excel Dashboard | Pivot Tables | Slicer</a:t>
          </a:r>
          <a:endParaRPr lang="en-US" sz="1100" b="1">
            <a:solidFill>
              <a:schemeClr val="bg1">
                <a:lumMod val="75000"/>
              </a:schemeClr>
            </a:solidFill>
            <a:latin typeface="Segoe UI" panose="020B0502040204020203" pitchFamily="34" charset="0"/>
            <a:cs typeface="Segoe UI" panose="020B0502040204020203" pitchFamily="34" charset="0"/>
          </a:endParaRPr>
        </a:p>
      </xdr:txBody>
    </xdr:sp>
    <xdr:clientData/>
  </xdr:twoCellAnchor>
  <xdr:twoCellAnchor editAs="oneCell">
    <xdr:from>
      <xdr:col>0</xdr:col>
      <xdr:colOff>0</xdr:colOff>
      <xdr:row>0</xdr:row>
      <xdr:rowOff>76200</xdr:rowOff>
    </xdr:from>
    <xdr:to>
      <xdr:col>1</xdr:col>
      <xdr:colOff>24714</xdr:colOff>
      <xdr:row>3</xdr:row>
      <xdr:rowOff>83820</xdr:rowOff>
    </xdr:to>
    <xdr:pic>
      <xdr:nvPicPr>
        <xdr:cNvPr id="4" name="Picture 3">
          <a:extLst>
            <a:ext uri="{FF2B5EF4-FFF2-40B4-BE49-F238E27FC236}">
              <a16:creationId xmlns:a16="http://schemas.microsoft.com/office/drawing/2014/main" id="{AE3F590C-D7EF-566F-A381-6EA5979116B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6200"/>
          <a:ext cx="634314" cy="647700"/>
        </a:xfrm>
        <a:prstGeom prst="rect">
          <a:avLst/>
        </a:prstGeom>
      </xdr:spPr>
    </xdr:pic>
    <xdr:clientData/>
  </xdr:twoCellAnchor>
  <xdr:twoCellAnchor>
    <xdr:from>
      <xdr:col>3</xdr:col>
      <xdr:colOff>388620</xdr:colOff>
      <xdr:row>4</xdr:row>
      <xdr:rowOff>114300</xdr:rowOff>
    </xdr:from>
    <xdr:to>
      <xdr:col>6</xdr:col>
      <xdr:colOff>205740</xdr:colOff>
      <xdr:row>8</xdr:row>
      <xdr:rowOff>106680</xdr:rowOff>
    </xdr:to>
    <xdr:sp macro="" textlink="">
      <xdr:nvSpPr>
        <xdr:cNvPr id="5" name="Rectangle: Rounded Corners 4">
          <a:extLst>
            <a:ext uri="{FF2B5EF4-FFF2-40B4-BE49-F238E27FC236}">
              <a16:creationId xmlns:a16="http://schemas.microsoft.com/office/drawing/2014/main" id="{83383AB7-F6B0-DE47-E6ED-84A19DBED724}"/>
            </a:ext>
          </a:extLst>
        </xdr:cNvPr>
        <xdr:cNvSpPr/>
      </xdr:nvSpPr>
      <xdr:spPr>
        <a:xfrm>
          <a:off x="2217420" y="967740"/>
          <a:ext cx="1645920" cy="845820"/>
        </a:xfrm>
        <a:prstGeom prst="roundRect">
          <a:avLst/>
        </a:prstGeom>
        <a:solidFill>
          <a:schemeClr val="bg1"/>
        </a:solidFill>
        <a:ln>
          <a:solidFill>
            <a:srgbClr val="22C55E"/>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chemeClr val="tx1"/>
              </a:solidFill>
              <a:effectLst>
                <a:outerShdw blurRad="50800" dist="38100" dir="2700000" algn="tl" rotWithShape="0">
                  <a:prstClr val="black">
                    <a:alpha val="40000"/>
                  </a:prstClr>
                </a:outerShdw>
              </a:effectLst>
            </a:rPr>
            <a:t>     Total Products</a:t>
          </a:r>
        </a:p>
      </xdr:txBody>
    </xdr:sp>
    <xdr:clientData/>
  </xdr:twoCellAnchor>
  <xdr:twoCellAnchor>
    <xdr:from>
      <xdr:col>20</xdr:col>
      <xdr:colOff>327660</xdr:colOff>
      <xdr:row>4</xdr:row>
      <xdr:rowOff>160020</xdr:rowOff>
    </xdr:from>
    <xdr:to>
      <xdr:col>23</xdr:col>
      <xdr:colOff>144780</xdr:colOff>
      <xdr:row>8</xdr:row>
      <xdr:rowOff>114300</xdr:rowOff>
    </xdr:to>
    <xdr:sp macro="" textlink="">
      <xdr:nvSpPr>
        <xdr:cNvPr id="7" name="Rectangle: Rounded Corners 6">
          <a:extLst>
            <a:ext uri="{FF2B5EF4-FFF2-40B4-BE49-F238E27FC236}">
              <a16:creationId xmlns:a16="http://schemas.microsoft.com/office/drawing/2014/main" id="{DB12B31E-1597-E93C-D9A6-0DC68365C9A3}"/>
            </a:ext>
          </a:extLst>
        </xdr:cNvPr>
        <xdr:cNvSpPr/>
      </xdr:nvSpPr>
      <xdr:spPr>
        <a:xfrm>
          <a:off x="12519660" y="1013460"/>
          <a:ext cx="1645920" cy="807720"/>
        </a:xfrm>
        <a:prstGeom prst="roundRect">
          <a:avLst/>
        </a:prstGeom>
        <a:solidFill>
          <a:schemeClr val="bg1"/>
        </a:solidFill>
        <a:ln>
          <a:solidFill>
            <a:srgbClr val="EF4444"/>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tx1"/>
              </a:solidFill>
              <a:effectLst>
                <a:outerShdw blurRad="50800" dist="38100" dir="2700000" algn="tl" rotWithShape="0">
                  <a:prstClr val="black">
                    <a:alpha val="40000"/>
                  </a:prstClr>
                </a:outerShdw>
              </a:effectLst>
            </a:rPr>
            <a:t>       Out of Stock Items</a:t>
          </a:r>
        </a:p>
      </xdr:txBody>
    </xdr:sp>
    <xdr:clientData/>
  </xdr:twoCellAnchor>
  <xdr:twoCellAnchor>
    <xdr:from>
      <xdr:col>17</xdr:col>
      <xdr:colOff>441960</xdr:colOff>
      <xdr:row>4</xdr:row>
      <xdr:rowOff>167640</xdr:rowOff>
    </xdr:from>
    <xdr:to>
      <xdr:col>20</xdr:col>
      <xdr:colOff>259080</xdr:colOff>
      <xdr:row>8</xdr:row>
      <xdr:rowOff>129540</xdr:rowOff>
    </xdr:to>
    <xdr:sp macro="" textlink="">
      <xdr:nvSpPr>
        <xdr:cNvPr id="8" name="Rectangle: Rounded Corners 7">
          <a:extLst>
            <a:ext uri="{FF2B5EF4-FFF2-40B4-BE49-F238E27FC236}">
              <a16:creationId xmlns:a16="http://schemas.microsoft.com/office/drawing/2014/main" id="{7833347F-A7AB-113A-A470-21593F438040}"/>
            </a:ext>
          </a:extLst>
        </xdr:cNvPr>
        <xdr:cNvSpPr/>
      </xdr:nvSpPr>
      <xdr:spPr>
        <a:xfrm>
          <a:off x="10805160" y="1021080"/>
          <a:ext cx="1645920" cy="815340"/>
        </a:xfrm>
        <a:prstGeom prst="roundRect">
          <a:avLst/>
        </a:prstGeom>
        <a:solidFill>
          <a:schemeClr val="bg1"/>
        </a:solidFill>
        <a:ln>
          <a:solidFill>
            <a:srgbClr val="F59E0B"/>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tx1"/>
              </a:solidFill>
              <a:effectLst>
                <a:outerShdw blurRad="50800" dist="38100" dir="2700000" algn="tl" rotWithShape="0">
                  <a:prstClr val="black">
                    <a:alpha val="40000"/>
                  </a:prstClr>
                </a:outerShdw>
              </a:effectLst>
            </a:rPr>
            <a:t>                        Low Stock Items</a:t>
          </a:r>
        </a:p>
      </xdr:txBody>
    </xdr:sp>
    <xdr:clientData/>
  </xdr:twoCellAnchor>
  <xdr:twoCellAnchor>
    <xdr:from>
      <xdr:col>6</xdr:col>
      <xdr:colOff>274320</xdr:colOff>
      <xdr:row>4</xdr:row>
      <xdr:rowOff>114300</xdr:rowOff>
    </xdr:from>
    <xdr:to>
      <xdr:col>9</xdr:col>
      <xdr:colOff>91440</xdr:colOff>
      <xdr:row>8</xdr:row>
      <xdr:rowOff>91440</xdr:rowOff>
    </xdr:to>
    <xdr:sp macro="" textlink="">
      <xdr:nvSpPr>
        <xdr:cNvPr id="9" name="Rectangle: Rounded Corners 8">
          <a:extLst>
            <a:ext uri="{FF2B5EF4-FFF2-40B4-BE49-F238E27FC236}">
              <a16:creationId xmlns:a16="http://schemas.microsoft.com/office/drawing/2014/main" id="{D7DB8697-0C09-16DE-495E-79583DA59D6E}"/>
            </a:ext>
          </a:extLst>
        </xdr:cNvPr>
        <xdr:cNvSpPr/>
      </xdr:nvSpPr>
      <xdr:spPr>
        <a:xfrm>
          <a:off x="3931920" y="967740"/>
          <a:ext cx="1645920" cy="830580"/>
        </a:xfrm>
        <a:prstGeom prst="roundRect">
          <a:avLst>
            <a:gd name="adj" fmla="val 14943"/>
          </a:avLst>
        </a:prstGeom>
        <a:solidFill>
          <a:schemeClr val="bg1"/>
        </a:solidFill>
        <a:ln>
          <a:solidFill>
            <a:srgbClr val="14B8A6"/>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chemeClr val="tx1"/>
              </a:solidFill>
              <a:effectLst>
                <a:outerShdw blurRad="50800" dist="38100" dir="2700000" algn="tl" rotWithShape="0">
                  <a:prstClr val="black">
                    <a:alpha val="40000"/>
                  </a:prstClr>
                </a:outerShdw>
              </a:effectLst>
            </a:rPr>
            <a:t>     Inventory Units</a:t>
          </a:r>
        </a:p>
      </xdr:txBody>
    </xdr:sp>
    <xdr:clientData/>
  </xdr:twoCellAnchor>
  <xdr:twoCellAnchor>
    <xdr:from>
      <xdr:col>9</xdr:col>
      <xdr:colOff>144780</xdr:colOff>
      <xdr:row>4</xdr:row>
      <xdr:rowOff>121920</xdr:rowOff>
    </xdr:from>
    <xdr:to>
      <xdr:col>11</xdr:col>
      <xdr:colOff>571500</xdr:colOff>
      <xdr:row>8</xdr:row>
      <xdr:rowOff>106680</xdr:rowOff>
    </xdr:to>
    <xdr:sp macro="" textlink="">
      <xdr:nvSpPr>
        <xdr:cNvPr id="10" name="Rectangle: Rounded Corners 9">
          <a:extLst>
            <a:ext uri="{FF2B5EF4-FFF2-40B4-BE49-F238E27FC236}">
              <a16:creationId xmlns:a16="http://schemas.microsoft.com/office/drawing/2014/main" id="{5D8460BB-E13D-E1F6-3F19-F4F676822ACE}"/>
            </a:ext>
          </a:extLst>
        </xdr:cNvPr>
        <xdr:cNvSpPr/>
      </xdr:nvSpPr>
      <xdr:spPr>
        <a:xfrm>
          <a:off x="6797040" y="975360"/>
          <a:ext cx="2247900" cy="838200"/>
        </a:xfrm>
        <a:prstGeom prst="roundRect">
          <a:avLst/>
        </a:prstGeom>
        <a:solidFill>
          <a:schemeClr val="bg1"/>
        </a:solidFill>
        <a:ln>
          <a:solidFill>
            <a:srgbClr val="16A34A"/>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chemeClr val="tx1"/>
              </a:solidFill>
              <a:effectLst>
                <a:outerShdw blurRad="50800" dist="38100" dir="2700000" algn="tl" rotWithShape="0">
                  <a:prstClr val="black">
                    <a:alpha val="40000"/>
                  </a:prstClr>
                </a:outerShdw>
              </a:effectLst>
            </a:rPr>
            <a:t>      Total Stock Value</a:t>
          </a:r>
        </a:p>
      </xdr:txBody>
    </xdr:sp>
    <xdr:clientData/>
  </xdr:twoCellAnchor>
  <xdr:twoCellAnchor>
    <xdr:from>
      <xdr:col>12</xdr:col>
      <xdr:colOff>45720</xdr:colOff>
      <xdr:row>4</xdr:row>
      <xdr:rowOff>129540</xdr:rowOff>
    </xdr:from>
    <xdr:to>
      <xdr:col>14</xdr:col>
      <xdr:colOff>472440</xdr:colOff>
      <xdr:row>8</xdr:row>
      <xdr:rowOff>121920</xdr:rowOff>
    </xdr:to>
    <xdr:sp macro="" textlink="">
      <xdr:nvSpPr>
        <xdr:cNvPr id="11" name="Rectangle: Rounded Corners 10">
          <a:extLst>
            <a:ext uri="{FF2B5EF4-FFF2-40B4-BE49-F238E27FC236}">
              <a16:creationId xmlns:a16="http://schemas.microsoft.com/office/drawing/2014/main" id="{1868D2A1-C69A-A853-EC73-B83B20FA5A5B}"/>
            </a:ext>
          </a:extLst>
        </xdr:cNvPr>
        <xdr:cNvSpPr/>
      </xdr:nvSpPr>
      <xdr:spPr>
        <a:xfrm>
          <a:off x="7360920" y="982980"/>
          <a:ext cx="1645920" cy="845820"/>
        </a:xfrm>
        <a:prstGeom prst="roundRect">
          <a:avLst/>
        </a:prstGeom>
        <a:solidFill>
          <a:schemeClr val="bg1"/>
        </a:solidFill>
        <a:ln>
          <a:solidFill>
            <a:srgbClr val="2563EB"/>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chemeClr val="tx1"/>
              </a:solidFill>
              <a:effectLst>
                <a:outerShdw blurRad="50800" dist="38100" dir="2700000" algn="tl" rotWithShape="0">
                  <a:prstClr val="black">
                    <a:alpha val="40000"/>
                  </a:prstClr>
                </a:outerShdw>
              </a:effectLst>
            </a:rPr>
            <a:t>      Sales Revenue (30D)</a:t>
          </a:r>
        </a:p>
      </xdr:txBody>
    </xdr:sp>
    <xdr:clientData/>
  </xdr:twoCellAnchor>
  <xdr:twoCellAnchor>
    <xdr:from>
      <xdr:col>14</xdr:col>
      <xdr:colOff>556260</xdr:colOff>
      <xdr:row>4</xdr:row>
      <xdr:rowOff>144780</xdr:rowOff>
    </xdr:from>
    <xdr:to>
      <xdr:col>17</xdr:col>
      <xdr:colOff>373380</xdr:colOff>
      <xdr:row>8</xdr:row>
      <xdr:rowOff>144780</xdr:rowOff>
    </xdr:to>
    <xdr:sp macro="" textlink="">
      <xdr:nvSpPr>
        <xdr:cNvPr id="12" name="Rectangle: Rounded Corners 11">
          <a:extLst>
            <a:ext uri="{FF2B5EF4-FFF2-40B4-BE49-F238E27FC236}">
              <a16:creationId xmlns:a16="http://schemas.microsoft.com/office/drawing/2014/main" id="{4DF52E42-F1E2-AA4E-7521-00C9D3F51D1E}"/>
            </a:ext>
          </a:extLst>
        </xdr:cNvPr>
        <xdr:cNvSpPr/>
      </xdr:nvSpPr>
      <xdr:spPr>
        <a:xfrm>
          <a:off x="9090660" y="998220"/>
          <a:ext cx="1645920" cy="853440"/>
        </a:xfrm>
        <a:prstGeom prst="roundRect">
          <a:avLst/>
        </a:prstGeom>
        <a:solidFill>
          <a:schemeClr val="bg1"/>
        </a:solidFill>
        <a:ln>
          <a:solidFill>
            <a:srgbClr val="7C3AED"/>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chemeClr val="tx1"/>
              </a:solidFill>
              <a:effectLst>
                <a:outerShdw blurRad="50800" dist="38100" dir="2700000" algn="tl" rotWithShape="0">
                  <a:prstClr val="black">
                    <a:alpha val="40000"/>
                  </a:prstClr>
                </a:outerShdw>
              </a:effectLst>
            </a:rPr>
            <a:t>      Gross</a:t>
          </a:r>
          <a:r>
            <a:rPr lang="en-US" sz="1100" b="1" baseline="0">
              <a:solidFill>
                <a:schemeClr val="tx1"/>
              </a:solidFill>
              <a:effectLst>
                <a:outerShdw blurRad="50800" dist="38100" dir="2700000" algn="tl" rotWithShape="0">
                  <a:prstClr val="black">
                    <a:alpha val="40000"/>
                  </a:prstClr>
                </a:outerShdw>
              </a:effectLst>
            </a:rPr>
            <a:t> Profit (30D)</a:t>
          </a:r>
          <a:endParaRPr lang="en-US" sz="1100" b="1">
            <a:solidFill>
              <a:schemeClr val="tx1"/>
            </a:solidFill>
            <a:effectLst>
              <a:outerShdw blurRad="50800" dist="38100" dir="2700000" algn="tl" rotWithShape="0">
                <a:prstClr val="black">
                  <a:alpha val="40000"/>
                </a:prstClr>
              </a:outerShdw>
            </a:effectLst>
          </a:endParaRPr>
        </a:p>
      </xdr:txBody>
    </xdr:sp>
    <xdr:clientData/>
  </xdr:twoCellAnchor>
  <xdr:twoCellAnchor>
    <xdr:from>
      <xdr:col>4</xdr:col>
      <xdr:colOff>381000</xdr:colOff>
      <xdr:row>5</xdr:row>
      <xdr:rowOff>129540</xdr:rowOff>
    </xdr:from>
    <xdr:to>
      <xdr:col>6</xdr:col>
      <xdr:colOff>83820</xdr:colOff>
      <xdr:row>7</xdr:row>
      <xdr:rowOff>76200</xdr:rowOff>
    </xdr:to>
    <xdr:sp macro="" textlink="'KPI formulas'!A3">
      <xdr:nvSpPr>
        <xdr:cNvPr id="13" name="TextBox 12">
          <a:extLst>
            <a:ext uri="{FF2B5EF4-FFF2-40B4-BE49-F238E27FC236}">
              <a16:creationId xmlns:a16="http://schemas.microsoft.com/office/drawing/2014/main" id="{5FF5FD55-137C-B190-719B-FAB5F31D2221}"/>
            </a:ext>
          </a:extLst>
        </xdr:cNvPr>
        <xdr:cNvSpPr txBox="1"/>
      </xdr:nvSpPr>
      <xdr:spPr>
        <a:xfrm>
          <a:off x="2819400" y="1196340"/>
          <a:ext cx="922020"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20F934B-1161-4793-86BF-AC4388123112}" type="TxLink">
            <a:rPr lang="en-US" sz="2000" b="1" i="0" u="none" strike="noStrike">
              <a:solidFill>
                <a:srgbClr val="000000"/>
              </a:solidFill>
              <a:latin typeface="Calibri"/>
              <a:ea typeface="Calibri"/>
              <a:cs typeface="Calibri"/>
            </a:rPr>
            <a:pPr algn="ctr"/>
            <a:t>300</a:t>
          </a:fld>
          <a:endParaRPr lang="en-US" sz="2000" b="1" i="0" u="none" strike="noStrike">
            <a:solidFill>
              <a:srgbClr val="000000"/>
            </a:solidFill>
            <a:latin typeface="Calibri"/>
            <a:ea typeface="Calibri"/>
            <a:cs typeface="Calibri"/>
          </a:endParaRPr>
        </a:p>
        <a:p>
          <a:pPr algn="ctr"/>
          <a:endParaRPr lang="en-US" sz="2000" b="1"/>
        </a:p>
      </xdr:txBody>
    </xdr:sp>
    <xdr:clientData/>
  </xdr:twoCellAnchor>
  <xdr:twoCellAnchor>
    <xdr:from>
      <xdr:col>4</xdr:col>
      <xdr:colOff>678180</xdr:colOff>
      <xdr:row>7</xdr:row>
      <xdr:rowOff>38100</xdr:rowOff>
    </xdr:from>
    <xdr:to>
      <xdr:col>5</xdr:col>
      <xdr:colOff>845820</xdr:colOff>
      <xdr:row>8</xdr:row>
      <xdr:rowOff>60960</xdr:rowOff>
    </xdr:to>
    <xdr:sp macro="" textlink="">
      <xdr:nvSpPr>
        <xdr:cNvPr id="14" name="TextBox 13">
          <a:extLst>
            <a:ext uri="{FF2B5EF4-FFF2-40B4-BE49-F238E27FC236}">
              <a16:creationId xmlns:a16="http://schemas.microsoft.com/office/drawing/2014/main" id="{3AD20F95-1DE7-6CA1-F122-05D367744B53}"/>
            </a:ext>
          </a:extLst>
        </xdr:cNvPr>
        <xdr:cNvSpPr txBox="1"/>
      </xdr:nvSpPr>
      <xdr:spPr>
        <a:xfrm>
          <a:off x="3116580" y="1531620"/>
          <a:ext cx="89916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50" b="1">
              <a:solidFill>
                <a:schemeClr val="tx1">
                  <a:lumMod val="75000"/>
                  <a:lumOff val="25000"/>
                </a:schemeClr>
              </a:solidFill>
            </a:rPr>
            <a:t>SKUs</a:t>
          </a:r>
        </a:p>
      </xdr:txBody>
    </xdr:sp>
    <xdr:clientData/>
  </xdr:twoCellAnchor>
  <xdr:twoCellAnchor editAs="oneCell">
    <xdr:from>
      <xdr:col>6</xdr:col>
      <xdr:colOff>358141</xdr:colOff>
      <xdr:row>5</xdr:row>
      <xdr:rowOff>205741</xdr:rowOff>
    </xdr:from>
    <xdr:to>
      <xdr:col>6</xdr:col>
      <xdr:colOff>815340</xdr:colOff>
      <xdr:row>8</xdr:row>
      <xdr:rowOff>22860</xdr:rowOff>
    </xdr:to>
    <xdr:pic>
      <xdr:nvPicPr>
        <xdr:cNvPr id="19" name="Picture 18">
          <a:extLst>
            <a:ext uri="{FF2B5EF4-FFF2-40B4-BE49-F238E27FC236}">
              <a16:creationId xmlns:a16="http://schemas.microsoft.com/office/drawing/2014/main" id="{389AE8EB-BFD9-6B51-06EF-AB5BC19478E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015741" y="1272541"/>
          <a:ext cx="457199" cy="457199"/>
        </a:xfrm>
        <a:prstGeom prst="rect">
          <a:avLst/>
        </a:prstGeom>
        <a:ln>
          <a:noFill/>
        </a:ln>
        <a:effectLst>
          <a:outerShdw blurRad="50800" dist="38100" dir="2700000" algn="tl" rotWithShape="0">
            <a:prstClr val="black">
              <a:alpha val="40000"/>
            </a:prstClr>
          </a:outerShdw>
        </a:effectLst>
      </xdr:spPr>
    </xdr:pic>
    <xdr:clientData/>
  </xdr:twoCellAnchor>
  <xdr:twoCellAnchor>
    <xdr:from>
      <xdr:col>7</xdr:col>
      <xdr:colOff>182880</xdr:colOff>
      <xdr:row>5</xdr:row>
      <xdr:rowOff>121920</xdr:rowOff>
    </xdr:from>
    <xdr:to>
      <xdr:col>9</xdr:col>
      <xdr:colOff>7620</xdr:colOff>
      <xdr:row>7</xdr:row>
      <xdr:rowOff>53340</xdr:rowOff>
    </xdr:to>
    <xdr:sp macro="" textlink="'KPI formulas'!O3">
      <xdr:nvSpPr>
        <xdr:cNvPr id="20" name="TextBox 19">
          <a:extLst>
            <a:ext uri="{FF2B5EF4-FFF2-40B4-BE49-F238E27FC236}">
              <a16:creationId xmlns:a16="http://schemas.microsoft.com/office/drawing/2014/main" id="{32BADB1E-37D4-96EB-094C-E40DBD488919}"/>
            </a:ext>
          </a:extLst>
        </xdr:cNvPr>
        <xdr:cNvSpPr txBox="1"/>
      </xdr:nvSpPr>
      <xdr:spPr>
        <a:xfrm>
          <a:off x="4450080" y="1188720"/>
          <a:ext cx="104394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EE72710-8C9F-4F50-BA19-EA4AE2D84457}" type="TxLink">
            <a:rPr lang="en-US" sz="2000" b="1" i="0" u="none" strike="noStrike">
              <a:solidFill>
                <a:srgbClr val="000000"/>
              </a:solidFill>
              <a:latin typeface="Calibri"/>
              <a:ea typeface="Calibri"/>
              <a:cs typeface="Calibri"/>
            </a:rPr>
            <a:pPr/>
            <a:t>34580</a:t>
          </a:fld>
          <a:endParaRPr lang="en-US" sz="2000" b="1"/>
        </a:p>
      </xdr:txBody>
    </xdr:sp>
    <xdr:clientData/>
  </xdr:twoCellAnchor>
  <xdr:twoCellAnchor>
    <xdr:from>
      <xdr:col>7</xdr:col>
      <xdr:colOff>350520</xdr:colOff>
      <xdr:row>7</xdr:row>
      <xdr:rowOff>30480</xdr:rowOff>
    </xdr:from>
    <xdr:to>
      <xdr:col>8</xdr:col>
      <xdr:colOff>312420</xdr:colOff>
      <xdr:row>8</xdr:row>
      <xdr:rowOff>53340</xdr:rowOff>
    </xdr:to>
    <xdr:sp macro="" textlink="">
      <xdr:nvSpPr>
        <xdr:cNvPr id="21" name="TextBox 20">
          <a:extLst>
            <a:ext uri="{FF2B5EF4-FFF2-40B4-BE49-F238E27FC236}">
              <a16:creationId xmlns:a16="http://schemas.microsoft.com/office/drawing/2014/main" id="{287DF6A9-57D5-2F8F-BCCF-6427AA0F6F5C}"/>
            </a:ext>
          </a:extLst>
        </xdr:cNvPr>
        <xdr:cNvSpPr txBox="1"/>
      </xdr:nvSpPr>
      <xdr:spPr>
        <a:xfrm>
          <a:off x="4617720" y="1524000"/>
          <a:ext cx="57150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tx1">
                  <a:lumMod val="75000"/>
                  <a:lumOff val="25000"/>
                </a:schemeClr>
              </a:solidFill>
            </a:rPr>
            <a:t>Units</a:t>
          </a:r>
        </a:p>
      </xdr:txBody>
    </xdr:sp>
    <xdr:clientData/>
  </xdr:twoCellAnchor>
  <xdr:twoCellAnchor>
    <xdr:from>
      <xdr:col>9</xdr:col>
      <xdr:colOff>518160</xdr:colOff>
      <xdr:row>5</xdr:row>
      <xdr:rowOff>175260</xdr:rowOff>
    </xdr:from>
    <xdr:to>
      <xdr:col>12</xdr:col>
      <xdr:colOff>45720</xdr:colOff>
      <xdr:row>7</xdr:row>
      <xdr:rowOff>91440</xdr:rowOff>
    </xdr:to>
    <xdr:sp macro="" textlink="'KPI formulas'!M3">
      <xdr:nvSpPr>
        <xdr:cNvPr id="22" name="TextBox 21">
          <a:extLst>
            <a:ext uri="{FF2B5EF4-FFF2-40B4-BE49-F238E27FC236}">
              <a16:creationId xmlns:a16="http://schemas.microsoft.com/office/drawing/2014/main" id="{A993998B-2D34-D655-EA19-A2E639320C19}"/>
            </a:ext>
          </a:extLst>
        </xdr:cNvPr>
        <xdr:cNvSpPr txBox="1"/>
      </xdr:nvSpPr>
      <xdr:spPr>
        <a:xfrm>
          <a:off x="6004560" y="1242060"/>
          <a:ext cx="135636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7544442-E268-4F66-B238-6FDB0A376011}" type="TxLink">
            <a:rPr lang="en-US" sz="1600" b="1" i="0" u="none" strike="noStrike">
              <a:solidFill>
                <a:srgbClr val="000000"/>
              </a:solidFill>
              <a:latin typeface="Calibri"/>
              <a:ea typeface="Calibri"/>
              <a:cs typeface="Calibri"/>
            </a:rPr>
            <a:pPr/>
            <a:t> $35,126,959 </a:t>
          </a:fld>
          <a:endParaRPr lang="en-US" sz="1600" b="1"/>
        </a:p>
      </xdr:txBody>
    </xdr:sp>
    <xdr:clientData/>
  </xdr:twoCellAnchor>
  <xdr:twoCellAnchor>
    <xdr:from>
      <xdr:col>10</xdr:col>
      <xdr:colOff>251460</xdr:colOff>
      <xdr:row>7</xdr:row>
      <xdr:rowOff>22860</xdr:rowOff>
    </xdr:from>
    <xdr:to>
      <xdr:col>11</xdr:col>
      <xdr:colOff>251460</xdr:colOff>
      <xdr:row>8</xdr:row>
      <xdr:rowOff>121920</xdr:rowOff>
    </xdr:to>
    <xdr:sp macro="" textlink="">
      <xdr:nvSpPr>
        <xdr:cNvPr id="23" name="TextBox 22">
          <a:extLst>
            <a:ext uri="{FF2B5EF4-FFF2-40B4-BE49-F238E27FC236}">
              <a16:creationId xmlns:a16="http://schemas.microsoft.com/office/drawing/2014/main" id="{C27B7BED-B6D5-28D1-5822-1DFF58A368EF}"/>
            </a:ext>
          </a:extLst>
        </xdr:cNvPr>
        <xdr:cNvSpPr txBox="1"/>
      </xdr:nvSpPr>
      <xdr:spPr>
        <a:xfrm>
          <a:off x="6347460" y="1516380"/>
          <a:ext cx="60960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tx1">
                  <a:lumMod val="75000"/>
                  <a:lumOff val="25000"/>
                </a:schemeClr>
              </a:solidFill>
            </a:rPr>
            <a:t>Value</a:t>
          </a:r>
        </a:p>
      </xdr:txBody>
    </xdr:sp>
    <xdr:clientData/>
  </xdr:twoCellAnchor>
  <xdr:twoCellAnchor>
    <xdr:from>
      <xdr:col>12</xdr:col>
      <xdr:colOff>480060</xdr:colOff>
      <xdr:row>5</xdr:row>
      <xdr:rowOff>190500</xdr:rowOff>
    </xdr:from>
    <xdr:to>
      <xdr:col>14</xdr:col>
      <xdr:colOff>548640</xdr:colOff>
      <xdr:row>7</xdr:row>
      <xdr:rowOff>76200</xdr:rowOff>
    </xdr:to>
    <xdr:sp macro="" textlink="'KPI formulas'!K3">
      <xdr:nvSpPr>
        <xdr:cNvPr id="24" name="TextBox 23">
          <a:extLst>
            <a:ext uri="{FF2B5EF4-FFF2-40B4-BE49-F238E27FC236}">
              <a16:creationId xmlns:a16="http://schemas.microsoft.com/office/drawing/2014/main" id="{16261E59-19F1-3B9A-9C93-D737D80B96E7}"/>
            </a:ext>
          </a:extLst>
        </xdr:cNvPr>
        <xdr:cNvSpPr txBox="1"/>
      </xdr:nvSpPr>
      <xdr:spPr>
        <a:xfrm>
          <a:off x="7795260" y="1257300"/>
          <a:ext cx="128778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0DA3A78-5530-48BB-A3E5-A3D90A5A6887}" type="TxLink">
            <a:rPr lang="en-US" sz="1600" b="1" i="0" u="none" strike="noStrike">
              <a:solidFill>
                <a:srgbClr val="000000"/>
              </a:solidFill>
              <a:latin typeface="Calibri"/>
              <a:ea typeface="Calibri"/>
              <a:cs typeface="Calibri"/>
            </a:rPr>
            <a:pPr/>
            <a:t>$46,441,015</a:t>
          </a:fld>
          <a:endParaRPr lang="en-US" sz="1600" b="1"/>
        </a:p>
      </xdr:txBody>
    </xdr:sp>
    <xdr:clientData/>
  </xdr:twoCellAnchor>
  <xdr:twoCellAnchor>
    <xdr:from>
      <xdr:col>13</xdr:col>
      <xdr:colOff>91440</xdr:colOff>
      <xdr:row>7</xdr:row>
      <xdr:rowOff>30480</xdr:rowOff>
    </xdr:from>
    <xdr:to>
      <xdr:col>14</xdr:col>
      <xdr:colOff>335280</xdr:colOff>
      <xdr:row>8</xdr:row>
      <xdr:rowOff>76200</xdr:rowOff>
    </xdr:to>
    <xdr:sp macro="" textlink="">
      <xdr:nvSpPr>
        <xdr:cNvPr id="25" name="TextBox 24">
          <a:extLst>
            <a:ext uri="{FF2B5EF4-FFF2-40B4-BE49-F238E27FC236}">
              <a16:creationId xmlns:a16="http://schemas.microsoft.com/office/drawing/2014/main" id="{8692FA00-5204-C412-B10F-A5795ECF1A8D}"/>
            </a:ext>
          </a:extLst>
        </xdr:cNvPr>
        <xdr:cNvSpPr txBox="1"/>
      </xdr:nvSpPr>
      <xdr:spPr>
        <a:xfrm>
          <a:off x="8016240" y="1524000"/>
          <a:ext cx="85344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tx1">
                  <a:lumMod val="75000"/>
                  <a:lumOff val="25000"/>
                </a:schemeClr>
              </a:solidFill>
            </a:rPr>
            <a:t>Revenue</a:t>
          </a:r>
        </a:p>
      </xdr:txBody>
    </xdr:sp>
    <xdr:clientData/>
  </xdr:twoCellAnchor>
  <xdr:twoCellAnchor>
    <xdr:from>
      <xdr:col>15</xdr:col>
      <xdr:colOff>342900</xdr:colOff>
      <xdr:row>5</xdr:row>
      <xdr:rowOff>198120</xdr:rowOff>
    </xdr:from>
    <xdr:to>
      <xdr:col>17</xdr:col>
      <xdr:colOff>426720</xdr:colOff>
      <xdr:row>7</xdr:row>
      <xdr:rowOff>144780</xdr:rowOff>
    </xdr:to>
    <xdr:sp macro="" textlink="'KPI formulas'!I3">
      <xdr:nvSpPr>
        <xdr:cNvPr id="26" name="TextBox 25">
          <a:extLst>
            <a:ext uri="{FF2B5EF4-FFF2-40B4-BE49-F238E27FC236}">
              <a16:creationId xmlns:a16="http://schemas.microsoft.com/office/drawing/2014/main" id="{8E8E22F7-DFFC-C592-6B90-4B2DE2D2AA37}"/>
            </a:ext>
          </a:extLst>
        </xdr:cNvPr>
        <xdr:cNvSpPr txBox="1"/>
      </xdr:nvSpPr>
      <xdr:spPr>
        <a:xfrm>
          <a:off x="9486900" y="1264920"/>
          <a:ext cx="1303020"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7FA68E3-7853-4BF6-9969-6A58AE481F10}" type="TxLink">
            <a:rPr lang="en-US" sz="1600" b="1" i="0" u="none" strike="noStrike">
              <a:solidFill>
                <a:srgbClr val="000000"/>
              </a:solidFill>
              <a:latin typeface="Calibri"/>
              <a:ea typeface="Calibri"/>
              <a:cs typeface="Calibri"/>
            </a:rPr>
            <a:pPr/>
            <a:t>$22,938,155</a:t>
          </a:fld>
          <a:endParaRPr lang="en-US" sz="1600" b="1" i="0"/>
        </a:p>
      </xdr:txBody>
    </xdr:sp>
    <xdr:clientData/>
  </xdr:twoCellAnchor>
  <xdr:twoCellAnchor>
    <xdr:from>
      <xdr:col>16</xdr:col>
      <xdr:colOff>106680</xdr:colOff>
      <xdr:row>7</xdr:row>
      <xdr:rowOff>38100</xdr:rowOff>
    </xdr:from>
    <xdr:to>
      <xdr:col>17</xdr:col>
      <xdr:colOff>167640</xdr:colOff>
      <xdr:row>8</xdr:row>
      <xdr:rowOff>99060</xdr:rowOff>
    </xdr:to>
    <xdr:sp macro="" textlink="">
      <xdr:nvSpPr>
        <xdr:cNvPr id="27" name="TextBox 26">
          <a:extLst>
            <a:ext uri="{FF2B5EF4-FFF2-40B4-BE49-F238E27FC236}">
              <a16:creationId xmlns:a16="http://schemas.microsoft.com/office/drawing/2014/main" id="{1FCEBAAA-DC3E-057E-A5A9-5BA6558931A2}"/>
            </a:ext>
          </a:extLst>
        </xdr:cNvPr>
        <xdr:cNvSpPr txBox="1"/>
      </xdr:nvSpPr>
      <xdr:spPr>
        <a:xfrm>
          <a:off x="9860280" y="1531620"/>
          <a:ext cx="67056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tx1">
                  <a:lumMod val="75000"/>
                  <a:lumOff val="25000"/>
                </a:schemeClr>
              </a:solidFill>
            </a:rPr>
            <a:t>Profit</a:t>
          </a:r>
        </a:p>
      </xdr:txBody>
    </xdr:sp>
    <xdr:clientData/>
  </xdr:twoCellAnchor>
  <xdr:twoCellAnchor>
    <xdr:from>
      <xdr:col>18</xdr:col>
      <xdr:colOff>757518</xdr:colOff>
      <xdr:row>5</xdr:row>
      <xdr:rowOff>177948</xdr:rowOff>
    </xdr:from>
    <xdr:to>
      <xdr:col>19</xdr:col>
      <xdr:colOff>582706</xdr:colOff>
      <xdr:row>7</xdr:row>
      <xdr:rowOff>179293</xdr:rowOff>
    </xdr:to>
    <xdr:sp macro="" textlink="'KPI formulas'!D3">
      <xdr:nvSpPr>
        <xdr:cNvPr id="28" name="TextBox 27">
          <a:extLst>
            <a:ext uri="{FF2B5EF4-FFF2-40B4-BE49-F238E27FC236}">
              <a16:creationId xmlns:a16="http://schemas.microsoft.com/office/drawing/2014/main" id="{E28A397E-DB37-C634-9023-D438A3F0EB6F}"/>
            </a:ext>
          </a:extLst>
        </xdr:cNvPr>
        <xdr:cNvSpPr txBox="1"/>
      </xdr:nvSpPr>
      <xdr:spPr>
        <a:xfrm>
          <a:off x="15289306" y="1253713"/>
          <a:ext cx="667871" cy="4316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DD3A0E2-1004-482D-9D1F-0A00CF509ABB}" type="TxLink">
            <a:rPr lang="en-US" sz="1800" b="1" i="0" u="none" strike="noStrike">
              <a:solidFill>
                <a:srgbClr val="000000"/>
              </a:solidFill>
              <a:latin typeface="Segoe UI" panose="020B0502040204020203" pitchFamily="34" charset="0"/>
              <a:ea typeface="Calibri"/>
              <a:cs typeface="Segoe UI" panose="020B0502040204020203" pitchFamily="34" charset="0"/>
            </a:rPr>
            <a:pPr/>
            <a:t>121</a:t>
          </a:fld>
          <a:endParaRPr lang="en-US" sz="3600" b="1">
            <a:solidFill>
              <a:schemeClr val="tx1"/>
            </a:solidFill>
            <a:latin typeface="Segoe UI" panose="020B0502040204020203" pitchFamily="34" charset="0"/>
            <a:cs typeface="Segoe UI" panose="020B0502040204020203" pitchFamily="34" charset="0"/>
          </a:endParaRPr>
        </a:p>
      </xdr:txBody>
    </xdr:sp>
    <xdr:clientData/>
  </xdr:twoCellAnchor>
  <xdr:twoCellAnchor>
    <xdr:from>
      <xdr:col>18</xdr:col>
      <xdr:colOff>766482</xdr:colOff>
      <xdr:row>7</xdr:row>
      <xdr:rowOff>69925</xdr:rowOff>
    </xdr:from>
    <xdr:to>
      <xdr:col>19</xdr:col>
      <xdr:colOff>717176</xdr:colOff>
      <xdr:row>8</xdr:row>
      <xdr:rowOff>146125</xdr:rowOff>
    </xdr:to>
    <xdr:sp macro="" textlink="">
      <xdr:nvSpPr>
        <xdr:cNvPr id="29" name="TextBox 28">
          <a:extLst>
            <a:ext uri="{FF2B5EF4-FFF2-40B4-BE49-F238E27FC236}">
              <a16:creationId xmlns:a16="http://schemas.microsoft.com/office/drawing/2014/main" id="{8263E05D-AA3C-02E6-A020-62BE2E522CFC}"/>
            </a:ext>
          </a:extLst>
        </xdr:cNvPr>
        <xdr:cNvSpPr txBox="1"/>
      </xdr:nvSpPr>
      <xdr:spPr>
        <a:xfrm>
          <a:off x="15298270" y="1575996"/>
          <a:ext cx="793377" cy="2913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tx1">
                  <a:lumMod val="75000"/>
                  <a:lumOff val="25000"/>
                </a:schemeClr>
              </a:solidFill>
            </a:rPr>
            <a:t>Items</a:t>
          </a:r>
        </a:p>
      </xdr:txBody>
    </xdr:sp>
    <xdr:clientData/>
  </xdr:twoCellAnchor>
  <xdr:twoCellAnchor>
    <xdr:from>
      <xdr:col>21</xdr:col>
      <xdr:colOff>411480</xdr:colOff>
      <xdr:row>6</xdr:row>
      <xdr:rowOff>7620</xdr:rowOff>
    </xdr:from>
    <xdr:to>
      <xdr:col>22</xdr:col>
      <xdr:colOff>289560</xdr:colOff>
      <xdr:row>7</xdr:row>
      <xdr:rowOff>167640</xdr:rowOff>
    </xdr:to>
    <xdr:sp macro="" textlink="'KPI formulas'!G3">
      <xdr:nvSpPr>
        <xdr:cNvPr id="30" name="TextBox 29">
          <a:extLst>
            <a:ext uri="{FF2B5EF4-FFF2-40B4-BE49-F238E27FC236}">
              <a16:creationId xmlns:a16="http://schemas.microsoft.com/office/drawing/2014/main" id="{4AD0B239-20C2-AADF-AAA5-674350BD2114}"/>
            </a:ext>
          </a:extLst>
        </xdr:cNvPr>
        <xdr:cNvSpPr txBox="1"/>
      </xdr:nvSpPr>
      <xdr:spPr>
        <a:xfrm>
          <a:off x="13213080" y="1287780"/>
          <a:ext cx="487680"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A5CF08B-3C06-41DC-AF8C-5B895F1F8A9F}" type="TxLink">
            <a:rPr lang="en-US" sz="2000" b="1" i="0" u="none" strike="noStrike">
              <a:solidFill>
                <a:schemeClr val="tx1"/>
              </a:solidFill>
              <a:latin typeface="Calibri"/>
              <a:ea typeface="Calibri"/>
              <a:cs typeface="Calibri"/>
            </a:rPr>
            <a:pPr/>
            <a:t>16</a:t>
          </a:fld>
          <a:endParaRPr lang="en-US" sz="2000" b="1">
            <a:solidFill>
              <a:schemeClr val="tx1"/>
            </a:solidFill>
          </a:endParaRPr>
        </a:p>
      </xdr:txBody>
    </xdr:sp>
    <xdr:clientData/>
  </xdr:twoCellAnchor>
  <xdr:twoCellAnchor>
    <xdr:from>
      <xdr:col>21</xdr:col>
      <xdr:colOff>434340</xdr:colOff>
      <xdr:row>7</xdr:row>
      <xdr:rowOff>106680</xdr:rowOff>
    </xdr:from>
    <xdr:to>
      <xdr:col>23</xdr:col>
      <xdr:colOff>106680</xdr:colOff>
      <xdr:row>8</xdr:row>
      <xdr:rowOff>182880</xdr:rowOff>
    </xdr:to>
    <xdr:sp macro="" textlink="">
      <xdr:nvSpPr>
        <xdr:cNvPr id="31" name="TextBox 30">
          <a:extLst>
            <a:ext uri="{FF2B5EF4-FFF2-40B4-BE49-F238E27FC236}">
              <a16:creationId xmlns:a16="http://schemas.microsoft.com/office/drawing/2014/main" id="{BC49EA62-F68D-DD8C-4490-2BBB375898C9}"/>
            </a:ext>
          </a:extLst>
        </xdr:cNvPr>
        <xdr:cNvSpPr txBox="1"/>
      </xdr:nvSpPr>
      <xdr:spPr>
        <a:xfrm>
          <a:off x="13235940" y="1600200"/>
          <a:ext cx="89154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tx1">
                  <a:lumMod val="75000"/>
                  <a:lumOff val="25000"/>
                </a:schemeClr>
              </a:solidFill>
            </a:rPr>
            <a:t>Items</a:t>
          </a:r>
        </a:p>
      </xdr:txBody>
    </xdr:sp>
    <xdr:clientData/>
  </xdr:twoCellAnchor>
  <xdr:twoCellAnchor editAs="oneCell">
    <xdr:from>
      <xdr:col>3</xdr:col>
      <xdr:colOff>464821</xdr:colOff>
      <xdr:row>5</xdr:row>
      <xdr:rowOff>167641</xdr:rowOff>
    </xdr:from>
    <xdr:to>
      <xdr:col>4</xdr:col>
      <xdr:colOff>335280</xdr:colOff>
      <xdr:row>8</xdr:row>
      <xdr:rowOff>15240</xdr:rowOff>
    </xdr:to>
    <xdr:pic>
      <xdr:nvPicPr>
        <xdr:cNvPr id="33" name="Picture 32">
          <a:extLst>
            <a:ext uri="{FF2B5EF4-FFF2-40B4-BE49-F238E27FC236}">
              <a16:creationId xmlns:a16="http://schemas.microsoft.com/office/drawing/2014/main" id="{92F1BD33-536F-B93D-9FF2-30507F36789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293621" y="1234441"/>
          <a:ext cx="480059" cy="487679"/>
        </a:xfrm>
        <a:prstGeom prst="rect">
          <a:avLst/>
        </a:prstGeom>
        <a:ln>
          <a:noFill/>
        </a:ln>
        <a:effectLst>
          <a:outerShdw blurRad="50800" dist="38100" dir="2700000" algn="tl" rotWithShape="0">
            <a:prstClr val="black">
              <a:alpha val="40000"/>
            </a:prstClr>
          </a:outerShdw>
        </a:effectLst>
      </xdr:spPr>
    </xdr:pic>
    <xdr:clientData/>
  </xdr:twoCellAnchor>
  <xdr:twoCellAnchor editAs="oneCell">
    <xdr:from>
      <xdr:col>9</xdr:col>
      <xdr:colOff>198121</xdr:colOff>
      <xdr:row>6</xdr:row>
      <xdr:rowOff>30481</xdr:rowOff>
    </xdr:from>
    <xdr:to>
      <xdr:col>9</xdr:col>
      <xdr:colOff>575657</xdr:colOff>
      <xdr:row>7</xdr:row>
      <xdr:rowOff>198120</xdr:rowOff>
    </xdr:to>
    <xdr:pic>
      <xdr:nvPicPr>
        <xdr:cNvPr id="35" name="Picture 34">
          <a:extLst>
            <a:ext uri="{FF2B5EF4-FFF2-40B4-BE49-F238E27FC236}">
              <a16:creationId xmlns:a16="http://schemas.microsoft.com/office/drawing/2014/main" id="{14D301A3-76D0-F820-A94D-430EF3DD23BA}"/>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684521" y="1310641"/>
          <a:ext cx="380999" cy="380999"/>
        </a:xfrm>
        <a:prstGeom prst="rect">
          <a:avLst/>
        </a:prstGeom>
        <a:ln>
          <a:noFill/>
        </a:ln>
        <a:effectLst>
          <a:outerShdw blurRad="50800" dist="38100" dir="2700000" algn="tl" rotWithShape="0">
            <a:prstClr val="black">
              <a:alpha val="40000"/>
            </a:prstClr>
          </a:outerShdw>
        </a:effectLst>
      </xdr:spPr>
    </xdr:pic>
    <xdr:clientData/>
  </xdr:twoCellAnchor>
  <xdr:twoCellAnchor editAs="oneCell">
    <xdr:from>
      <xdr:col>12</xdr:col>
      <xdr:colOff>68581</xdr:colOff>
      <xdr:row>6</xdr:row>
      <xdr:rowOff>1</xdr:rowOff>
    </xdr:from>
    <xdr:to>
      <xdr:col>12</xdr:col>
      <xdr:colOff>510540</xdr:colOff>
      <xdr:row>8</xdr:row>
      <xdr:rowOff>15240</xdr:rowOff>
    </xdr:to>
    <xdr:pic>
      <xdr:nvPicPr>
        <xdr:cNvPr id="37" name="Picture 36">
          <a:extLst>
            <a:ext uri="{FF2B5EF4-FFF2-40B4-BE49-F238E27FC236}">
              <a16:creationId xmlns:a16="http://schemas.microsoft.com/office/drawing/2014/main" id="{B598B793-2EB2-98B9-1CC9-F89EC20BF142}"/>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7383781" y="1280161"/>
          <a:ext cx="441959" cy="441959"/>
        </a:xfrm>
        <a:prstGeom prst="rect">
          <a:avLst/>
        </a:prstGeom>
        <a:ln>
          <a:noFill/>
        </a:ln>
        <a:effectLst>
          <a:outerShdw blurRad="50800" dist="38100" dir="2700000" algn="tl" rotWithShape="0">
            <a:prstClr val="black">
              <a:alpha val="40000"/>
            </a:prstClr>
          </a:outerShdw>
        </a:effectLst>
      </xdr:spPr>
    </xdr:pic>
    <xdr:clientData/>
  </xdr:twoCellAnchor>
  <xdr:twoCellAnchor editAs="oneCell">
    <xdr:from>
      <xdr:col>20</xdr:col>
      <xdr:colOff>437161</xdr:colOff>
      <xdr:row>6</xdr:row>
      <xdr:rowOff>63781</xdr:rowOff>
    </xdr:from>
    <xdr:to>
      <xdr:col>21</xdr:col>
      <xdr:colOff>30480</xdr:colOff>
      <xdr:row>8</xdr:row>
      <xdr:rowOff>76200</xdr:rowOff>
    </xdr:to>
    <xdr:pic>
      <xdr:nvPicPr>
        <xdr:cNvPr id="41" name="Picture 40">
          <a:extLst>
            <a:ext uri="{FF2B5EF4-FFF2-40B4-BE49-F238E27FC236}">
              <a16:creationId xmlns:a16="http://schemas.microsoft.com/office/drawing/2014/main" id="{DAA49830-AB21-5EB0-1C7D-EE691B8D07AA}"/>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2629161" y="1343941"/>
          <a:ext cx="439139" cy="439139"/>
        </a:xfrm>
        <a:prstGeom prst="rect">
          <a:avLst/>
        </a:prstGeom>
        <a:ln>
          <a:noFill/>
        </a:ln>
        <a:effectLst>
          <a:outerShdw blurRad="50800" dist="38100" dir="2700000" algn="tl" rotWithShape="0">
            <a:prstClr val="black">
              <a:alpha val="40000"/>
            </a:prstClr>
          </a:outerShdw>
        </a:effectLst>
      </xdr:spPr>
    </xdr:pic>
    <xdr:clientData/>
  </xdr:twoCellAnchor>
  <xdr:twoCellAnchor editAs="oneCell">
    <xdr:from>
      <xdr:col>17</xdr:col>
      <xdr:colOff>564301</xdr:colOff>
      <xdr:row>6</xdr:row>
      <xdr:rowOff>23281</xdr:rowOff>
    </xdr:from>
    <xdr:to>
      <xdr:col>18</xdr:col>
      <xdr:colOff>205740</xdr:colOff>
      <xdr:row>8</xdr:row>
      <xdr:rowOff>83820</xdr:rowOff>
    </xdr:to>
    <xdr:pic>
      <xdr:nvPicPr>
        <xdr:cNvPr id="43" name="Picture 42">
          <a:extLst>
            <a:ext uri="{FF2B5EF4-FFF2-40B4-BE49-F238E27FC236}">
              <a16:creationId xmlns:a16="http://schemas.microsoft.com/office/drawing/2014/main" id="{8B401D9E-C47F-89FC-7EA5-0CA0CFCA66CD}"/>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0927501" y="1303441"/>
          <a:ext cx="487259" cy="487259"/>
        </a:xfrm>
        <a:prstGeom prst="rect">
          <a:avLst/>
        </a:prstGeom>
        <a:ln>
          <a:noFill/>
        </a:ln>
        <a:effectLst>
          <a:outerShdw blurRad="50800" dist="38100" dir="2700000" algn="tl" rotWithShape="0">
            <a:prstClr val="black">
              <a:alpha val="40000"/>
            </a:prstClr>
          </a:outerShdw>
        </a:effectLst>
      </xdr:spPr>
    </xdr:pic>
    <xdr:clientData/>
  </xdr:twoCellAnchor>
  <xdr:twoCellAnchor editAs="oneCell">
    <xdr:from>
      <xdr:col>14</xdr:col>
      <xdr:colOff>594361</xdr:colOff>
      <xdr:row>6</xdr:row>
      <xdr:rowOff>38101</xdr:rowOff>
    </xdr:from>
    <xdr:to>
      <xdr:col>15</xdr:col>
      <xdr:colOff>152402</xdr:colOff>
      <xdr:row>8</xdr:row>
      <xdr:rowOff>15241</xdr:rowOff>
    </xdr:to>
    <xdr:pic>
      <xdr:nvPicPr>
        <xdr:cNvPr id="45" name="Picture 44">
          <a:extLst>
            <a:ext uri="{FF2B5EF4-FFF2-40B4-BE49-F238E27FC236}">
              <a16:creationId xmlns:a16="http://schemas.microsoft.com/office/drawing/2014/main" id="{6150815A-F56D-0137-1015-6161C7800A3B}"/>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9128761" y="1318261"/>
          <a:ext cx="403860" cy="403860"/>
        </a:xfrm>
        <a:prstGeom prst="rect">
          <a:avLst/>
        </a:prstGeom>
        <a:ln>
          <a:noFill/>
        </a:ln>
        <a:effectLst>
          <a:outerShdw blurRad="50800" dist="38100" dir="2700000" algn="tl" rotWithShape="0">
            <a:prstClr val="black">
              <a:alpha val="40000"/>
            </a:prstClr>
          </a:outerShdw>
        </a:effectLst>
      </xdr:spPr>
    </xdr:pic>
    <xdr:clientData/>
  </xdr:twoCellAnchor>
  <xdr:twoCellAnchor>
    <xdr:from>
      <xdr:col>3</xdr:col>
      <xdr:colOff>472440</xdr:colOff>
      <xdr:row>9</xdr:row>
      <xdr:rowOff>167640</xdr:rowOff>
    </xdr:from>
    <xdr:to>
      <xdr:col>12</xdr:col>
      <xdr:colOff>449580</xdr:colOff>
      <xdr:row>23</xdr:row>
      <xdr:rowOff>99060</xdr:rowOff>
    </xdr:to>
    <xdr:sp macro="" textlink="">
      <xdr:nvSpPr>
        <xdr:cNvPr id="48" name="Rectangle: Rounded Corners 47">
          <a:extLst>
            <a:ext uri="{FF2B5EF4-FFF2-40B4-BE49-F238E27FC236}">
              <a16:creationId xmlns:a16="http://schemas.microsoft.com/office/drawing/2014/main" id="{22EEF1B8-0F92-5C96-8616-BEE4E7F6522A}"/>
            </a:ext>
          </a:extLst>
        </xdr:cNvPr>
        <xdr:cNvSpPr/>
      </xdr:nvSpPr>
      <xdr:spPr>
        <a:xfrm>
          <a:off x="2301240" y="2087880"/>
          <a:ext cx="5463540" cy="2918460"/>
        </a:xfrm>
        <a:prstGeom prst="roundRect">
          <a:avLst>
            <a:gd name="adj" fmla="val 0"/>
          </a:avLst>
        </a:prstGeom>
        <a:solidFill>
          <a:srgbClr val="111827"/>
        </a:solidFill>
        <a:ln w="19050">
          <a:solidFill>
            <a:srgbClr val="37415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434340</xdr:colOff>
      <xdr:row>9</xdr:row>
      <xdr:rowOff>190500</xdr:rowOff>
    </xdr:from>
    <xdr:to>
      <xdr:col>12</xdr:col>
      <xdr:colOff>472440</xdr:colOff>
      <xdr:row>23</xdr:row>
      <xdr:rowOff>83820</xdr:rowOff>
    </xdr:to>
    <xdr:graphicFrame macro="">
      <xdr:nvGraphicFramePr>
        <xdr:cNvPr id="49" name="Chart 48">
          <a:extLst>
            <a:ext uri="{FF2B5EF4-FFF2-40B4-BE49-F238E27FC236}">
              <a16:creationId xmlns:a16="http://schemas.microsoft.com/office/drawing/2014/main" id="{2E0C6FED-69FD-401B-A904-FEB48CA69D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518160</xdr:colOff>
      <xdr:row>9</xdr:row>
      <xdr:rowOff>175260</xdr:rowOff>
    </xdr:from>
    <xdr:to>
      <xdr:col>17</xdr:col>
      <xdr:colOff>213360</xdr:colOff>
      <xdr:row>23</xdr:row>
      <xdr:rowOff>91440</xdr:rowOff>
    </xdr:to>
    <xdr:sp macro="" textlink="">
      <xdr:nvSpPr>
        <xdr:cNvPr id="50" name="Rectangle: Rounded Corners 49">
          <a:extLst>
            <a:ext uri="{FF2B5EF4-FFF2-40B4-BE49-F238E27FC236}">
              <a16:creationId xmlns:a16="http://schemas.microsoft.com/office/drawing/2014/main" id="{EE61D46C-0DA7-4437-9577-E8680144E2A6}"/>
            </a:ext>
          </a:extLst>
        </xdr:cNvPr>
        <xdr:cNvSpPr/>
      </xdr:nvSpPr>
      <xdr:spPr>
        <a:xfrm>
          <a:off x="7833360" y="2095500"/>
          <a:ext cx="2743200" cy="2903220"/>
        </a:xfrm>
        <a:prstGeom prst="roundRect">
          <a:avLst>
            <a:gd name="adj" fmla="val 703"/>
          </a:avLst>
        </a:prstGeom>
        <a:solidFill>
          <a:srgbClr val="11182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289560</xdr:colOff>
      <xdr:row>9</xdr:row>
      <xdr:rowOff>190500</xdr:rowOff>
    </xdr:from>
    <xdr:to>
      <xdr:col>25</xdr:col>
      <xdr:colOff>594360</xdr:colOff>
      <xdr:row>23</xdr:row>
      <xdr:rowOff>99060</xdr:rowOff>
    </xdr:to>
    <xdr:sp macro="" textlink="">
      <xdr:nvSpPr>
        <xdr:cNvPr id="51" name="Rectangle: Rounded Corners 50">
          <a:extLst>
            <a:ext uri="{FF2B5EF4-FFF2-40B4-BE49-F238E27FC236}">
              <a16:creationId xmlns:a16="http://schemas.microsoft.com/office/drawing/2014/main" id="{ADBCEEFA-188B-4E5D-66AF-7310A2B74D6F}"/>
            </a:ext>
          </a:extLst>
        </xdr:cNvPr>
        <xdr:cNvSpPr/>
      </xdr:nvSpPr>
      <xdr:spPr>
        <a:xfrm>
          <a:off x="10652760" y="2110740"/>
          <a:ext cx="5181600" cy="2895600"/>
        </a:xfrm>
        <a:prstGeom prst="roundRect">
          <a:avLst>
            <a:gd name="adj" fmla="val 703"/>
          </a:avLst>
        </a:prstGeom>
        <a:solidFill>
          <a:srgbClr val="11182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495300</xdr:colOff>
      <xdr:row>9</xdr:row>
      <xdr:rowOff>175260</xdr:rowOff>
    </xdr:from>
    <xdr:to>
      <xdr:col>17</xdr:col>
      <xdr:colOff>205740</xdr:colOff>
      <xdr:row>23</xdr:row>
      <xdr:rowOff>91440</xdr:rowOff>
    </xdr:to>
    <xdr:graphicFrame macro="">
      <xdr:nvGraphicFramePr>
        <xdr:cNvPr id="52" name="Chart 51">
          <a:extLst>
            <a:ext uri="{FF2B5EF4-FFF2-40B4-BE49-F238E27FC236}">
              <a16:creationId xmlns:a16="http://schemas.microsoft.com/office/drawing/2014/main" id="{EFB4C67D-B94A-4C82-A06A-B221330078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17</xdr:col>
      <xdr:colOff>281940</xdr:colOff>
      <xdr:row>10</xdr:row>
      <xdr:rowOff>15240</xdr:rowOff>
    </xdr:from>
    <xdr:to>
      <xdr:col>24</xdr:col>
      <xdr:colOff>434340</xdr:colOff>
      <xdr:row>23</xdr:row>
      <xdr:rowOff>83820</xdr:rowOff>
    </xdr:to>
    <xdr:graphicFrame macro="">
      <xdr:nvGraphicFramePr>
        <xdr:cNvPr id="53" name="Chart 52">
          <a:extLst>
            <a:ext uri="{FF2B5EF4-FFF2-40B4-BE49-F238E27FC236}">
              <a16:creationId xmlns:a16="http://schemas.microsoft.com/office/drawing/2014/main" id="{976470FD-CFDC-4A82-9C23-71F342896F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457200</xdr:colOff>
      <xdr:row>23</xdr:row>
      <xdr:rowOff>167640</xdr:rowOff>
    </xdr:from>
    <xdr:to>
      <xdr:col>12</xdr:col>
      <xdr:colOff>449580</xdr:colOff>
      <xdr:row>34</xdr:row>
      <xdr:rowOff>160020</xdr:rowOff>
    </xdr:to>
    <xdr:sp macro="" textlink="">
      <xdr:nvSpPr>
        <xdr:cNvPr id="55" name="Rectangle 54">
          <a:extLst>
            <a:ext uri="{FF2B5EF4-FFF2-40B4-BE49-F238E27FC236}">
              <a16:creationId xmlns:a16="http://schemas.microsoft.com/office/drawing/2014/main" id="{53F105AB-9678-BA3B-7293-77875FF2CDBD}"/>
            </a:ext>
          </a:extLst>
        </xdr:cNvPr>
        <xdr:cNvSpPr/>
      </xdr:nvSpPr>
      <xdr:spPr>
        <a:xfrm>
          <a:off x="2286000" y="5074920"/>
          <a:ext cx="5478780" cy="2339340"/>
        </a:xfrm>
        <a:prstGeom prst="rect">
          <a:avLst/>
        </a:prstGeom>
        <a:solidFill>
          <a:srgbClr val="11182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449580</xdr:colOff>
      <xdr:row>23</xdr:row>
      <xdr:rowOff>121920</xdr:rowOff>
    </xdr:from>
    <xdr:to>
      <xdr:col>12</xdr:col>
      <xdr:colOff>434340</xdr:colOff>
      <xdr:row>34</xdr:row>
      <xdr:rowOff>167640</xdr:rowOff>
    </xdr:to>
    <xdr:graphicFrame macro="">
      <xdr:nvGraphicFramePr>
        <xdr:cNvPr id="54" name="Chart 53">
          <a:extLst>
            <a:ext uri="{FF2B5EF4-FFF2-40B4-BE49-F238E27FC236}">
              <a16:creationId xmlns:a16="http://schemas.microsoft.com/office/drawing/2014/main" id="{8FAFA9C6-7053-43C9-B7D3-FB45D81F8B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12</xdr:col>
      <xdr:colOff>518160</xdr:colOff>
      <xdr:row>23</xdr:row>
      <xdr:rowOff>114300</xdr:rowOff>
    </xdr:from>
    <xdr:to>
      <xdr:col>19</xdr:col>
      <xdr:colOff>259080</xdr:colOff>
      <xdr:row>34</xdr:row>
      <xdr:rowOff>129540</xdr:rowOff>
    </xdr:to>
    <xdr:sp macro="" textlink="">
      <xdr:nvSpPr>
        <xdr:cNvPr id="57" name="Rectangle 56">
          <a:extLst>
            <a:ext uri="{FF2B5EF4-FFF2-40B4-BE49-F238E27FC236}">
              <a16:creationId xmlns:a16="http://schemas.microsoft.com/office/drawing/2014/main" id="{D18A4D9E-0E0F-9F60-39A9-C43E9942F58C}"/>
            </a:ext>
          </a:extLst>
        </xdr:cNvPr>
        <xdr:cNvSpPr/>
      </xdr:nvSpPr>
      <xdr:spPr>
        <a:xfrm>
          <a:off x="7833360" y="5021580"/>
          <a:ext cx="4008120" cy="2362200"/>
        </a:xfrm>
        <a:prstGeom prst="rect">
          <a:avLst/>
        </a:prstGeom>
        <a:solidFill>
          <a:srgbClr val="11182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533400</xdr:colOff>
      <xdr:row>23</xdr:row>
      <xdr:rowOff>106680</xdr:rowOff>
    </xdr:from>
    <xdr:to>
      <xdr:col>19</xdr:col>
      <xdr:colOff>266700</xdr:colOff>
      <xdr:row>34</xdr:row>
      <xdr:rowOff>144780</xdr:rowOff>
    </xdr:to>
    <xdr:graphicFrame macro="">
      <xdr:nvGraphicFramePr>
        <xdr:cNvPr id="56" name="Chart 55">
          <a:extLst>
            <a:ext uri="{FF2B5EF4-FFF2-40B4-BE49-F238E27FC236}">
              <a16:creationId xmlns:a16="http://schemas.microsoft.com/office/drawing/2014/main" id="{3DBD6DB6-E604-4DA5-9784-8D9A70261B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19</xdr:col>
      <xdr:colOff>320040</xdr:colOff>
      <xdr:row>23</xdr:row>
      <xdr:rowOff>114300</xdr:rowOff>
    </xdr:from>
    <xdr:to>
      <xdr:col>26</xdr:col>
      <xdr:colOff>7620</xdr:colOff>
      <xdr:row>34</xdr:row>
      <xdr:rowOff>137160</xdr:rowOff>
    </xdr:to>
    <xdr:sp macro="" textlink="">
      <xdr:nvSpPr>
        <xdr:cNvPr id="59" name="Rectangle 58">
          <a:extLst>
            <a:ext uri="{FF2B5EF4-FFF2-40B4-BE49-F238E27FC236}">
              <a16:creationId xmlns:a16="http://schemas.microsoft.com/office/drawing/2014/main" id="{ADCBC168-DFCC-E93F-4614-18121DEB3311}"/>
            </a:ext>
          </a:extLst>
        </xdr:cNvPr>
        <xdr:cNvSpPr/>
      </xdr:nvSpPr>
      <xdr:spPr>
        <a:xfrm>
          <a:off x="11902440" y="5021580"/>
          <a:ext cx="3954780" cy="2369820"/>
        </a:xfrm>
        <a:prstGeom prst="rect">
          <a:avLst/>
        </a:prstGeom>
        <a:solidFill>
          <a:srgbClr val="11182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274320</xdr:colOff>
      <xdr:row>23</xdr:row>
      <xdr:rowOff>38100</xdr:rowOff>
    </xdr:from>
    <xdr:to>
      <xdr:col>26</xdr:col>
      <xdr:colOff>7620</xdr:colOff>
      <xdr:row>34</xdr:row>
      <xdr:rowOff>114300</xdr:rowOff>
    </xdr:to>
    <xdr:graphicFrame macro="">
      <xdr:nvGraphicFramePr>
        <xdr:cNvPr id="58" name="Chart 57">
          <a:extLst>
            <a:ext uri="{FF2B5EF4-FFF2-40B4-BE49-F238E27FC236}">
              <a16:creationId xmlns:a16="http://schemas.microsoft.com/office/drawing/2014/main" id="{483552FD-60C5-470A-B665-0D6C68A56F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91440</xdr:colOff>
      <xdr:row>4</xdr:row>
      <xdr:rowOff>106680</xdr:rowOff>
    </xdr:from>
    <xdr:to>
      <xdr:col>3</xdr:col>
      <xdr:colOff>358140</xdr:colOff>
      <xdr:row>41</xdr:row>
      <xdr:rowOff>114300</xdr:rowOff>
    </xdr:to>
    <xdr:sp macro="" textlink="">
      <xdr:nvSpPr>
        <xdr:cNvPr id="60" name="Rectangle: Rounded Corners 59">
          <a:extLst>
            <a:ext uri="{FF2B5EF4-FFF2-40B4-BE49-F238E27FC236}">
              <a16:creationId xmlns:a16="http://schemas.microsoft.com/office/drawing/2014/main" id="{FF3F61A8-805C-9C37-1776-3D4BACD9D92E}"/>
            </a:ext>
          </a:extLst>
        </xdr:cNvPr>
        <xdr:cNvSpPr/>
      </xdr:nvSpPr>
      <xdr:spPr>
        <a:xfrm>
          <a:off x="91440" y="960120"/>
          <a:ext cx="2095500" cy="7901940"/>
        </a:xfrm>
        <a:prstGeom prst="roundRect">
          <a:avLst>
            <a:gd name="adj" fmla="val 4667"/>
          </a:avLst>
        </a:prstGeom>
        <a:solidFill>
          <a:srgbClr val="111827"/>
        </a:solidFill>
        <a:ln>
          <a:solidFill>
            <a:srgbClr val="37415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152400</xdr:colOff>
      <xdr:row>4</xdr:row>
      <xdr:rowOff>144780</xdr:rowOff>
    </xdr:from>
    <xdr:to>
      <xdr:col>3</xdr:col>
      <xdr:colOff>274320</xdr:colOff>
      <xdr:row>14</xdr:row>
      <xdr:rowOff>38100</xdr:rowOff>
    </xdr:to>
    <mc:AlternateContent xmlns:mc="http://schemas.openxmlformats.org/markup-compatibility/2006" xmlns:a14="http://schemas.microsoft.com/office/drawing/2010/main">
      <mc:Choice Requires="a14">
        <xdr:graphicFrame macro="">
          <xdr:nvGraphicFramePr>
            <xdr:cNvPr id="61" name="Category">
              <a:extLst>
                <a:ext uri="{FF2B5EF4-FFF2-40B4-BE49-F238E27FC236}">
                  <a16:creationId xmlns:a16="http://schemas.microsoft.com/office/drawing/2014/main" id="{06359A61-12C6-46F3-AA4C-2E66AE4F088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52400" y="1015637"/>
              <a:ext cx="1950720" cy="20704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160020</xdr:colOff>
      <xdr:row>14</xdr:row>
      <xdr:rowOff>60959</xdr:rowOff>
    </xdr:from>
    <xdr:to>
      <xdr:col>3</xdr:col>
      <xdr:colOff>274320</xdr:colOff>
      <xdr:row>25</xdr:row>
      <xdr:rowOff>180974</xdr:rowOff>
    </xdr:to>
    <mc:AlternateContent xmlns:mc="http://schemas.openxmlformats.org/markup-compatibility/2006" xmlns:a14="http://schemas.microsoft.com/office/drawing/2010/main">
      <mc:Choice Requires="a14">
        <xdr:graphicFrame macro="">
          <xdr:nvGraphicFramePr>
            <xdr:cNvPr id="62" name="Supplier">
              <a:extLst>
                <a:ext uri="{FF2B5EF4-FFF2-40B4-BE49-F238E27FC236}">
                  <a16:creationId xmlns:a16="http://schemas.microsoft.com/office/drawing/2014/main" id="{C8F47319-30F7-43AC-8C6E-7227C4D4D84C}"/>
                </a:ext>
              </a:extLst>
            </xdr:cNvPr>
            <xdr:cNvGraphicFramePr/>
          </xdr:nvGraphicFramePr>
          <xdr:xfrm>
            <a:off x="0" y="0"/>
            <a:ext cx="0" cy="0"/>
          </xdr:xfrm>
          <a:graphic>
            <a:graphicData uri="http://schemas.microsoft.com/office/drawing/2010/slicer">
              <sle:slicer xmlns:sle="http://schemas.microsoft.com/office/drawing/2010/slicer" name="Supplier"/>
            </a:graphicData>
          </a:graphic>
        </xdr:graphicFrame>
      </mc:Choice>
      <mc:Fallback xmlns="">
        <xdr:sp macro="" textlink="">
          <xdr:nvSpPr>
            <xdr:cNvPr id="0" name=""/>
            <xdr:cNvSpPr>
              <a:spLocks noTextEdit="1"/>
            </xdr:cNvSpPr>
          </xdr:nvSpPr>
          <xdr:spPr>
            <a:xfrm>
              <a:off x="160020" y="3108959"/>
              <a:ext cx="1943100" cy="25148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152400</xdr:colOff>
      <xdr:row>26</xdr:row>
      <xdr:rowOff>15239</xdr:rowOff>
    </xdr:from>
    <xdr:to>
      <xdr:col>3</xdr:col>
      <xdr:colOff>281940</xdr:colOff>
      <xdr:row>34</xdr:row>
      <xdr:rowOff>190500</xdr:rowOff>
    </xdr:to>
    <mc:AlternateContent xmlns:mc="http://schemas.openxmlformats.org/markup-compatibility/2006" xmlns:a14="http://schemas.microsoft.com/office/drawing/2010/main">
      <mc:Choice Requires="a14">
        <xdr:graphicFrame macro="">
          <xdr:nvGraphicFramePr>
            <xdr:cNvPr id="63" name="Warehouse_Location">
              <a:extLst>
                <a:ext uri="{FF2B5EF4-FFF2-40B4-BE49-F238E27FC236}">
                  <a16:creationId xmlns:a16="http://schemas.microsoft.com/office/drawing/2014/main" id="{15ED8622-2493-458A-8D29-4BDB13EF7AA8}"/>
                </a:ext>
              </a:extLst>
            </xdr:cNvPr>
            <xdr:cNvGraphicFramePr/>
          </xdr:nvGraphicFramePr>
          <xdr:xfrm>
            <a:off x="0" y="0"/>
            <a:ext cx="0" cy="0"/>
          </xdr:xfrm>
          <a:graphic>
            <a:graphicData uri="http://schemas.microsoft.com/office/drawing/2010/slicer">
              <sle:slicer xmlns:sle="http://schemas.microsoft.com/office/drawing/2010/slicer" name="Warehouse_Location"/>
            </a:graphicData>
          </a:graphic>
        </xdr:graphicFrame>
      </mc:Choice>
      <mc:Fallback xmlns="">
        <xdr:sp macro="" textlink="">
          <xdr:nvSpPr>
            <xdr:cNvPr id="0" name=""/>
            <xdr:cNvSpPr>
              <a:spLocks noTextEdit="1"/>
            </xdr:cNvSpPr>
          </xdr:nvSpPr>
          <xdr:spPr>
            <a:xfrm>
              <a:off x="152400" y="5675810"/>
              <a:ext cx="1958340" cy="19169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68229559-744E-40CD-A8AE-DE5DF7AA9111}"/>
</namedSheetView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tik dey" refreshedDate="46191.857178240738" createdVersion="8" refreshedVersion="8" minRefreshableVersion="3" recordCount="300" xr:uid="{B4565BDC-6644-4A15-9F70-B2EB886A678E}">
  <cacheSource type="worksheet">
    <worksheetSource name="tblInventory"/>
  </cacheSource>
  <cacheFields count="22">
    <cacheField name="SKU" numFmtId="0">
      <sharedItems count="300">
        <s v="SKU-1001"/>
        <s v="SKU-1002"/>
        <s v="SKU-1003"/>
        <s v="SKU-1004"/>
        <s v="SKU-1005"/>
        <s v="SKU-1006"/>
        <s v="SKU-1007"/>
        <s v="SKU-1008"/>
        <s v="SKU-1009"/>
        <s v="SKU-1010"/>
        <s v="SKU-1011"/>
        <s v="SKU-1012"/>
        <s v="SKU-1013"/>
        <s v="SKU-1014"/>
        <s v="SKU-1015"/>
        <s v="SKU-1016"/>
        <s v="SKU-1017"/>
        <s v="SKU-1018"/>
        <s v="SKU-1019"/>
        <s v="SKU-1020"/>
        <s v="SKU-1021"/>
        <s v="SKU-1022"/>
        <s v="SKU-1023"/>
        <s v="SKU-1024"/>
        <s v="SKU-1025"/>
        <s v="SKU-1026"/>
        <s v="SKU-1027"/>
        <s v="SKU-1028"/>
        <s v="SKU-1029"/>
        <s v="SKU-1030"/>
        <s v="SKU-1031"/>
        <s v="SKU-1032"/>
        <s v="SKU-1033"/>
        <s v="SKU-1034"/>
        <s v="SKU-1035"/>
        <s v="SKU-1036"/>
        <s v="SKU-1037"/>
        <s v="SKU-1038"/>
        <s v="SKU-1039"/>
        <s v="SKU-1040"/>
        <s v="SKU-1041"/>
        <s v="SKU-1042"/>
        <s v="SKU-1043"/>
        <s v="SKU-1044"/>
        <s v="SKU-1045"/>
        <s v="SKU-1046"/>
        <s v="SKU-1047"/>
        <s v="SKU-1048"/>
        <s v="SKU-1049"/>
        <s v="SKU-1050"/>
        <s v="SKU-1051"/>
        <s v="SKU-1052"/>
        <s v="SKU-1053"/>
        <s v="SKU-1054"/>
        <s v="SKU-1055"/>
        <s v="SKU-1056"/>
        <s v="SKU-1057"/>
        <s v="SKU-1058"/>
        <s v="SKU-1059"/>
        <s v="SKU-1060"/>
        <s v="SKU-1061"/>
        <s v="SKU-1062"/>
        <s v="SKU-1063"/>
        <s v="SKU-1064"/>
        <s v="SKU-1065"/>
        <s v="SKU-1066"/>
        <s v="SKU-1067"/>
        <s v="SKU-1068"/>
        <s v="SKU-1069"/>
        <s v="SKU-1070"/>
        <s v="SKU-1071"/>
        <s v="SKU-1072"/>
        <s v="SKU-1073"/>
        <s v="SKU-1074"/>
        <s v="SKU-1075"/>
        <s v="SKU-1076"/>
        <s v="SKU-1077"/>
        <s v="SKU-1078"/>
        <s v="SKU-1079"/>
        <s v="SKU-1080"/>
        <s v="SKU-1081"/>
        <s v="SKU-1082"/>
        <s v="SKU-1083"/>
        <s v="SKU-1084"/>
        <s v="SKU-1085"/>
        <s v="SKU-1086"/>
        <s v="SKU-1087"/>
        <s v="SKU-1088"/>
        <s v="SKU-1089"/>
        <s v="SKU-1090"/>
        <s v="SKU-1091"/>
        <s v="SKU-1092"/>
        <s v="SKU-1093"/>
        <s v="SKU-1094"/>
        <s v="SKU-1095"/>
        <s v="SKU-1096"/>
        <s v="SKU-1097"/>
        <s v="SKU-1098"/>
        <s v="SKU-1099"/>
        <s v="SKU-1100"/>
        <s v="SKU-1101"/>
        <s v="SKU-1102"/>
        <s v="SKU-1103"/>
        <s v="SKU-1104"/>
        <s v="SKU-1105"/>
        <s v="SKU-1106"/>
        <s v="SKU-1107"/>
        <s v="SKU-1108"/>
        <s v="SKU-1109"/>
        <s v="SKU-1110"/>
        <s v="SKU-1111"/>
        <s v="SKU-1112"/>
        <s v="SKU-1113"/>
        <s v="SKU-1114"/>
        <s v="SKU-1115"/>
        <s v="SKU-1116"/>
        <s v="SKU-1117"/>
        <s v="SKU-1118"/>
        <s v="SKU-1119"/>
        <s v="SKU-1120"/>
        <s v="SKU-1121"/>
        <s v="SKU-1122"/>
        <s v="SKU-1123"/>
        <s v="SKU-1124"/>
        <s v="SKU-1125"/>
        <s v="SKU-1126"/>
        <s v="SKU-1127"/>
        <s v="SKU-1128"/>
        <s v="SKU-1129"/>
        <s v="SKU-1130"/>
        <s v="SKU-1131"/>
        <s v="SKU-1132"/>
        <s v="SKU-1133"/>
        <s v="SKU-1134"/>
        <s v="SKU-1135"/>
        <s v="SKU-1136"/>
        <s v="SKU-1137"/>
        <s v="SKU-1138"/>
        <s v="SKU-1139"/>
        <s v="SKU-1140"/>
        <s v="SKU-1141"/>
        <s v="SKU-1142"/>
        <s v="SKU-1143"/>
        <s v="SKU-1144"/>
        <s v="SKU-1145"/>
        <s v="SKU-1146"/>
        <s v="SKU-1147"/>
        <s v="SKU-1148"/>
        <s v="SKU-1149"/>
        <s v="SKU-1150"/>
        <s v="SKU-1151"/>
        <s v="SKU-1152"/>
        <s v="SKU-1153"/>
        <s v="SKU-1154"/>
        <s v="SKU-1155"/>
        <s v="SKU-1156"/>
        <s v="SKU-1157"/>
        <s v="SKU-1158"/>
        <s v="SKU-1159"/>
        <s v="SKU-1160"/>
        <s v="SKU-1161"/>
        <s v="SKU-1162"/>
        <s v="SKU-1163"/>
        <s v="SKU-1164"/>
        <s v="SKU-1165"/>
        <s v="SKU-1166"/>
        <s v="SKU-1167"/>
        <s v="SKU-1168"/>
        <s v="SKU-1169"/>
        <s v="SKU-1170"/>
        <s v="SKU-1171"/>
        <s v="SKU-1172"/>
        <s v="SKU-1173"/>
        <s v="SKU-1174"/>
        <s v="SKU-1175"/>
        <s v="SKU-1176"/>
        <s v="SKU-1177"/>
        <s v="SKU-1178"/>
        <s v="SKU-1179"/>
        <s v="SKU-1180"/>
        <s v="SKU-1181"/>
        <s v="SKU-1182"/>
        <s v="SKU-1183"/>
        <s v="SKU-1184"/>
        <s v="SKU-1185"/>
        <s v="SKU-1186"/>
        <s v="SKU-1187"/>
        <s v="SKU-1188"/>
        <s v="SKU-1189"/>
        <s v="SKU-1190"/>
        <s v="SKU-1191"/>
        <s v="SKU-1192"/>
        <s v="SKU-1193"/>
        <s v="SKU-1194"/>
        <s v="SKU-1195"/>
        <s v="SKU-1196"/>
        <s v="SKU-1197"/>
        <s v="SKU-1198"/>
        <s v="SKU-1199"/>
        <s v="SKU-1200"/>
        <s v="SKU-1201"/>
        <s v="SKU-1202"/>
        <s v="SKU-1203"/>
        <s v="SKU-1204"/>
        <s v="SKU-1205"/>
        <s v="SKU-1206"/>
        <s v="SKU-1207"/>
        <s v="SKU-1208"/>
        <s v="SKU-1209"/>
        <s v="SKU-1210"/>
        <s v="SKU-1211"/>
        <s v="SKU-1212"/>
        <s v="SKU-1213"/>
        <s v="SKU-1214"/>
        <s v="SKU-1215"/>
        <s v="SKU-1216"/>
        <s v="SKU-1217"/>
        <s v="SKU-1218"/>
        <s v="SKU-1219"/>
        <s v="SKU-1220"/>
        <s v="SKU-1221"/>
        <s v="SKU-1222"/>
        <s v="SKU-1223"/>
        <s v="SKU-1224"/>
        <s v="SKU-1225"/>
        <s v="SKU-1226"/>
        <s v="SKU-1227"/>
        <s v="SKU-1228"/>
        <s v="SKU-1229"/>
        <s v="SKU-1230"/>
        <s v="SKU-1231"/>
        <s v="SKU-1232"/>
        <s v="SKU-1233"/>
        <s v="SKU-1234"/>
        <s v="SKU-1235"/>
        <s v="SKU-1236"/>
        <s v="SKU-1237"/>
        <s v="SKU-1238"/>
        <s v="SKU-1239"/>
        <s v="SKU-1240"/>
        <s v="SKU-1241"/>
        <s v="SKU-1242"/>
        <s v="SKU-1243"/>
        <s v="SKU-1244"/>
        <s v="SKU-1245"/>
        <s v="SKU-1246"/>
        <s v="SKU-1247"/>
        <s v="SKU-1248"/>
        <s v="SKU-1249"/>
        <s v="SKU-1250"/>
        <s v="SKU-1251"/>
        <s v="SKU-1252"/>
        <s v="SKU-1253"/>
        <s v="SKU-1254"/>
        <s v="SKU-1255"/>
        <s v="SKU-1256"/>
        <s v="SKU-1257"/>
        <s v="SKU-1258"/>
        <s v="SKU-1259"/>
        <s v="SKU-1260"/>
        <s v="SKU-1261"/>
        <s v="SKU-1262"/>
        <s v="SKU-1263"/>
        <s v="SKU-1264"/>
        <s v="SKU-1265"/>
        <s v="SKU-1266"/>
        <s v="SKU-1267"/>
        <s v="SKU-1268"/>
        <s v="SKU-1269"/>
        <s v="SKU-1270"/>
        <s v="SKU-1271"/>
        <s v="SKU-1272"/>
        <s v="SKU-1273"/>
        <s v="SKU-1274"/>
        <s v="SKU-1275"/>
        <s v="SKU-1276"/>
        <s v="SKU-1277"/>
        <s v="SKU-1278"/>
        <s v="SKU-1279"/>
        <s v="SKU-1280"/>
        <s v="SKU-1281"/>
        <s v="SKU-1282"/>
        <s v="SKU-1283"/>
        <s v="SKU-1284"/>
        <s v="SKU-1285"/>
        <s v="SKU-1286"/>
        <s v="SKU-1287"/>
        <s v="SKU-1288"/>
        <s v="SKU-1289"/>
        <s v="SKU-1290"/>
        <s v="SKU-1291"/>
        <s v="SKU-1292"/>
        <s v="SKU-1293"/>
        <s v="SKU-1294"/>
        <s v="SKU-1295"/>
        <s v="SKU-1296"/>
        <s v="SKU-1297"/>
        <s v="SKU-1298"/>
        <s v="SKU-1299"/>
        <s v="SKU-1300"/>
      </sharedItems>
    </cacheField>
    <cacheField name="Product_Name" numFmtId="0">
      <sharedItems count="60">
        <s v="Athletic Shorts"/>
        <s v="Wireless Mouse"/>
        <s v="Office Clock"/>
        <s v="Monitor Stand"/>
        <s v="Correction Fluid"/>
        <s v="Phone Charger"/>
        <s v="Gym Gloves"/>
        <s v="Envelopes Pack"/>
        <s v="Cutting Board"/>
        <s v="Toaster"/>
        <s v="Document Holder"/>
        <s v="Hoodie"/>
        <s v="Kitchen Knife"/>
        <s v="Power Bank"/>
        <s v="Dumbbells Set"/>
        <s v="Cable Manager"/>
        <s v="Resistance Bands"/>
        <s v="Desk Pad"/>
        <s v="Ergonomic Chair"/>
        <s v="Cap"/>
        <s v="Thermos Flask"/>
        <s v="Mixing Bowls Set"/>
        <s v="Foam Roller"/>
        <s v="Gym Bag"/>
        <s v="File Folders"/>
        <s v="Notebook A4"/>
        <s v="USB-C Cable"/>
        <s v="Sticky Notes"/>
        <s v="Coffee Maker"/>
        <s v="Running Shoes"/>
        <s v="Tank Top"/>
        <s v="Mechanical Keyboard"/>
        <s v="Skipping Rope"/>
        <s v="Desk Lamp"/>
        <s v="Dish Rack"/>
        <s v="Tape Dispenser"/>
        <s v="Stapler"/>
        <s v="Gym Shirt"/>
        <s v="Yoga Mat"/>
        <s v="Sports Socks"/>
        <s v="Ballpoint Pens"/>
        <s v="Filing Cabinet"/>
        <s v="Casual Pants"/>
        <s v="Webcam HD"/>
        <s v="Water Bottle"/>
        <s v="USB Hub"/>
        <s v="Storage Containers"/>
        <s v="Push-up Bars"/>
        <s v="Laptop Stand"/>
        <s v="Blender"/>
        <s v="T-Shirt Cotton"/>
        <s v="Printer Paper Ream"/>
        <s v="HDMI Cable"/>
        <s v="Highlighters Pack"/>
        <s v="Winter Jacket"/>
        <s v="Cookware Set"/>
        <s v="Exercise Ball"/>
        <s v="Desk Organizer"/>
        <s v="Monitor Riser"/>
        <s v="Whiteboard"/>
      </sharedItems>
    </cacheField>
    <cacheField name="Category" numFmtId="0">
      <sharedItems count="6">
        <s v="Apparel"/>
        <s v="Electronics"/>
        <s v="Office"/>
        <s v="Stationery"/>
        <s v="Fitness"/>
        <s v="Home &amp; Kitchen"/>
      </sharedItems>
    </cacheField>
    <cacheField name="Supplier" numFmtId="0">
      <sharedItems count="8">
        <s v="TechSupply Co"/>
        <s v="PaperMills Ltd"/>
        <s v="StyleWear Global"/>
        <s v="HomeComfort Ltd"/>
        <s v="AquaGear"/>
        <s v="OfficeLogistics Inc"/>
        <s v="ElectroHub"/>
        <s v="FitnessPro Industries"/>
      </sharedItems>
    </cacheField>
    <cacheField name="Warehouse_Location" numFmtId="0">
      <sharedItems count="5">
        <s v="Bangalore WH"/>
        <s v="Delhi WH"/>
        <s v="Mumbai WH"/>
        <s v="Hyderabad WH"/>
        <s v="Pune WH"/>
      </sharedItems>
    </cacheField>
    <cacheField name="Date_Received" numFmtId="0">
      <sharedItems/>
    </cacheField>
    <cacheField name="Qty_Received" numFmtId="1">
      <sharedItems containsSemiMixedTypes="0" containsString="0" containsNumber="1" containsInteger="1" minValue="50" maxValue="498"/>
    </cacheField>
    <cacheField name="Unit_Cost" numFmtId="164">
      <sharedItems containsSemiMixedTypes="0" containsString="0" containsNumber="1" minValue="25.3" maxValue="1991.94"/>
    </cacheField>
    <cacheField name="Unit_Price" numFmtId="164">
      <sharedItems containsSemiMixedTypes="0" containsString="0" containsNumber="1" minValue="49.99" maxValue="5015.13"/>
    </cacheField>
    <cacheField name="Qty_On_Hand" numFmtId="1">
      <sharedItems containsSemiMixedTypes="0" containsString="0" containsNumber="1" containsInteger="1" minValue="0" maxValue="434" count="182">
        <n v="50"/>
        <n v="65"/>
        <n v="71"/>
        <n v="220"/>
        <n v="115"/>
        <n v="130"/>
        <n v="45"/>
        <n v="171"/>
        <n v="155"/>
        <n v="233"/>
        <n v="245"/>
        <n v="89"/>
        <n v="81"/>
        <n v="75"/>
        <n v="19"/>
        <n v="73"/>
        <n v="25"/>
        <n v="64"/>
        <n v="35"/>
        <n v="40"/>
        <n v="23"/>
        <n v="63"/>
        <n v="2"/>
        <n v="6"/>
        <n v="4"/>
        <n v="8"/>
        <n v="20"/>
        <n v="29"/>
        <n v="17"/>
        <n v="62"/>
        <n v="1"/>
        <n v="22"/>
        <n v="13"/>
        <n v="52"/>
        <n v="55"/>
        <n v="42"/>
        <n v="3"/>
        <n v="5"/>
        <n v="76"/>
        <n v="15"/>
        <n v="68"/>
        <n v="47"/>
        <n v="10"/>
        <n v="48"/>
        <n v="51"/>
        <n v="38"/>
        <n v="7"/>
        <n v="39"/>
        <n v="18"/>
        <n v="21"/>
        <n v="56"/>
        <n v="82"/>
        <n v="12"/>
        <n v="49"/>
        <n v="226"/>
        <n v="53"/>
        <n v="185"/>
        <n v="282"/>
        <n v="0"/>
        <n v="278"/>
        <n v="242"/>
        <n v="135"/>
        <n v="249"/>
        <n v="298"/>
        <n v="247"/>
        <n v="386"/>
        <n v="187"/>
        <n v="256"/>
        <n v="58"/>
        <n v="287"/>
        <n v="214"/>
        <n v="108"/>
        <n v="69"/>
        <n v="11"/>
        <n v="303"/>
        <n v="324"/>
        <n v="83"/>
        <n v="340"/>
        <n v="390"/>
        <n v="43"/>
        <n v="139"/>
        <n v="28"/>
        <n v="31"/>
        <n v="9"/>
        <n v="178"/>
        <n v="78"/>
        <n v="165"/>
        <n v="129"/>
        <n v="118"/>
        <n v="268"/>
        <n v="72"/>
        <n v="168"/>
        <n v="87"/>
        <n v="378"/>
        <n v="319"/>
        <n v="136"/>
        <n v="195"/>
        <n v="190"/>
        <n v="106"/>
        <n v="60"/>
        <n v="241"/>
        <n v="311"/>
        <n v="32"/>
        <n v="259"/>
        <n v="61"/>
        <n v="102"/>
        <n v="86"/>
        <n v="92"/>
        <n v="114"/>
        <n v="383"/>
        <n v="33"/>
        <n v="88"/>
        <n v="126"/>
        <n v="368"/>
        <n v="264"/>
        <n v="309"/>
        <n v="30"/>
        <n v="263"/>
        <n v="93"/>
        <n v="172"/>
        <n v="134"/>
        <n v="107"/>
        <n v="169"/>
        <n v="140"/>
        <n v="44"/>
        <n v="300"/>
        <n v="234"/>
        <n v="218"/>
        <n v="120"/>
        <n v="157"/>
        <n v="275"/>
        <n v="105"/>
        <n v="236"/>
        <n v="328"/>
        <n v="276"/>
        <n v="266"/>
        <n v="164"/>
        <n v="74"/>
        <n v="125"/>
        <n v="70"/>
        <n v="315"/>
        <n v="146"/>
        <n v="434"/>
        <n v="243"/>
        <n v="192"/>
        <n v="97"/>
        <n v="138"/>
        <n v="141"/>
        <n v="286"/>
        <n v="320"/>
        <n v="205"/>
        <n v="354"/>
        <n v="216"/>
        <n v="274"/>
        <n v="346"/>
        <n v="265"/>
        <n v="37"/>
        <n v="103"/>
        <n v="24"/>
        <n v="253"/>
        <n v="415"/>
        <n v="90"/>
        <n v="225"/>
        <n v="179"/>
        <n v="96"/>
        <n v="100"/>
        <n v="150"/>
        <n v="59"/>
        <n v="133"/>
        <n v="94"/>
        <n v="163"/>
        <n v="144"/>
        <n v="121"/>
        <n v="117"/>
        <n v="66"/>
        <n v="183"/>
        <n v="308"/>
        <n v="153"/>
        <n v="406"/>
        <n v="122"/>
        <n v="123"/>
        <n v="162"/>
      </sharedItems>
    </cacheField>
    <cacheField name="Inventory Value" numFmtId="1">
      <sharedItems containsSemiMixedTypes="0" containsString="0" containsNumber="1" minValue="0" maxValue="668942.82000000007"/>
    </cacheField>
    <cacheField name="Reorder_Level" numFmtId="1">
      <sharedItems containsSemiMixedTypes="0" containsString="0" containsNumber="1" containsInteger="1" minValue="15" maxValue="100"/>
    </cacheField>
    <cacheField name="Reorder Flag" numFmtId="1">
      <sharedItems containsSemiMixedTypes="0" containsString="0" containsNumber="1" containsInteger="1" minValue="0" maxValue="1"/>
    </cacheField>
    <cacheField name="Reorder_Qty" numFmtId="1">
      <sharedItems containsSemiMixedTypes="0" containsString="0" containsNumber="1" containsInteger="1" minValue="50" maxValue="300"/>
    </cacheField>
    <cacheField name="Last_Sold_Date" numFmtId="1">
      <sharedItems/>
    </cacheField>
    <cacheField name="Qty_Sold_30D" numFmtId="0">
      <sharedItems containsSemiMixedTypes="0" containsString="0" containsNumber="1" containsInteger="1" minValue="0" maxValue="150"/>
    </cacheField>
    <cacheField name="Stock_Status" numFmtId="164">
      <sharedItems count="3">
        <s v="Out of Stock"/>
        <s v="Low Stock"/>
        <s v="In Stock"/>
      </sharedItems>
    </cacheField>
    <cacheField name="Sales_Revenue_30D" numFmtId="164">
      <sharedItems containsSemiMixedTypes="0" containsString="0" containsNumber="1" minValue="0" maxValue="699760.38"/>
    </cacheField>
    <cacheField name="COGS_30D" numFmtId="164">
      <sharedItems containsSemiMixedTypes="0" containsString="0" containsNumber="1" minValue="0" maxValue="292103.7"/>
    </cacheField>
    <cacheField name="Gross_Profit_30D" numFmtId="164">
      <sharedItems containsSemiMixedTypes="0" containsString="0" containsNumber="1" minValue="-60520.21" maxValue="422917.18"/>
    </cacheField>
    <cacheField name="Column1" numFmtId="164">
      <sharedItems containsSemiMixedTypes="0" containsString="0" containsNumber="1" minValue="-0.66493333944197563" maxValue="0.64125506800615151"/>
    </cacheField>
    <cacheField name="Stock_Value" numFmtId="0">
      <sharedItems containsSemiMixedTypes="0" containsString="0" containsNumber="1" minValue="0" maxValue="668942.81999999995"/>
    </cacheField>
  </cacheFields>
  <extLst>
    <ext xmlns:x14="http://schemas.microsoft.com/office/spreadsheetml/2009/9/main" uri="{725AE2AE-9491-48be-B2B4-4EB974FC3084}">
      <x14:pivotCacheDefinition pivotCacheId="17380554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x v="0"/>
    <x v="0"/>
    <x v="0"/>
    <x v="0"/>
    <x v="0"/>
    <s v="2024-02-01"/>
    <n v="121"/>
    <n v="222.94"/>
    <n v="537.51"/>
    <x v="0"/>
    <n v="11147"/>
    <n v="84"/>
    <n v="1"/>
    <n v="72"/>
    <s v="2024-05-08"/>
    <n v="108"/>
    <x v="0"/>
    <n v="58051.08"/>
    <n v="24077.52"/>
    <n v="33973.56"/>
    <n v="0.58523562352328318"/>
    <n v="0"/>
  </r>
  <r>
    <x v="1"/>
    <x v="1"/>
    <x v="1"/>
    <x v="1"/>
    <x v="1"/>
    <s v="2024-01-30"/>
    <n v="358"/>
    <n v="1131.27"/>
    <n v="2685.67"/>
    <x v="1"/>
    <n v="73532.55"/>
    <n v="84"/>
    <n v="1"/>
    <n v="157"/>
    <s v="2024-05-17"/>
    <n v="56"/>
    <x v="0"/>
    <n v="150397.51999999999"/>
    <n v="63351.12"/>
    <n v="87046.399999999994"/>
    <n v="0.57877550108539022"/>
    <n v="0"/>
  </r>
  <r>
    <x v="2"/>
    <x v="2"/>
    <x v="2"/>
    <x v="2"/>
    <x v="2"/>
    <s v="2024-04-07"/>
    <n v="407"/>
    <n v="693.7"/>
    <n v="1063.5899999999999"/>
    <x v="2"/>
    <n v="49252.700000000004"/>
    <n v="58"/>
    <n v="0"/>
    <n v="76"/>
    <s v="2024-05-06"/>
    <n v="23"/>
    <x v="0"/>
    <n v="24462.57"/>
    <n v="15955.1"/>
    <n v="8507.4699999999993"/>
    <n v="0.3477749884824039"/>
    <n v="0"/>
  </r>
  <r>
    <x v="3"/>
    <x v="3"/>
    <x v="2"/>
    <x v="3"/>
    <x v="0"/>
    <s v="2024-03-18"/>
    <n v="463"/>
    <n v="1464.87"/>
    <n v="3082.59"/>
    <x v="3"/>
    <n v="322271.39999999997"/>
    <n v="63"/>
    <n v="0"/>
    <n v="70"/>
    <s v="2024-05-09"/>
    <n v="141"/>
    <x v="0"/>
    <n v="434645.19"/>
    <n v="206546.67"/>
    <n v="228098.52"/>
    <n v="0.524792463480385"/>
    <n v="0"/>
  </r>
  <r>
    <x v="4"/>
    <x v="4"/>
    <x v="3"/>
    <x v="3"/>
    <x v="3"/>
    <s v="2024-01-25"/>
    <n v="85"/>
    <n v="1329.3"/>
    <n v="3269.55"/>
    <x v="4"/>
    <n v="152869.5"/>
    <n v="25"/>
    <n v="0"/>
    <n v="268"/>
    <s v="2024-05-23"/>
    <n v="59"/>
    <x v="0"/>
    <n v="192903.45"/>
    <n v="78428.7"/>
    <n v="114474.75"/>
    <n v="0.59343028857182178"/>
    <n v="0"/>
  </r>
  <r>
    <x v="5"/>
    <x v="5"/>
    <x v="1"/>
    <x v="2"/>
    <x v="4"/>
    <s v="2024-03-22"/>
    <n v="133"/>
    <n v="723.44"/>
    <n v="1667.72"/>
    <x v="5"/>
    <n v="94047.200000000012"/>
    <n v="97"/>
    <n v="0"/>
    <n v="68"/>
    <s v="2024-05-12"/>
    <n v="43"/>
    <x v="0"/>
    <n v="71711.960000000006"/>
    <n v="31107.919999999998"/>
    <n v="40604.04"/>
    <n v="0.56621015518192497"/>
    <n v="0"/>
  </r>
  <r>
    <x v="6"/>
    <x v="6"/>
    <x v="4"/>
    <x v="4"/>
    <x v="4"/>
    <s v="2024-02-18"/>
    <n v="377"/>
    <n v="1122.76"/>
    <n v="2612.5700000000002"/>
    <x v="6"/>
    <n v="50524.2"/>
    <n v="22"/>
    <n v="0"/>
    <n v="108"/>
    <s v="2024-05-09"/>
    <n v="8"/>
    <x v="0"/>
    <n v="20900.560000000001"/>
    <n v="8982.08"/>
    <n v="11918.48"/>
    <n v="0.57024692161358348"/>
    <n v="0"/>
  </r>
  <r>
    <x v="7"/>
    <x v="7"/>
    <x v="3"/>
    <x v="2"/>
    <x v="2"/>
    <s v="2024-01-28"/>
    <n v="498"/>
    <n v="643.05999999999995"/>
    <n v="1468.21"/>
    <x v="1"/>
    <n v="41798.899999999994"/>
    <n v="65"/>
    <n v="1"/>
    <n v="276"/>
    <s v="2024-05-19"/>
    <n v="117"/>
    <x v="0"/>
    <n v="171780.57"/>
    <n v="75238.02"/>
    <n v="96542.55"/>
    <n v="0.56201088400160737"/>
    <n v="0"/>
  </r>
  <r>
    <x v="8"/>
    <x v="8"/>
    <x v="5"/>
    <x v="4"/>
    <x v="1"/>
    <s v="2024-04-05"/>
    <n v="325"/>
    <n v="1499.09"/>
    <n v="2912.21"/>
    <x v="7"/>
    <n v="256344.38999999998"/>
    <n v="89"/>
    <n v="0"/>
    <n v="152"/>
    <s v="2024-05-18"/>
    <n v="92"/>
    <x v="0"/>
    <n v="267923.32"/>
    <n v="137916.28"/>
    <n v="130007.03999999999"/>
    <n v="0.48523973202481963"/>
    <n v="0"/>
  </r>
  <r>
    <x v="9"/>
    <x v="9"/>
    <x v="5"/>
    <x v="5"/>
    <x v="2"/>
    <s v="2024-04-06"/>
    <n v="490"/>
    <n v="322.63"/>
    <n v="496.84"/>
    <x v="8"/>
    <n v="50007.65"/>
    <n v="69"/>
    <n v="0"/>
    <n v="202"/>
    <s v="2024-05-02"/>
    <n v="16"/>
    <x v="0"/>
    <n v="7949.44"/>
    <n v="5162.08"/>
    <n v="2787.36"/>
    <n v="0.35063601964415109"/>
    <n v="0"/>
  </r>
  <r>
    <x v="10"/>
    <x v="10"/>
    <x v="2"/>
    <x v="5"/>
    <x v="3"/>
    <s v="2024-02-02"/>
    <n v="490"/>
    <n v="42.73"/>
    <n v="101.74"/>
    <x v="9"/>
    <n v="9956.09"/>
    <n v="83"/>
    <n v="0"/>
    <n v="242"/>
    <s v="2024-05-18"/>
    <n v="68"/>
    <x v="0"/>
    <n v="6918.32"/>
    <n v="2905.64"/>
    <n v="4012.68"/>
    <n v="0.58000786318065656"/>
    <n v="0"/>
  </r>
  <r>
    <x v="11"/>
    <x v="11"/>
    <x v="0"/>
    <x v="1"/>
    <x v="0"/>
    <s v="2024-02-25"/>
    <n v="282"/>
    <n v="1908.56"/>
    <n v="4988.55"/>
    <x v="10"/>
    <n v="467597.2"/>
    <n v="48"/>
    <n v="0"/>
    <n v="298"/>
    <s v="2024-05-06"/>
    <n v="128"/>
    <x v="0"/>
    <n v="638534.40000000002"/>
    <n v="244295.67999999999"/>
    <n v="394238.71999999997"/>
    <n v="0.61741187318960411"/>
    <n v="0"/>
  </r>
  <r>
    <x v="12"/>
    <x v="12"/>
    <x v="5"/>
    <x v="1"/>
    <x v="0"/>
    <s v="2024-04-17"/>
    <n v="309"/>
    <n v="322.62"/>
    <n v="788.41"/>
    <x v="11"/>
    <n v="28713.18"/>
    <n v="84"/>
    <n v="0"/>
    <n v="294"/>
    <s v="2024-05-21"/>
    <n v="135"/>
    <x v="0"/>
    <n v="106435.35"/>
    <n v="43553.7"/>
    <n v="62881.65"/>
    <n v="0.59079666670894582"/>
    <n v="0"/>
  </r>
  <r>
    <x v="13"/>
    <x v="13"/>
    <x v="1"/>
    <x v="3"/>
    <x v="4"/>
    <s v="2024-01-03"/>
    <n v="235"/>
    <n v="1970.94"/>
    <n v="4947.38"/>
    <x v="12"/>
    <n v="159646.14000000001"/>
    <n v="45"/>
    <n v="0"/>
    <n v="64"/>
    <s v="2024-05-04"/>
    <n v="61"/>
    <x v="0"/>
    <n v="301790.18"/>
    <n v="120227.34"/>
    <n v="181562.84"/>
    <n v="0.60161944301832482"/>
    <n v="0"/>
  </r>
  <r>
    <x v="14"/>
    <x v="14"/>
    <x v="4"/>
    <x v="1"/>
    <x v="4"/>
    <s v="2024-04-14"/>
    <n v="439"/>
    <n v="1536.35"/>
    <n v="2293.14"/>
    <x v="13"/>
    <n v="115226.25"/>
    <n v="75"/>
    <n v="1"/>
    <n v="292"/>
    <s v="2024-05-03"/>
    <n v="140"/>
    <x v="0"/>
    <n v="321039.59999999998"/>
    <n v="215089"/>
    <n v="105950.6"/>
    <n v="0.33002346128016607"/>
    <n v="0"/>
  </r>
  <r>
    <x v="15"/>
    <x v="8"/>
    <x v="5"/>
    <x v="6"/>
    <x v="1"/>
    <s v="2024-04-28"/>
    <n v="436"/>
    <n v="1385.94"/>
    <n v="3283.88"/>
    <x v="14"/>
    <n v="26332.86"/>
    <n v="66"/>
    <n v="1"/>
    <n v="221"/>
    <s v="2024-05-18"/>
    <n v="95"/>
    <x v="1"/>
    <n v="311968.59999999998"/>
    <n v="131664.29999999999"/>
    <n v="180304.3"/>
    <n v="0.5779565635772318"/>
    <n v="26332.86"/>
  </r>
  <r>
    <x v="16"/>
    <x v="15"/>
    <x v="2"/>
    <x v="5"/>
    <x v="2"/>
    <s v="2024-02-01"/>
    <n v="82"/>
    <n v="61.65"/>
    <n v="131.37"/>
    <x v="15"/>
    <n v="4500.45"/>
    <n v="90"/>
    <n v="1"/>
    <n v="106"/>
    <s v="2024-05-08"/>
    <n v="1"/>
    <x v="1"/>
    <n v="131.37"/>
    <n v="61.65"/>
    <n v="69.72"/>
    <n v="0.53071477506279974"/>
    <n v="4500.45"/>
  </r>
  <r>
    <x v="17"/>
    <x v="1"/>
    <x v="1"/>
    <x v="7"/>
    <x v="2"/>
    <s v="2024-04-25"/>
    <n v="490"/>
    <n v="160.30000000000001"/>
    <n v="265.62"/>
    <x v="16"/>
    <n v="4007.5000000000005"/>
    <n v="100"/>
    <n v="1"/>
    <n v="174"/>
    <s v="2024-05-02"/>
    <n v="54"/>
    <x v="1"/>
    <n v="14343.48"/>
    <n v="8656.2000000000007"/>
    <n v="5687.28"/>
    <n v="0.3965062871771704"/>
    <n v="4007.5"/>
  </r>
  <r>
    <x v="18"/>
    <x v="16"/>
    <x v="4"/>
    <x v="5"/>
    <x v="1"/>
    <s v="2024-04-10"/>
    <n v="463"/>
    <n v="397.01"/>
    <n v="573.84"/>
    <x v="17"/>
    <n v="25408.639999999999"/>
    <n v="70"/>
    <n v="1"/>
    <n v="140"/>
    <s v="2024-05-16"/>
    <n v="108"/>
    <x v="1"/>
    <n v="61974.720000000001"/>
    <n v="42877.08"/>
    <n v="19097.64"/>
    <n v="0.30815209814582462"/>
    <n v="25408.639999999999"/>
  </r>
  <r>
    <x v="19"/>
    <x v="17"/>
    <x v="2"/>
    <x v="0"/>
    <x v="2"/>
    <s v="2024-01-08"/>
    <n v="422"/>
    <n v="1605.17"/>
    <n v="2349.81"/>
    <x v="18"/>
    <n v="56180.950000000004"/>
    <n v="39"/>
    <n v="1"/>
    <n v="98"/>
    <s v="2024-05-13"/>
    <n v="137"/>
    <x v="1"/>
    <n v="321923.96999999997"/>
    <n v="219908.29"/>
    <n v="102015.67999999999"/>
    <n v="0.3168937062996583"/>
    <n v="56180.95"/>
  </r>
  <r>
    <x v="20"/>
    <x v="18"/>
    <x v="2"/>
    <x v="6"/>
    <x v="1"/>
    <s v="2024-02-05"/>
    <n v="177"/>
    <n v="897.4"/>
    <n v="2326.08"/>
    <x v="19"/>
    <n v="35896"/>
    <n v="85"/>
    <n v="1"/>
    <n v="75"/>
    <s v="2024-05-15"/>
    <n v="12"/>
    <x v="1"/>
    <n v="27912.959999999999"/>
    <n v="10768.8"/>
    <n v="17144.16"/>
    <n v="0.61420071536662546"/>
    <n v="35896"/>
  </r>
  <r>
    <x v="21"/>
    <x v="19"/>
    <x v="0"/>
    <x v="0"/>
    <x v="2"/>
    <s v="2024-04-28"/>
    <n v="135"/>
    <n v="981.57"/>
    <n v="1590.75"/>
    <x v="20"/>
    <n v="22576.11"/>
    <n v="66"/>
    <n v="1"/>
    <n v="281"/>
    <s v="2024-05-08"/>
    <n v="15"/>
    <x v="1"/>
    <n v="23861.25"/>
    <n v="14723.55"/>
    <n v="9137.7000000000007"/>
    <n v="0.382951438000943"/>
    <n v="22576.11"/>
  </r>
  <r>
    <x v="22"/>
    <x v="20"/>
    <x v="5"/>
    <x v="0"/>
    <x v="4"/>
    <s v="2024-02-03"/>
    <n v="196"/>
    <n v="1399.25"/>
    <n v="3352.26"/>
    <x v="21"/>
    <n v="88152.75"/>
    <n v="86"/>
    <n v="1"/>
    <n v="219"/>
    <s v="2024-05-15"/>
    <n v="124"/>
    <x v="1"/>
    <n v="415680.24"/>
    <n v="173507"/>
    <n v="242173.24"/>
    <n v="0.58259502544552033"/>
    <n v="88152.75"/>
  </r>
  <r>
    <x v="23"/>
    <x v="21"/>
    <x v="5"/>
    <x v="2"/>
    <x v="1"/>
    <s v="2024-01-08"/>
    <n v="426"/>
    <n v="140.69999999999999"/>
    <n v="249.1"/>
    <x v="22"/>
    <n v="281.39999999999998"/>
    <n v="21"/>
    <n v="1"/>
    <n v="199"/>
    <s v="2024-05-19"/>
    <n v="122"/>
    <x v="1"/>
    <n v="30390.2"/>
    <n v="17165.400000000001"/>
    <n v="13224.8"/>
    <n v="0.43516659975913285"/>
    <n v="281.39999999999998"/>
  </r>
  <r>
    <x v="24"/>
    <x v="22"/>
    <x v="4"/>
    <x v="4"/>
    <x v="2"/>
    <s v="2024-03-06"/>
    <n v="485"/>
    <n v="155.66999999999999"/>
    <n v="218.24"/>
    <x v="23"/>
    <n v="934.02"/>
    <n v="45"/>
    <n v="1"/>
    <n v="153"/>
    <s v="2024-05-03"/>
    <n v="30"/>
    <x v="1"/>
    <n v="6547.2"/>
    <n v="4670.1000000000004"/>
    <n v="1877.1"/>
    <n v="0.28670271260997066"/>
    <n v="934.02"/>
  </r>
  <r>
    <x v="25"/>
    <x v="6"/>
    <x v="4"/>
    <x v="0"/>
    <x v="3"/>
    <s v="2024-01-11"/>
    <n v="386"/>
    <n v="1139.1500000000001"/>
    <n v="2021.48"/>
    <x v="24"/>
    <n v="4556.6000000000004"/>
    <n v="48"/>
    <n v="1"/>
    <n v="102"/>
    <s v="2024-05-14"/>
    <n v="80"/>
    <x v="1"/>
    <n v="161718.39999999999"/>
    <n v="91132"/>
    <n v="70586.399999999994"/>
    <n v="0.43647723450145437"/>
    <n v="4556.6000000000004"/>
  </r>
  <r>
    <x v="26"/>
    <x v="8"/>
    <x v="5"/>
    <x v="6"/>
    <x v="1"/>
    <s v="2024-03-26"/>
    <n v="203"/>
    <n v="646.03"/>
    <n v="1568.43"/>
    <x v="25"/>
    <n v="5168.24"/>
    <n v="24"/>
    <n v="1"/>
    <n v="52"/>
    <s v="2024-05-21"/>
    <n v="117"/>
    <x v="1"/>
    <n v="183506.31"/>
    <n v="75585.509999999995"/>
    <n v="107920.8"/>
    <n v="0.58810402759447344"/>
    <n v="5168.24"/>
  </r>
  <r>
    <x v="27"/>
    <x v="23"/>
    <x v="4"/>
    <x v="1"/>
    <x v="2"/>
    <s v="2024-03-09"/>
    <n v="309"/>
    <n v="282.26"/>
    <n v="514.70000000000005"/>
    <x v="26"/>
    <n v="5645.2"/>
    <n v="23"/>
    <n v="1"/>
    <n v="275"/>
    <s v="2024-05-07"/>
    <n v="62"/>
    <x v="1"/>
    <n v="31911.4"/>
    <n v="17500.12"/>
    <n v="14411.28"/>
    <n v="0.45160287546143385"/>
    <n v="5645.2"/>
  </r>
  <r>
    <x v="28"/>
    <x v="24"/>
    <x v="3"/>
    <x v="4"/>
    <x v="4"/>
    <s v="2024-04-16"/>
    <n v="410"/>
    <n v="1231.1199999999999"/>
    <n v="3423.56"/>
    <x v="27"/>
    <n v="35702.479999999996"/>
    <n v="98"/>
    <n v="1"/>
    <n v="185"/>
    <s v="2024-05-18"/>
    <n v="2"/>
    <x v="1"/>
    <n v="6847.12"/>
    <n v="2462.2399999999998"/>
    <n v="4384.88"/>
    <n v="0.64039771465959416"/>
    <n v="35702.480000000003"/>
  </r>
  <r>
    <x v="29"/>
    <x v="19"/>
    <x v="0"/>
    <x v="2"/>
    <x v="2"/>
    <s v="2024-04-30"/>
    <n v="185"/>
    <n v="1781.63"/>
    <n v="4300.1899999999996"/>
    <x v="22"/>
    <n v="3563.26"/>
    <n v="34"/>
    <n v="1"/>
    <n v="119"/>
    <s v="2024-05-05"/>
    <n v="72"/>
    <x v="1"/>
    <n v="309613.68"/>
    <n v="128277.36"/>
    <n v="181336.32000000001"/>
    <n v="0.58568574876924051"/>
    <n v="3563.26"/>
  </r>
  <r>
    <x v="30"/>
    <x v="6"/>
    <x v="4"/>
    <x v="3"/>
    <x v="1"/>
    <s v="2024-03-28"/>
    <n v="486"/>
    <n v="1020.71"/>
    <n v="1711.41"/>
    <x v="28"/>
    <n v="17352.07"/>
    <n v="21"/>
    <n v="1"/>
    <n v="73"/>
    <s v="2024-05-21"/>
    <n v="108"/>
    <x v="1"/>
    <n v="184832.28"/>
    <n v="110236.68"/>
    <n v="74595.600000000006"/>
    <n v="0.40358534775419103"/>
    <n v="17352.07"/>
  </r>
  <r>
    <x v="31"/>
    <x v="25"/>
    <x v="3"/>
    <x v="0"/>
    <x v="0"/>
    <s v="2024-04-08"/>
    <n v="376"/>
    <n v="339.93"/>
    <n v="667.2"/>
    <x v="29"/>
    <n v="21075.66"/>
    <n v="69"/>
    <n v="1"/>
    <n v="193"/>
    <s v="2024-05-05"/>
    <n v="2"/>
    <x v="1"/>
    <n v="1334.4"/>
    <n v="679.86"/>
    <n v="654.54"/>
    <n v="0.49051258992805752"/>
    <n v="21075.66"/>
  </r>
  <r>
    <x v="32"/>
    <x v="26"/>
    <x v="1"/>
    <x v="4"/>
    <x v="3"/>
    <s v="2024-01-05"/>
    <n v="348"/>
    <n v="313.23"/>
    <n v="467.08"/>
    <x v="30"/>
    <n v="313.23"/>
    <n v="54"/>
    <n v="1"/>
    <n v="143"/>
    <s v="2024-05-12"/>
    <n v="10"/>
    <x v="1"/>
    <n v="4670.8"/>
    <n v="3132.3"/>
    <n v="1538.5"/>
    <n v="0.32938682880876935"/>
    <n v="313.23"/>
  </r>
  <r>
    <x v="33"/>
    <x v="27"/>
    <x v="3"/>
    <x v="7"/>
    <x v="2"/>
    <s v="2024-02-15"/>
    <n v="497"/>
    <n v="1948.2"/>
    <n v="4722.8599999999997"/>
    <x v="31"/>
    <n v="42860.4"/>
    <n v="45"/>
    <n v="1"/>
    <n v="271"/>
    <s v="2024-05-18"/>
    <n v="41"/>
    <x v="1"/>
    <n v="193637.26"/>
    <n v="79876.2"/>
    <n v="113761.06"/>
    <n v="0.58749571234379161"/>
    <n v="42860.4"/>
  </r>
  <r>
    <x v="34"/>
    <x v="20"/>
    <x v="5"/>
    <x v="0"/>
    <x v="1"/>
    <s v="2024-04-04"/>
    <n v="450"/>
    <n v="1608.43"/>
    <n v="4175.6400000000003"/>
    <x v="19"/>
    <n v="64337.200000000004"/>
    <n v="46"/>
    <n v="1"/>
    <n v="118"/>
    <s v="2024-05-11"/>
    <n v="40"/>
    <x v="1"/>
    <n v="167025.60000000001"/>
    <n v="64337.2"/>
    <n v="102688.4"/>
    <n v="0.61480635303809705"/>
    <n v="64337.2"/>
  </r>
  <r>
    <x v="35"/>
    <x v="0"/>
    <x v="0"/>
    <x v="6"/>
    <x v="2"/>
    <s v="2024-04-19"/>
    <n v="163"/>
    <n v="1636.84"/>
    <n v="3258.06"/>
    <x v="32"/>
    <n v="21278.92"/>
    <n v="54"/>
    <n v="1"/>
    <n v="260"/>
    <s v="2024-05-16"/>
    <n v="58"/>
    <x v="1"/>
    <n v="188967.48"/>
    <n v="94936.72"/>
    <n v="94030.76"/>
    <n v="0.49760286796437136"/>
    <n v="21278.92"/>
  </r>
  <r>
    <x v="36"/>
    <x v="28"/>
    <x v="5"/>
    <x v="7"/>
    <x v="4"/>
    <s v="2024-02-12"/>
    <n v="492"/>
    <n v="1934.44"/>
    <n v="3324.7"/>
    <x v="28"/>
    <n v="32885.480000000003"/>
    <n v="97"/>
    <n v="1"/>
    <n v="180"/>
    <s v="2024-05-09"/>
    <n v="102"/>
    <x v="1"/>
    <n v="339119.4"/>
    <n v="197312.88"/>
    <n v="141806.51999999999"/>
    <n v="0.41816103708605284"/>
    <n v="32885.480000000003"/>
  </r>
  <r>
    <x v="37"/>
    <x v="19"/>
    <x v="0"/>
    <x v="3"/>
    <x v="2"/>
    <s v="2024-01-15"/>
    <n v="141"/>
    <n v="95.75"/>
    <n v="210.16"/>
    <x v="31"/>
    <n v="2106.5"/>
    <n v="59"/>
    <n v="1"/>
    <n v="236"/>
    <s v="2024-05-09"/>
    <n v="80"/>
    <x v="1"/>
    <n v="16812.8"/>
    <n v="7660"/>
    <n v="9152.7999999999993"/>
    <n v="0.54439474685953559"/>
    <n v="2106.5"/>
  </r>
  <r>
    <x v="38"/>
    <x v="2"/>
    <x v="2"/>
    <x v="1"/>
    <x v="4"/>
    <s v="2024-04-25"/>
    <n v="147"/>
    <n v="107.89"/>
    <n v="210.83"/>
    <x v="20"/>
    <n v="2481.4699999999998"/>
    <n v="81"/>
    <n v="1"/>
    <n v="286"/>
    <s v="2024-05-19"/>
    <n v="137"/>
    <x v="1"/>
    <n v="28883.71"/>
    <n v="14780.93"/>
    <n v="14102.78"/>
    <n v="0.48826068396338285"/>
    <n v="2481.4699999999998"/>
  </r>
  <r>
    <x v="39"/>
    <x v="29"/>
    <x v="0"/>
    <x v="3"/>
    <x v="4"/>
    <s v="2024-01-09"/>
    <n v="219"/>
    <n v="641.54999999999995"/>
    <n v="1650.08"/>
    <x v="33"/>
    <n v="33360.6"/>
    <n v="53"/>
    <n v="1"/>
    <n v="179"/>
    <s v="2024-05-22"/>
    <n v="79"/>
    <x v="1"/>
    <n v="130356.32"/>
    <n v="50682.45"/>
    <n v="79673.87"/>
    <n v="0.61120066905846981"/>
    <n v="33360.6"/>
  </r>
  <r>
    <x v="40"/>
    <x v="30"/>
    <x v="0"/>
    <x v="3"/>
    <x v="4"/>
    <s v="2024-03-30"/>
    <n v="333"/>
    <n v="399.84"/>
    <n v="918.59"/>
    <x v="34"/>
    <n v="21991.199999999997"/>
    <n v="63"/>
    <n v="1"/>
    <n v="223"/>
    <s v="2024-05-10"/>
    <n v="44"/>
    <x v="1"/>
    <n v="40417.96"/>
    <n v="17592.96"/>
    <n v="22825"/>
    <n v="0.56472419686693742"/>
    <n v="21991.200000000001"/>
  </r>
  <r>
    <x v="41"/>
    <x v="23"/>
    <x v="4"/>
    <x v="2"/>
    <x v="4"/>
    <s v="2024-03-11"/>
    <n v="205"/>
    <n v="436.16"/>
    <n v="1081.08"/>
    <x v="35"/>
    <n v="18318.72"/>
    <n v="92"/>
    <n v="1"/>
    <n v="217"/>
    <s v="2024-05-01"/>
    <n v="82"/>
    <x v="1"/>
    <n v="88648.56"/>
    <n v="35765.120000000003"/>
    <n v="52883.44"/>
    <n v="0.59655159655159662"/>
    <n v="18318.72"/>
  </r>
  <r>
    <x v="42"/>
    <x v="17"/>
    <x v="2"/>
    <x v="5"/>
    <x v="1"/>
    <s v="2024-03-06"/>
    <n v="456"/>
    <n v="1477.2"/>
    <n v="3380.24"/>
    <x v="24"/>
    <n v="5908.8"/>
    <n v="51"/>
    <n v="1"/>
    <n v="181"/>
    <s v="2024-05-16"/>
    <n v="85"/>
    <x v="1"/>
    <n v="287320.40000000002"/>
    <n v="125562"/>
    <n v="161758.39999999999"/>
    <n v="0.56298961020519245"/>
    <n v="5908.8"/>
  </r>
  <r>
    <x v="43"/>
    <x v="31"/>
    <x v="1"/>
    <x v="2"/>
    <x v="1"/>
    <s v="2024-04-13"/>
    <n v="125"/>
    <n v="111.5"/>
    <n v="309.51"/>
    <x v="36"/>
    <n v="334.5"/>
    <n v="93"/>
    <n v="1"/>
    <n v="267"/>
    <s v="2024-05-07"/>
    <n v="18"/>
    <x v="1"/>
    <n v="5571.18"/>
    <n v="2007"/>
    <n v="3564.18"/>
    <n v="0.63975315821782808"/>
    <n v="334.5"/>
  </r>
  <r>
    <x v="44"/>
    <x v="10"/>
    <x v="2"/>
    <x v="7"/>
    <x v="4"/>
    <s v="2024-03-04"/>
    <n v="174"/>
    <n v="1318.99"/>
    <n v="1725.66"/>
    <x v="37"/>
    <n v="6594.95"/>
    <n v="28"/>
    <n v="1"/>
    <n v="249"/>
    <s v="2024-05-13"/>
    <n v="108"/>
    <x v="1"/>
    <n v="186371.28"/>
    <n v="142450.92000000001"/>
    <n v="43920.36"/>
    <n v="0.2356605588586396"/>
    <n v="6594.95"/>
  </r>
  <r>
    <x v="45"/>
    <x v="9"/>
    <x v="5"/>
    <x v="5"/>
    <x v="2"/>
    <s v="2024-03-12"/>
    <n v="484"/>
    <n v="923.79"/>
    <n v="2311.44"/>
    <x v="38"/>
    <n v="70208.039999999994"/>
    <n v="100"/>
    <n v="1"/>
    <n v="185"/>
    <s v="2024-05-08"/>
    <n v="143"/>
    <x v="1"/>
    <n v="330535.92"/>
    <n v="132101.97"/>
    <n v="198433.95"/>
    <n v="0.60034004776243388"/>
    <n v="70208.039999999994"/>
  </r>
  <r>
    <x v="46"/>
    <x v="32"/>
    <x v="4"/>
    <x v="5"/>
    <x v="3"/>
    <s v="2024-04-14"/>
    <n v="268"/>
    <n v="1796.47"/>
    <n v="4339.34"/>
    <x v="14"/>
    <n v="34132.93"/>
    <n v="75"/>
    <n v="1"/>
    <n v="165"/>
    <s v="2024-05-17"/>
    <n v="66"/>
    <x v="1"/>
    <n v="286396.44"/>
    <n v="118567.02"/>
    <n v="167829.42"/>
    <n v="0.58600386233851232"/>
    <n v="34132.93"/>
  </r>
  <r>
    <x v="47"/>
    <x v="8"/>
    <x v="5"/>
    <x v="5"/>
    <x v="1"/>
    <s v="2024-02-05"/>
    <n v="89"/>
    <n v="484.3"/>
    <n v="873.57"/>
    <x v="39"/>
    <n v="7264.5"/>
    <n v="84"/>
    <n v="1"/>
    <n v="70"/>
    <s v="2024-05-15"/>
    <n v="35"/>
    <x v="1"/>
    <n v="30574.95"/>
    <n v="16950.5"/>
    <n v="13624.45"/>
    <n v="0.44560825119910252"/>
    <n v="7264.5"/>
  </r>
  <r>
    <x v="48"/>
    <x v="21"/>
    <x v="5"/>
    <x v="6"/>
    <x v="1"/>
    <s v="2024-03-31"/>
    <n v="82"/>
    <n v="827.05"/>
    <n v="1748.31"/>
    <x v="40"/>
    <n v="56239.399999999994"/>
    <n v="68"/>
    <n v="1"/>
    <n v="65"/>
    <s v="2024-05-07"/>
    <n v="52"/>
    <x v="1"/>
    <n v="90912.12"/>
    <n v="43006.6"/>
    <n v="47905.52"/>
    <n v="0.52694316225383364"/>
    <n v="56239.4"/>
  </r>
  <r>
    <x v="49"/>
    <x v="10"/>
    <x v="2"/>
    <x v="0"/>
    <x v="3"/>
    <s v="2024-02-18"/>
    <n v="53"/>
    <n v="611.25"/>
    <n v="1152.19"/>
    <x v="41"/>
    <n v="28728.75"/>
    <n v="68"/>
    <n v="1"/>
    <n v="187"/>
    <s v="2024-05-16"/>
    <n v="139"/>
    <x v="1"/>
    <n v="160154.41"/>
    <n v="84963.75"/>
    <n v="75190.66"/>
    <n v="0.46948853921662226"/>
    <n v="28728.75"/>
  </r>
  <r>
    <x v="50"/>
    <x v="6"/>
    <x v="4"/>
    <x v="5"/>
    <x v="1"/>
    <s v="2024-02-04"/>
    <n v="298"/>
    <n v="789.94"/>
    <n v="1819.48"/>
    <x v="42"/>
    <n v="7899.4000000000005"/>
    <n v="66"/>
    <n v="1"/>
    <n v="235"/>
    <s v="2024-05-14"/>
    <n v="42"/>
    <x v="1"/>
    <n v="76418.16"/>
    <n v="33177.480000000003"/>
    <n v="43240.68"/>
    <n v="0.56584298810649192"/>
    <n v="7899.4"/>
  </r>
  <r>
    <x v="51"/>
    <x v="18"/>
    <x v="2"/>
    <x v="0"/>
    <x v="4"/>
    <s v="2024-03-16"/>
    <n v="389"/>
    <n v="186.22"/>
    <n v="361.81"/>
    <x v="43"/>
    <n v="8938.56"/>
    <n v="74"/>
    <n v="1"/>
    <n v="96"/>
    <s v="2024-05-19"/>
    <n v="12"/>
    <x v="1"/>
    <n v="4341.72"/>
    <n v="2234.64"/>
    <n v="2107.08"/>
    <n v="0.48530996932091425"/>
    <n v="8938.56"/>
  </r>
  <r>
    <x v="52"/>
    <x v="7"/>
    <x v="3"/>
    <x v="3"/>
    <x v="1"/>
    <s v="2024-02-28"/>
    <n v="222"/>
    <n v="1761.69"/>
    <n v="3025.5"/>
    <x v="44"/>
    <n v="89846.19"/>
    <n v="68"/>
    <n v="1"/>
    <n v="114"/>
    <s v="2024-05-11"/>
    <n v="20"/>
    <x v="1"/>
    <n v="60510"/>
    <n v="35233.800000000003"/>
    <n v="25276.2"/>
    <n v="0.41771938522558255"/>
    <n v="89846.19"/>
  </r>
  <r>
    <x v="53"/>
    <x v="33"/>
    <x v="2"/>
    <x v="0"/>
    <x v="0"/>
    <s v="2024-01-29"/>
    <n v="85"/>
    <n v="99.71"/>
    <n v="134.26"/>
    <x v="45"/>
    <n v="3788.9799999999996"/>
    <n v="46"/>
    <n v="1"/>
    <n v="101"/>
    <s v="2024-05-21"/>
    <n v="5"/>
    <x v="1"/>
    <n v="671.3"/>
    <n v="498.55"/>
    <n v="172.75"/>
    <n v="0.25733651124683454"/>
    <n v="3788.98"/>
  </r>
  <r>
    <x v="54"/>
    <x v="16"/>
    <x v="4"/>
    <x v="7"/>
    <x v="1"/>
    <s v="2024-03-01"/>
    <n v="108"/>
    <n v="1896.56"/>
    <n v="3788.48"/>
    <x v="46"/>
    <n v="13275.92"/>
    <n v="47"/>
    <n v="1"/>
    <n v="246"/>
    <s v="2024-05-22"/>
    <n v="94"/>
    <x v="1"/>
    <n v="356117.12"/>
    <n v="178276.64"/>
    <n v="177840.48"/>
    <n v="0.49938761719739849"/>
    <n v="13275.92"/>
  </r>
  <r>
    <x v="55"/>
    <x v="34"/>
    <x v="5"/>
    <x v="1"/>
    <x v="1"/>
    <s v="2024-02-09"/>
    <n v="346"/>
    <n v="1859.2"/>
    <n v="4022.74"/>
    <x v="31"/>
    <n v="40902.400000000001"/>
    <n v="63"/>
    <n v="1"/>
    <n v="151"/>
    <s v="2024-05-04"/>
    <n v="50"/>
    <x v="1"/>
    <n v="201137"/>
    <n v="92960"/>
    <n v="108177"/>
    <n v="0.53782745094139817"/>
    <n v="40902.400000000001"/>
  </r>
  <r>
    <x v="56"/>
    <x v="13"/>
    <x v="1"/>
    <x v="7"/>
    <x v="2"/>
    <s v="2024-03-30"/>
    <n v="485"/>
    <n v="1208.81"/>
    <n v="1790.95"/>
    <x v="47"/>
    <n v="47143.59"/>
    <n v="87"/>
    <n v="1"/>
    <n v="250"/>
    <s v="2024-05-10"/>
    <n v="10"/>
    <x v="1"/>
    <n v="17909.5"/>
    <n v="12088.1"/>
    <n v="5821.4"/>
    <n v="0.32504536698400288"/>
    <n v="47143.59"/>
  </r>
  <r>
    <x v="57"/>
    <x v="35"/>
    <x v="3"/>
    <x v="6"/>
    <x v="0"/>
    <s v="2024-01-09"/>
    <n v="381"/>
    <n v="45.05"/>
    <n v="86.95"/>
    <x v="35"/>
    <n v="1892.1"/>
    <n v="77"/>
    <n v="1"/>
    <n v="77"/>
    <s v="2024-05-17"/>
    <n v="110"/>
    <x v="1"/>
    <n v="9564.5"/>
    <n v="4955.5"/>
    <n v="4609"/>
    <n v="0.48188614146060954"/>
    <n v="1892.1"/>
  </r>
  <r>
    <x v="58"/>
    <x v="36"/>
    <x v="3"/>
    <x v="4"/>
    <x v="4"/>
    <s v="2024-01-23"/>
    <n v="383"/>
    <n v="1239.51"/>
    <n v="3321.18"/>
    <x v="48"/>
    <n v="22311.18"/>
    <n v="76"/>
    <n v="1"/>
    <n v="169"/>
    <s v="2024-05-17"/>
    <n v="111"/>
    <x v="1"/>
    <n v="368650.98"/>
    <n v="137585.60999999999"/>
    <n v="231065.37"/>
    <n v="0.62678626271385474"/>
    <n v="22311.18"/>
  </r>
  <r>
    <x v="59"/>
    <x v="37"/>
    <x v="0"/>
    <x v="2"/>
    <x v="0"/>
    <s v="2024-04-19"/>
    <n v="475"/>
    <n v="572.28"/>
    <n v="1130.94"/>
    <x v="49"/>
    <n v="12017.88"/>
    <n v="74"/>
    <n v="1"/>
    <n v="195"/>
    <s v="2024-05-08"/>
    <n v="97"/>
    <x v="1"/>
    <n v="109701.18"/>
    <n v="55511.16"/>
    <n v="54190.02"/>
    <n v="0.49397846039577697"/>
    <n v="12017.88"/>
  </r>
  <r>
    <x v="60"/>
    <x v="25"/>
    <x v="3"/>
    <x v="5"/>
    <x v="0"/>
    <s v="2024-01-24"/>
    <n v="158"/>
    <n v="1599.71"/>
    <n v="2896.29"/>
    <x v="50"/>
    <n v="89583.760000000009"/>
    <n v="91"/>
    <n v="1"/>
    <n v="229"/>
    <s v="2024-05-16"/>
    <n v="70"/>
    <x v="1"/>
    <n v="202740.3"/>
    <n v="111979.7"/>
    <n v="90760.6"/>
    <n v="0.44766925963905552"/>
    <n v="89583.76"/>
  </r>
  <r>
    <x v="61"/>
    <x v="38"/>
    <x v="4"/>
    <x v="7"/>
    <x v="2"/>
    <s v="2024-01-31"/>
    <n v="300"/>
    <n v="1521.17"/>
    <n v="3553.32"/>
    <x v="51"/>
    <n v="124735.94"/>
    <n v="97"/>
    <n v="1"/>
    <n v="232"/>
    <s v="2024-05-14"/>
    <n v="125"/>
    <x v="1"/>
    <n v="444165"/>
    <n v="190146.25"/>
    <n v="254018.75"/>
    <n v="0.57190177073835169"/>
    <n v="124735.94"/>
  </r>
  <r>
    <x v="62"/>
    <x v="33"/>
    <x v="2"/>
    <x v="1"/>
    <x v="0"/>
    <s v="2024-01-29"/>
    <n v="404"/>
    <n v="626.29"/>
    <n v="1360.51"/>
    <x v="21"/>
    <n v="39456.269999999997"/>
    <n v="75"/>
    <n v="1"/>
    <n v="191"/>
    <s v="2024-05-13"/>
    <n v="135"/>
    <x v="1"/>
    <n v="183668.85"/>
    <n v="84549.15"/>
    <n v="99119.7"/>
    <n v="0.53966527258160535"/>
    <n v="39456.269999999997"/>
  </r>
  <r>
    <x v="63"/>
    <x v="7"/>
    <x v="3"/>
    <x v="3"/>
    <x v="0"/>
    <s v="2024-03-30"/>
    <n v="188"/>
    <n v="517.78"/>
    <n v="766.82"/>
    <x v="49"/>
    <n v="10873.38"/>
    <n v="39"/>
    <n v="1"/>
    <n v="130"/>
    <s v="2024-05-15"/>
    <n v="30"/>
    <x v="1"/>
    <n v="23004.6"/>
    <n v="15533.4"/>
    <n v="7471.2"/>
    <n v="0.32476982864296705"/>
    <n v="10873.38"/>
  </r>
  <r>
    <x v="64"/>
    <x v="19"/>
    <x v="0"/>
    <x v="4"/>
    <x v="1"/>
    <s v="2024-01-28"/>
    <n v="191"/>
    <n v="1187.3800000000001"/>
    <n v="2897.58"/>
    <x v="20"/>
    <n v="27309.74"/>
    <n v="91"/>
    <n v="1"/>
    <n v="122"/>
    <s v="2024-05-16"/>
    <n v="25"/>
    <x v="1"/>
    <n v="72439.5"/>
    <n v="29684.5"/>
    <n v="42755"/>
    <n v="0.59021666356062641"/>
    <n v="27309.74"/>
  </r>
  <r>
    <x v="65"/>
    <x v="8"/>
    <x v="5"/>
    <x v="7"/>
    <x v="0"/>
    <s v="2024-01-23"/>
    <n v="57"/>
    <n v="1077.5899999999999"/>
    <n v="1844.26"/>
    <x v="48"/>
    <n v="19396.62"/>
    <n v="21"/>
    <n v="1"/>
    <n v="191"/>
    <s v="2024-05-10"/>
    <n v="74"/>
    <x v="1"/>
    <n v="136475.24"/>
    <n v="79741.66"/>
    <n v="56733.58"/>
    <n v="0.41570602843416876"/>
    <n v="19396.62"/>
  </r>
  <r>
    <x v="66"/>
    <x v="39"/>
    <x v="0"/>
    <x v="5"/>
    <x v="2"/>
    <s v="2024-04-21"/>
    <n v="343"/>
    <n v="949.41"/>
    <n v="1861.51"/>
    <x v="20"/>
    <n v="21836.43"/>
    <n v="38"/>
    <n v="1"/>
    <n v="297"/>
    <s v="2024-05-01"/>
    <n v="13"/>
    <x v="1"/>
    <n v="24199.63"/>
    <n v="12342.33"/>
    <n v="11857.3"/>
    <n v="0.48997856578798926"/>
    <n v="21836.43"/>
  </r>
  <r>
    <x v="67"/>
    <x v="36"/>
    <x v="3"/>
    <x v="1"/>
    <x v="2"/>
    <s v="2024-02-21"/>
    <n v="87"/>
    <n v="1266.3"/>
    <n v="1748.02"/>
    <x v="39"/>
    <n v="18994.5"/>
    <n v="34"/>
    <n v="1"/>
    <n v="257"/>
    <s v="2024-05-16"/>
    <n v="144"/>
    <x v="1"/>
    <n v="251714.88"/>
    <n v="182347.2"/>
    <n v="69367.679999999993"/>
    <n v="0.27558037093397098"/>
    <n v="18994.5"/>
  </r>
  <r>
    <x v="68"/>
    <x v="40"/>
    <x v="3"/>
    <x v="7"/>
    <x v="2"/>
    <s v="2024-03-12"/>
    <n v="360"/>
    <n v="1585.67"/>
    <n v="2598.17"/>
    <x v="38"/>
    <n v="120510.92000000001"/>
    <n v="81"/>
    <n v="1"/>
    <n v="147"/>
    <s v="2024-05-14"/>
    <n v="115"/>
    <x v="1"/>
    <n v="298789.55"/>
    <n v="182352.05"/>
    <n v="116437.5"/>
    <n v="0.3896973639138317"/>
    <n v="120510.92"/>
  </r>
  <r>
    <x v="69"/>
    <x v="41"/>
    <x v="2"/>
    <x v="6"/>
    <x v="0"/>
    <s v="2024-03-13"/>
    <n v="80"/>
    <n v="1921.02"/>
    <n v="2783.27"/>
    <x v="52"/>
    <n v="23052.239999999998"/>
    <n v="41"/>
    <n v="1"/>
    <n v="210"/>
    <s v="2024-05-20"/>
    <n v="54"/>
    <x v="1"/>
    <n v="150296.57999999999"/>
    <n v="103735.08"/>
    <n v="46561.5"/>
    <n v="0.3097974684453898"/>
    <n v="23052.240000000002"/>
  </r>
  <r>
    <x v="70"/>
    <x v="40"/>
    <x v="3"/>
    <x v="4"/>
    <x v="1"/>
    <s v="2024-01-23"/>
    <n v="88"/>
    <n v="25.3"/>
    <n v="49.99"/>
    <x v="53"/>
    <n v="1239.7"/>
    <n v="91"/>
    <n v="1"/>
    <n v="170"/>
    <s v="2024-05-18"/>
    <n v="74"/>
    <x v="1"/>
    <n v="3699.26"/>
    <n v="1872.2"/>
    <n v="1827.06"/>
    <n v="0.49389877975595115"/>
    <n v="1239.7"/>
  </r>
  <r>
    <x v="71"/>
    <x v="31"/>
    <x v="1"/>
    <x v="2"/>
    <x v="0"/>
    <s v="2024-03-30"/>
    <n v="86"/>
    <n v="1849.34"/>
    <n v="4589.58"/>
    <x v="19"/>
    <n v="73973.599999999991"/>
    <n v="95"/>
    <n v="1"/>
    <n v="200"/>
    <s v="2024-05-15"/>
    <n v="50"/>
    <x v="1"/>
    <n v="229479"/>
    <n v="92467"/>
    <n v="137012"/>
    <n v="0.5970568112986373"/>
    <n v="73973.600000000006"/>
  </r>
  <r>
    <x v="72"/>
    <x v="3"/>
    <x v="2"/>
    <x v="7"/>
    <x v="1"/>
    <s v="2024-04-26"/>
    <n v="473"/>
    <n v="161.38999999999999"/>
    <n v="249.97"/>
    <x v="41"/>
    <n v="7585.329999999999"/>
    <n v="54"/>
    <n v="1"/>
    <n v="202"/>
    <s v="2024-05-09"/>
    <n v="145"/>
    <x v="1"/>
    <n v="36245.65"/>
    <n v="23401.55"/>
    <n v="12844.1"/>
    <n v="0.35436252350282033"/>
    <n v="7585.33"/>
  </r>
  <r>
    <x v="73"/>
    <x v="36"/>
    <x v="3"/>
    <x v="1"/>
    <x v="4"/>
    <s v="2024-03-29"/>
    <n v="408"/>
    <n v="1886.5"/>
    <n v="3868.66"/>
    <x v="45"/>
    <n v="71687"/>
    <n v="78"/>
    <n v="1"/>
    <n v="162"/>
    <s v="2024-05-10"/>
    <n v="20"/>
    <x v="1"/>
    <n v="77373.2"/>
    <n v="37730"/>
    <n v="39643.199999999997"/>
    <n v="0.51236345401250039"/>
    <n v="71687"/>
  </r>
  <r>
    <x v="74"/>
    <x v="38"/>
    <x v="4"/>
    <x v="6"/>
    <x v="0"/>
    <s v="2024-03-18"/>
    <n v="63"/>
    <n v="473.27"/>
    <n v="1093.94"/>
    <x v="28"/>
    <n v="8045.59"/>
    <n v="88"/>
    <n v="1"/>
    <n v="200"/>
    <s v="2024-05-09"/>
    <n v="5"/>
    <x v="1"/>
    <n v="5469.7"/>
    <n v="2366.35"/>
    <n v="3103.35"/>
    <n v="0.56737115381099512"/>
    <n v="8045.59"/>
  </r>
  <r>
    <x v="75"/>
    <x v="42"/>
    <x v="0"/>
    <x v="0"/>
    <x v="1"/>
    <s v="2024-03-01"/>
    <n v="383"/>
    <n v="1833.82"/>
    <n v="2883.19"/>
    <x v="54"/>
    <n v="414443.32"/>
    <n v="89"/>
    <n v="0"/>
    <n v="161"/>
    <s v="2024-05-17"/>
    <n v="125"/>
    <x v="2"/>
    <n v="360398.75"/>
    <n v="229227.5"/>
    <n v="131171.25"/>
    <n v="0.36396144548226095"/>
    <n v="414443.32"/>
  </r>
  <r>
    <x v="76"/>
    <x v="43"/>
    <x v="1"/>
    <x v="3"/>
    <x v="4"/>
    <s v="2024-02-12"/>
    <n v="393"/>
    <n v="1718.31"/>
    <n v="3083.86"/>
    <x v="55"/>
    <n v="91070.43"/>
    <n v="78"/>
    <n v="1"/>
    <n v="123"/>
    <s v="2024-05-11"/>
    <n v="102"/>
    <x v="1"/>
    <n v="314553.71999999997"/>
    <n v="175267.62"/>
    <n v="139286.1"/>
    <n v="0.44280544512396808"/>
    <n v="91070.43"/>
  </r>
  <r>
    <x v="77"/>
    <x v="38"/>
    <x v="4"/>
    <x v="5"/>
    <x v="2"/>
    <s v="2024-02-10"/>
    <n v="215"/>
    <n v="1940.97"/>
    <n v="3700"/>
    <x v="27"/>
    <n v="56288.13"/>
    <n v="80"/>
    <n v="1"/>
    <n v="261"/>
    <s v="2024-05-09"/>
    <n v="0"/>
    <x v="1"/>
    <n v="0"/>
    <n v="0"/>
    <n v="0"/>
    <n v="0"/>
    <n v="56288.13"/>
  </r>
  <r>
    <x v="78"/>
    <x v="19"/>
    <x v="0"/>
    <x v="5"/>
    <x v="4"/>
    <s v="2024-01-07"/>
    <n v="315"/>
    <n v="1252.82"/>
    <n v="2565.4499999999998"/>
    <x v="56"/>
    <n v="231771.69999999998"/>
    <n v="71"/>
    <n v="0"/>
    <n v="244"/>
    <s v="2024-05-07"/>
    <n v="13"/>
    <x v="2"/>
    <n v="33350.85"/>
    <n v="16286.66"/>
    <n v="17064.189999999999"/>
    <n v="0.51165682433880999"/>
    <n v="231771.7"/>
  </r>
  <r>
    <x v="79"/>
    <x v="8"/>
    <x v="5"/>
    <x v="4"/>
    <x v="0"/>
    <s v="2024-02-26"/>
    <n v="298"/>
    <n v="77.16"/>
    <n v="173.23"/>
    <x v="29"/>
    <n v="4783.92"/>
    <n v="45"/>
    <n v="0"/>
    <n v="231"/>
    <s v="2024-05-23"/>
    <n v="40"/>
    <x v="2"/>
    <n v="6929.2"/>
    <n v="3086.4"/>
    <n v="3842.8"/>
    <n v="0.55458061536685332"/>
    <n v="4783.92"/>
  </r>
  <r>
    <x v="80"/>
    <x v="35"/>
    <x v="3"/>
    <x v="0"/>
    <x v="3"/>
    <s v="2024-02-22"/>
    <n v="165"/>
    <n v="933.67"/>
    <n v="1378.28"/>
    <x v="27"/>
    <n v="27076.43"/>
    <n v="34"/>
    <n v="1"/>
    <n v="177"/>
    <s v="2024-05-03"/>
    <n v="74"/>
    <x v="1"/>
    <n v="101992.72"/>
    <n v="69091.58"/>
    <n v="32901.14"/>
    <n v="0.32258321966508979"/>
    <n v="27076.43"/>
  </r>
  <r>
    <x v="81"/>
    <x v="44"/>
    <x v="4"/>
    <x v="6"/>
    <x v="4"/>
    <s v="2024-03-01"/>
    <n v="283"/>
    <n v="306.39"/>
    <n v="485.91"/>
    <x v="57"/>
    <n v="86401.98"/>
    <n v="91"/>
    <n v="0"/>
    <n v="180"/>
    <s v="2024-05-08"/>
    <n v="34"/>
    <x v="2"/>
    <n v="16520.939999999999"/>
    <n v="10417.26"/>
    <n v="6103.68"/>
    <n v="0.36945113292585052"/>
    <n v="86401.98"/>
  </r>
  <r>
    <x v="82"/>
    <x v="45"/>
    <x v="1"/>
    <x v="6"/>
    <x v="0"/>
    <s v="2024-04-29"/>
    <n v="186"/>
    <n v="580.02"/>
    <n v="1013.78"/>
    <x v="58"/>
    <n v="0"/>
    <n v="90"/>
    <n v="1"/>
    <n v="198"/>
    <s v="2024-05-17"/>
    <n v="125"/>
    <x v="0"/>
    <n v="126722.5"/>
    <n v="72502.5"/>
    <n v="54220"/>
    <n v="0.42786403361676101"/>
    <n v="0"/>
  </r>
  <r>
    <x v="83"/>
    <x v="46"/>
    <x v="5"/>
    <x v="5"/>
    <x v="0"/>
    <s v="2024-02-12"/>
    <n v="440"/>
    <n v="766.88"/>
    <n v="2070.02"/>
    <x v="59"/>
    <n v="213192.63999999998"/>
    <n v="39"/>
    <n v="0"/>
    <n v="228"/>
    <s v="2024-05-18"/>
    <n v="61"/>
    <x v="2"/>
    <n v="126271.22"/>
    <n v="46779.68"/>
    <n v="79491.539999999994"/>
    <n v="0.6295301494671548"/>
    <n v="213192.64"/>
  </r>
  <r>
    <x v="84"/>
    <x v="47"/>
    <x v="4"/>
    <x v="7"/>
    <x v="4"/>
    <s v="2024-01-06"/>
    <n v="431"/>
    <n v="1416.35"/>
    <n v="3565.11"/>
    <x v="60"/>
    <n v="342756.69999999995"/>
    <n v="64"/>
    <n v="0"/>
    <n v="219"/>
    <s v="2024-05-11"/>
    <n v="38"/>
    <x v="2"/>
    <n v="135474.18"/>
    <n v="53821.3"/>
    <n v="81652.88"/>
    <n v="0.6027191306860098"/>
    <n v="342756.7"/>
  </r>
  <r>
    <x v="85"/>
    <x v="33"/>
    <x v="2"/>
    <x v="4"/>
    <x v="3"/>
    <s v="2024-03-16"/>
    <n v="495"/>
    <n v="1750.9"/>
    <n v="3432.57"/>
    <x v="44"/>
    <n v="89295.900000000009"/>
    <n v="82"/>
    <n v="1"/>
    <n v="283"/>
    <s v="2024-05-11"/>
    <n v="116"/>
    <x v="1"/>
    <n v="398178.12"/>
    <n v="203104.4"/>
    <n v="195073.72"/>
    <n v="0.48991571912590276"/>
    <n v="89295.9"/>
  </r>
  <r>
    <x v="86"/>
    <x v="48"/>
    <x v="1"/>
    <x v="6"/>
    <x v="1"/>
    <s v="2024-01-10"/>
    <n v="450"/>
    <n v="690.35"/>
    <n v="1614.77"/>
    <x v="61"/>
    <n v="93197.25"/>
    <n v="98"/>
    <n v="0"/>
    <n v="70"/>
    <s v="2024-05-16"/>
    <n v="84"/>
    <x v="2"/>
    <n v="135640.68"/>
    <n v="57989.4"/>
    <n v="77651.28"/>
    <n v="0.57247781417787058"/>
    <n v="93197.25"/>
  </r>
  <r>
    <x v="87"/>
    <x v="19"/>
    <x v="0"/>
    <x v="6"/>
    <x v="0"/>
    <s v="2024-03-21"/>
    <n v="438"/>
    <n v="1747.32"/>
    <n v="2365.61"/>
    <x v="62"/>
    <n v="435082.68"/>
    <n v="23"/>
    <n v="0"/>
    <n v="110"/>
    <s v="2024-05-23"/>
    <n v="73"/>
    <x v="2"/>
    <n v="172689.53"/>
    <n v="127554.36"/>
    <n v="45135.17"/>
    <n v="0.26136599016744094"/>
    <n v="435082.68"/>
  </r>
  <r>
    <x v="88"/>
    <x v="49"/>
    <x v="5"/>
    <x v="6"/>
    <x v="2"/>
    <s v="2024-04-07"/>
    <n v="410"/>
    <n v="898.48"/>
    <n v="2103.34"/>
    <x v="44"/>
    <n v="45822.48"/>
    <n v="18"/>
    <n v="0"/>
    <n v="61"/>
    <s v="2024-05-21"/>
    <n v="83"/>
    <x v="2"/>
    <n v="174577.22"/>
    <n v="74573.84"/>
    <n v="100003.38"/>
    <n v="0.57283178183270422"/>
    <n v="45822.48"/>
  </r>
  <r>
    <x v="89"/>
    <x v="45"/>
    <x v="1"/>
    <x v="3"/>
    <x v="0"/>
    <s v="2024-02-25"/>
    <n v="175"/>
    <n v="835.86"/>
    <n v="1941.45"/>
    <x v="61"/>
    <n v="112841.1"/>
    <n v="38"/>
    <n v="0"/>
    <n v="93"/>
    <s v="2024-05-05"/>
    <n v="44"/>
    <x v="2"/>
    <n v="85423.8"/>
    <n v="36777.839999999997"/>
    <n v="48645.96"/>
    <n v="0.56946612068299463"/>
    <n v="112841.1"/>
  </r>
  <r>
    <x v="90"/>
    <x v="13"/>
    <x v="1"/>
    <x v="6"/>
    <x v="3"/>
    <s v="2024-03-28"/>
    <n v="304"/>
    <n v="303.37"/>
    <n v="604.23"/>
    <x v="63"/>
    <n v="90404.26"/>
    <n v="47"/>
    <n v="0"/>
    <n v="167"/>
    <s v="2024-05-08"/>
    <n v="65"/>
    <x v="2"/>
    <n v="39274.949999999997"/>
    <n v="19719.05"/>
    <n v="19555.900000000001"/>
    <n v="0.49792297635006544"/>
    <n v="90404.26"/>
  </r>
  <r>
    <x v="91"/>
    <x v="50"/>
    <x v="0"/>
    <x v="5"/>
    <x v="0"/>
    <s v="2024-03-27"/>
    <n v="130"/>
    <n v="894.62"/>
    <n v="1626.73"/>
    <x v="48"/>
    <n v="16103.16"/>
    <n v="90"/>
    <n v="1"/>
    <n v="126"/>
    <s v="2024-05-18"/>
    <n v="108"/>
    <x v="1"/>
    <n v="175686.84"/>
    <n v="96618.96"/>
    <n v="79067.88"/>
    <n v="0.4500501005083819"/>
    <n v="16103.16"/>
  </r>
  <r>
    <x v="92"/>
    <x v="42"/>
    <x v="0"/>
    <x v="5"/>
    <x v="0"/>
    <s v="2024-01-26"/>
    <n v="486"/>
    <n v="231.17"/>
    <n v="432.76"/>
    <x v="64"/>
    <n v="57098.99"/>
    <n v="60"/>
    <n v="0"/>
    <n v="197"/>
    <s v="2024-05-13"/>
    <n v="75"/>
    <x v="2"/>
    <n v="32457"/>
    <n v="17337.75"/>
    <n v="15119.25"/>
    <n v="0.46582401330991774"/>
    <n v="57098.99"/>
  </r>
  <r>
    <x v="93"/>
    <x v="42"/>
    <x v="0"/>
    <x v="0"/>
    <x v="4"/>
    <s v="2024-02-05"/>
    <n v="339"/>
    <n v="1823.02"/>
    <n v="4407.62"/>
    <x v="16"/>
    <n v="45575.5"/>
    <n v="51"/>
    <n v="1"/>
    <n v="248"/>
    <s v="2024-05-01"/>
    <n v="58"/>
    <x v="1"/>
    <n v="255641.96"/>
    <n v="105735.16"/>
    <n v="149906.79999999999"/>
    <n v="0.58639356387347363"/>
    <n v="45575.5"/>
  </r>
  <r>
    <x v="94"/>
    <x v="32"/>
    <x v="4"/>
    <x v="7"/>
    <x v="1"/>
    <s v="2024-03-20"/>
    <n v="397"/>
    <n v="1447.44"/>
    <n v="3312.86"/>
    <x v="65"/>
    <n v="558711.84"/>
    <n v="32"/>
    <n v="0"/>
    <n v="210"/>
    <s v="2024-05-09"/>
    <n v="24"/>
    <x v="2"/>
    <n v="79508.639999999999"/>
    <n v="34738.559999999998"/>
    <n v="44770.080000000002"/>
    <n v="0.56308446478269536"/>
    <n v="558711.84"/>
  </r>
  <r>
    <x v="95"/>
    <x v="50"/>
    <x v="0"/>
    <x v="2"/>
    <x v="4"/>
    <s v="2024-01-05"/>
    <n v="236"/>
    <n v="280.2"/>
    <n v="746.58"/>
    <x v="66"/>
    <n v="52397.4"/>
    <n v="56"/>
    <n v="0"/>
    <n v="241"/>
    <s v="2024-05-19"/>
    <n v="106"/>
    <x v="2"/>
    <n v="79137.48"/>
    <n v="29701.200000000001"/>
    <n v="49436.28"/>
    <n v="0.62468857992445559"/>
    <n v="52397.4"/>
  </r>
  <r>
    <x v="96"/>
    <x v="21"/>
    <x v="5"/>
    <x v="4"/>
    <x v="3"/>
    <s v="2024-04-22"/>
    <n v="321"/>
    <n v="1828.7"/>
    <n v="4655.34"/>
    <x v="67"/>
    <n v="468147.20000000001"/>
    <n v="47"/>
    <n v="0"/>
    <n v="283"/>
    <s v="2024-05-12"/>
    <n v="123"/>
    <x v="2"/>
    <n v="572606.81999999995"/>
    <n v="224930.1"/>
    <n v="347676.72"/>
    <n v="0.60718228958572307"/>
    <n v="468147.20000000001"/>
  </r>
  <r>
    <x v="97"/>
    <x v="51"/>
    <x v="3"/>
    <x v="1"/>
    <x v="4"/>
    <s v="2024-01-10"/>
    <n v="436"/>
    <n v="1723.08"/>
    <n v="4111.83"/>
    <x v="4"/>
    <n v="198154.19999999998"/>
    <n v="65"/>
    <n v="0"/>
    <n v="297"/>
    <s v="2024-05-05"/>
    <n v="142"/>
    <x v="2"/>
    <n v="583879.86"/>
    <n v="244677.36"/>
    <n v="339202.5"/>
    <n v="0.58094571030417119"/>
    <n v="198154.2"/>
  </r>
  <r>
    <x v="98"/>
    <x v="40"/>
    <x v="3"/>
    <x v="6"/>
    <x v="2"/>
    <s v="2024-02-03"/>
    <n v="113"/>
    <n v="749.8"/>
    <n v="1817.15"/>
    <x v="68"/>
    <n v="43488.399999999994"/>
    <n v="48"/>
    <n v="0"/>
    <n v="199"/>
    <s v="2024-05-18"/>
    <n v="97"/>
    <x v="2"/>
    <n v="176263.55"/>
    <n v="72730.600000000006"/>
    <n v="103532.95"/>
    <n v="0.58737583578680908"/>
    <n v="43488.4"/>
  </r>
  <r>
    <x v="99"/>
    <x v="11"/>
    <x v="0"/>
    <x v="1"/>
    <x v="1"/>
    <s v="2024-03-01"/>
    <n v="367"/>
    <n v="669.45"/>
    <n v="1482.91"/>
    <x v="69"/>
    <n v="192132.15000000002"/>
    <n v="97"/>
    <n v="0"/>
    <n v="66"/>
    <s v="2024-05-01"/>
    <n v="118"/>
    <x v="2"/>
    <n v="174983.38"/>
    <n v="78995.100000000006"/>
    <n v="95988.28"/>
    <n v="0.5485565543424753"/>
    <n v="192132.15"/>
  </r>
  <r>
    <x v="100"/>
    <x v="42"/>
    <x v="0"/>
    <x v="6"/>
    <x v="2"/>
    <s v="2024-01-18"/>
    <n v="69"/>
    <n v="1991.94"/>
    <n v="2936.48"/>
    <x v="45"/>
    <n v="75693.72"/>
    <n v="45"/>
    <n v="1"/>
    <n v="277"/>
    <s v="2024-05-02"/>
    <n v="137"/>
    <x v="1"/>
    <n v="402297.76"/>
    <n v="272895.78000000003"/>
    <n v="129401.98"/>
    <n v="0.32165722225249277"/>
    <n v="75693.72"/>
  </r>
  <r>
    <x v="101"/>
    <x v="20"/>
    <x v="5"/>
    <x v="5"/>
    <x v="0"/>
    <s v="2024-03-26"/>
    <n v="326"/>
    <n v="1182.93"/>
    <n v="2827.08"/>
    <x v="70"/>
    <n v="253147.02000000002"/>
    <n v="68"/>
    <n v="0"/>
    <n v="217"/>
    <s v="2024-05-23"/>
    <n v="25"/>
    <x v="2"/>
    <n v="70677"/>
    <n v="29573.25"/>
    <n v="41103.75"/>
    <n v="0.58157179846343221"/>
    <n v="253147.02"/>
  </r>
  <r>
    <x v="102"/>
    <x v="2"/>
    <x v="2"/>
    <x v="6"/>
    <x v="0"/>
    <s v="2024-01-05"/>
    <n v="239"/>
    <n v="897.9"/>
    <n v="2447.5300000000002"/>
    <x v="34"/>
    <n v="49384.5"/>
    <n v="61"/>
    <n v="1"/>
    <n v="75"/>
    <s v="2024-05-23"/>
    <n v="94"/>
    <x v="1"/>
    <n v="230067.82"/>
    <n v="84402.6"/>
    <n v="145665.22"/>
    <n v="0.63314034965863542"/>
    <n v="49384.5"/>
  </r>
  <r>
    <x v="103"/>
    <x v="32"/>
    <x v="4"/>
    <x v="0"/>
    <x v="4"/>
    <s v="2024-02-05"/>
    <n v="112"/>
    <n v="1651.9"/>
    <n v="2374.62"/>
    <x v="71"/>
    <n v="178405.2"/>
    <n v="42"/>
    <n v="0"/>
    <n v="214"/>
    <s v="2024-05-07"/>
    <n v="5"/>
    <x v="2"/>
    <n v="11873.1"/>
    <n v="8259.5"/>
    <n v="3613.6"/>
    <n v="0.30435185419140742"/>
    <n v="178405.2"/>
  </r>
  <r>
    <x v="104"/>
    <x v="52"/>
    <x v="1"/>
    <x v="7"/>
    <x v="1"/>
    <s v="2024-04-10"/>
    <n v="155"/>
    <n v="1663.04"/>
    <n v="3544.46"/>
    <x v="28"/>
    <n v="28271.68"/>
    <n v="90"/>
    <n v="1"/>
    <n v="105"/>
    <s v="2024-05-19"/>
    <n v="59"/>
    <x v="1"/>
    <n v="209123.14"/>
    <n v="98119.360000000001"/>
    <n v="111003.78"/>
    <n v="0.53080582091489248"/>
    <n v="28271.68"/>
  </r>
  <r>
    <x v="105"/>
    <x v="53"/>
    <x v="3"/>
    <x v="0"/>
    <x v="0"/>
    <s v="2024-04-19"/>
    <n v="116"/>
    <n v="516.29999999999995"/>
    <n v="806.33"/>
    <x v="72"/>
    <n v="35624.699999999997"/>
    <n v="99"/>
    <n v="1"/>
    <n v="271"/>
    <s v="2024-05-05"/>
    <n v="6"/>
    <x v="1"/>
    <n v="4837.9799999999996"/>
    <n v="3097.8"/>
    <n v="1740.18"/>
    <n v="0.35969144146937365"/>
    <n v="35624.699999999997"/>
  </r>
  <r>
    <x v="106"/>
    <x v="28"/>
    <x v="5"/>
    <x v="3"/>
    <x v="1"/>
    <s v="2024-03-16"/>
    <n v="58"/>
    <n v="545.42999999999995"/>
    <n v="812.77"/>
    <x v="73"/>
    <n v="5999.73"/>
    <n v="68"/>
    <n v="1"/>
    <n v="184"/>
    <s v="2024-05-11"/>
    <n v="29"/>
    <x v="1"/>
    <n v="23570.33"/>
    <n v="15817.47"/>
    <n v="7752.86"/>
    <n v="0.32892454199835131"/>
    <n v="5999.73"/>
  </r>
  <r>
    <x v="107"/>
    <x v="0"/>
    <x v="0"/>
    <x v="5"/>
    <x v="4"/>
    <s v="2024-04-09"/>
    <n v="312"/>
    <n v="235.93"/>
    <n v="485.01"/>
    <x v="74"/>
    <n v="71486.790000000008"/>
    <n v="93"/>
    <n v="0"/>
    <n v="61"/>
    <s v="2024-05-12"/>
    <n v="133"/>
    <x v="2"/>
    <n v="64506.33"/>
    <n v="31378.69"/>
    <n v="33127.64"/>
    <n v="0.51355642151708214"/>
    <n v="71486.789999999994"/>
  </r>
  <r>
    <x v="108"/>
    <x v="36"/>
    <x v="3"/>
    <x v="0"/>
    <x v="2"/>
    <s v="2024-03-02"/>
    <n v="268"/>
    <n v="990.73"/>
    <n v="2639.85"/>
    <x v="34"/>
    <n v="54490.15"/>
    <n v="24"/>
    <n v="0"/>
    <n v="280"/>
    <s v="2024-05-13"/>
    <n v="20"/>
    <x v="2"/>
    <n v="52797"/>
    <n v="19814.599999999999"/>
    <n v="32982.400000000001"/>
    <n v="0.62470216110763876"/>
    <n v="54490.15"/>
  </r>
  <r>
    <x v="109"/>
    <x v="4"/>
    <x v="3"/>
    <x v="4"/>
    <x v="2"/>
    <s v="2024-01-17"/>
    <n v="369"/>
    <n v="1179.02"/>
    <n v="2792.19"/>
    <x v="75"/>
    <n v="382002.48"/>
    <n v="63"/>
    <n v="0"/>
    <n v="202"/>
    <s v="2024-05-09"/>
    <n v="135"/>
    <x v="2"/>
    <n v="376945.65"/>
    <n v="159167.70000000001"/>
    <n v="217777.95"/>
    <n v="0.57774363492455738"/>
    <n v="382002.48"/>
  </r>
  <r>
    <x v="110"/>
    <x v="36"/>
    <x v="3"/>
    <x v="6"/>
    <x v="2"/>
    <s v="2024-04-11"/>
    <n v="108"/>
    <n v="1308.81"/>
    <n v="3211.09"/>
    <x v="76"/>
    <n v="108631.23"/>
    <n v="42"/>
    <n v="0"/>
    <n v="160"/>
    <s v="2024-05-23"/>
    <n v="115"/>
    <x v="2"/>
    <n v="369275.35"/>
    <n v="150513.15"/>
    <n v="218762.2"/>
    <n v="0.59240943106546384"/>
    <n v="108631.23"/>
  </r>
  <r>
    <x v="111"/>
    <x v="20"/>
    <x v="5"/>
    <x v="3"/>
    <x v="4"/>
    <s v="2024-02-21"/>
    <n v="423"/>
    <n v="638.85"/>
    <n v="1129.99"/>
    <x v="43"/>
    <n v="30664.800000000003"/>
    <n v="47"/>
    <n v="0"/>
    <n v="145"/>
    <s v="2024-05-14"/>
    <n v="39"/>
    <x v="2"/>
    <n v="44069.61"/>
    <n v="24915.15"/>
    <n v="19154.46"/>
    <n v="0.4346410145222524"/>
    <n v="30664.799999999999"/>
  </r>
  <r>
    <x v="112"/>
    <x v="54"/>
    <x v="0"/>
    <x v="1"/>
    <x v="2"/>
    <s v="2024-04-16"/>
    <n v="97"/>
    <n v="211.2"/>
    <n v="508.61"/>
    <x v="34"/>
    <n v="11616"/>
    <n v="31"/>
    <n v="0"/>
    <n v="192"/>
    <s v="2024-05-03"/>
    <n v="15"/>
    <x v="2"/>
    <n v="7629.15"/>
    <n v="3168"/>
    <n v="4461.1499999999996"/>
    <n v="0.58475059475826274"/>
    <n v="11616"/>
  </r>
  <r>
    <x v="113"/>
    <x v="22"/>
    <x v="4"/>
    <x v="3"/>
    <x v="2"/>
    <s v="2024-02-22"/>
    <n v="497"/>
    <n v="1883.44"/>
    <n v="3643.34"/>
    <x v="77"/>
    <n v="640369.6"/>
    <n v="21"/>
    <n v="0"/>
    <n v="297"/>
    <s v="2024-05-12"/>
    <n v="73"/>
    <x v="2"/>
    <n v="265963.82"/>
    <n v="137491.12"/>
    <n v="128472.7"/>
    <n v="0.48304577667744431"/>
    <n v="640369.6"/>
  </r>
  <r>
    <x v="114"/>
    <x v="44"/>
    <x v="4"/>
    <x v="3"/>
    <x v="2"/>
    <s v="2024-03-14"/>
    <n v="158"/>
    <n v="1320.34"/>
    <n v="2160.56"/>
    <x v="47"/>
    <n v="51493.259999999995"/>
    <n v="28"/>
    <n v="0"/>
    <n v="139"/>
    <s v="2024-05-17"/>
    <n v="142"/>
    <x v="2"/>
    <n v="306799.52"/>
    <n v="187488.28"/>
    <n v="119311.24"/>
    <n v="0.38888991742881474"/>
    <n v="51493.26"/>
  </r>
  <r>
    <x v="115"/>
    <x v="40"/>
    <x v="3"/>
    <x v="2"/>
    <x v="3"/>
    <s v="2024-01-29"/>
    <n v="482"/>
    <n v="1949.6"/>
    <n v="4927.8900000000003"/>
    <x v="69"/>
    <n v="559535.19999999995"/>
    <n v="93"/>
    <n v="0"/>
    <n v="222"/>
    <s v="2024-05-14"/>
    <n v="142"/>
    <x v="2"/>
    <n v="699760.38"/>
    <n v="276843.2"/>
    <n v="422917.18"/>
    <n v="0.60437428595199971"/>
    <n v="559535.19999999995"/>
  </r>
  <r>
    <x v="116"/>
    <x v="13"/>
    <x v="1"/>
    <x v="2"/>
    <x v="2"/>
    <s v="2024-01-24"/>
    <n v="409"/>
    <n v="631.79"/>
    <n v="1143.3699999999999"/>
    <x v="78"/>
    <n v="246398.09999999998"/>
    <n v="15"/>
    <n v="0"/>
    <n v="96"/>
    <s v="2024-05-09"/>
    <n v="36"/>
    <x v="2"/>
    <n v="41161.32"/>
    <n v="22744.44"/>
    <n v="18416.88"/>
    <n v="0.44743171501788576"/>
    <n v="246398.1"/>
  </r>
  <r>
    <x v="117"/>
    <x v="47"/>
    <x v="4"/>
    <x v="1"/>
    <x v="1"/>
    <s v="2024-04-04"/>
    <n v="65"/>
    <n v="1497.3"/>
    <n v="2429.67"/>
    <x v="73"/>
    <n v="16470.3"/>
    <n v="68"/>
    <n v="1"/>
    <n v="166"/>
    <s v="2024-05-21"/>
    <n v="87"/>
    <x v="1"/>
    <n v="211381.29"/>
    <n v="130265.1"/>
    <n v="81116.19"/>
    <n v="0.38374347133561348"/>
    <n v="16470.3"/>
  </r>
  <r>
    <x v="118"/>
    <x v="55"/>
    <x v="5"/>
    <x v="2"/>
    <x v="0"/>
    <s v="2024-04-09"/>
    <n v="355"/>
    <n v="1769.02"/>
    <n v="2712.56"/>
    <x v="79"/>
    <n v="76067.86"/>
    <n v="94"/>
    <n v="1"/>
    <n v="62"/>
    <s v="2024-05-19"/>
    <n v="20"/>
    <x v="1"/>
    <n v="54251.199999999997"/>
    <n v="35380.400000000001"/>
    <n v="18870.8"/>
    <n v="0.34784115374406466"/>
    <n v="76067.86"/>
  </r>
  <r>
    <x v="119"/>
    <x v="36"/>
    <x v="3"/>
    <x v="6"/>
    <x v="4"/>
    <s v="2024-03-18"/>
    <n v="262"/>
    <n v="446.83"/>
    <n v="924.28"/>
    <x v="80"/>
    <n v="62109.369999999995"/>
    <n v="59"/>
    <n v="0"/>
    <n v="160"/>
    <s v="2024-05-15"/>
    <n v="28"/>
    <x v="2"/>
    <n v="25879.84"/>
    <n v="12511.24"/>
    <n v="13368.6"/>
    <n v="0.51656424460120309"/>
    <n v="62109.37"/>
  </r>
  <r>
    <x v="120"/>
    <x v="4"/>
    <x v="3"/>
    <x v="5"/>
    <x v="3"/>
    <s v="2024-03-26"/>
    <n v="73"/>
    <n v="802.62"/>
    <n v="1764.95"/>
    <x v="81"/>
    <n v="22473.360000000001"/>
    <n v="15"/>
    <n v="0"/>
    <n v="102"/>
    <s v="2024-05-10"/>
    <n v="77"/>
    <x v="2"/>
    <n v="135901.15"/>
    <n v="61801.74"/>
    <n v="74099.41"/>
    <n v="0.54524490778775603"/>
    <n v="22473.360000000001"/>
  </r>
  <r>
    <x v="121"/>
    <x v="9"/>
    <x v="5"/>
    <x v="2"/>
    <x v="0"/>
    <s v="2024-02-11"/>
    <n v="53"/>
    <n v="1499.09"/>
    <n v="2343.89"/>
    <x v="82"/>
    <n v="46471.79"/>
    <n v="63"/>
    <n v="1"/>
    <n v="186"/>
    <s v="2024-05-04"/>
    <n v="58"/>
    <x v="1"/>
    <n v="135945.62"/>
    <n v="86947.22"/>
    <n v="48998.400000000001"/>
    <n v="0.36042647052549398"/>
    <n v="46471.79"/>
  </r>
  <r>
    <x v="122"/>
    <x v="22"/>
    <x v="4"/>
    <x v="3"/>
    <x v="2"/>
    <s v="2024-02-20"/>
    <n v="273"/>
    <n v="930.31"/>
    <n v="1318.06"/>
    <x v="83"/>
    <n v="8372.7899999999991"/>
    <n v="55"/>
    <n v="1"/>
    <n v="197"/>
    <s v="2024-05-02"/>
    <n v="109"/>
    <x v="1"/>
    <n v="143668.54"/>
    <n v="101403.79"/>
    <n v="42264.75"/>
    <n v="0.29418235892144512"/>
    <n v="8372.7900000000009"/>
  </r>
  <r>
    <x v="123"/>
    <x v="47"/>
    <x v="4"/>
    <x v="6"/>
    <x v="0"/>
    <s v="2024-01-15"/>
    <n v="60"/>
    <n v="360.31"/>
    <n v="980.56"/>
    <x v="26"/>
    <n v="7206.2"/>
    <n v="73"/>
    <n v="1"/>
    <n v="262"/>
    <s v="2024-05-13"/>
    <n v="92"/>
    <x v="1"/>
    <n v="90211.520000000004"/>
    <n v="33148.519999999997"/>
    <n v="57063"/>
    <n v="0.63254670800358981"/>
    <n v="7206.2"/>
  </r>
  <r>
    <x v="124"/>
    <x v="5"/>
    <x v="1"/>
    <x v="1"/>
    <x v="1"/>
    <s v="2024-02-25"/>
    <n v="255"/>
    <n v="803.62"/>
    <n v="1418.72"/>
    <x v="19"/>
    <n v="32144.799999999999"/>
    <n v="58"/>
    <n v="1"/>
    <n v="106"/>
    <s v="2024-05-19"/>
    <n v="85"/>
    <x v="1"/>
    <n v="120591.2"/>
    <n v="68307.7"/>
    <n v="52283.5"/>
    <n v="0.43355982857787301"/>
    <n v="32144.799999999999"/>
  </r>
  <r>
    <x v="125"/>
    <x v="49"/>
    <x v="5"/>
    <x v="1"/>
    <x v="3"/>
    <s v="2024-03-06"/>
    <n v="447"/>
    <n v="715.18"/>
    <n v="1957.69"/>
    <x v="84"/>
    <n v="127302.04"/>
    <n v="97"/>
    <n v="0"/>
    <n v="258"/>
    <s v="2024-05-07"/>
    <n v="37"/>
    <x v="2"/>
    <n v="72434.53"/>
    <n v="26461.66"/>
    <n v="45972.87"/>
    <n v="0.63468169117684625"/>
    <n v="127302.04"/>
  </r>
  <r>
    <x v="126"/>
    <x v="49"/>
    <x v="5"/>
    <x v="4"/>
    <x v="0"/>
    <s v="2024-01-26"/>
    <n v="358"/>
    <n v="1525.23"/>
    <n v="3482.5"/>
    <x v="85"/>
    <n v="118967.94"/>
    <n v="37"/>
    <n v="0"/>
    <n v="293"/>
    <s v="2024-05-06"/>
    <n v="126"/>
    <x v="2"/>
    <n v="438795"/>
    <n v="192178.98"/>
    <n v="246616.02"/>
    <n v="0.56203015075376883"/>
    <n v="118967.94"/>
  </r>
  <r>
    <x v="127"/>
    <x v="2"/>
    <x v="2"/>
    <x v="5"/>
    <x v="3"/>
    <s v="2024-03-23"/>
    <n v="369"/>
    <n v="1731.21"/>
    <n v="3879.34"/>
    <x v="86"/>
    <n v="285649.65000000002"/>
    <n v="34"/>
    <n v="0"/>
    <n v="162"/>
    <s v="2024-05-21"/>
    <n v="17"/>
    <x v="2"/>
    <n v="65948.78"/>
    <n v="29430.57"/>
    <n v="36518.21"/>
    <n v="0.55373594477411103"/>
    <n v="285649.65000000002"/>
  </r>
  <r>
    <x v="128"/>
    <x v="17"/>
    <x v="2"/>
    <x v="2"/>
    <x v="0"/>
    <s v="2024-03-16"/>
    <n v="230"/>
    <n v="166.9"/>
    <n v="332.57"/>
    <x v="87"/>
    <n v="21530.100000000002"/>
    <n v="19"/>
    <n v="0"/>
    <n v="64"/>
    <s v="2024-05-02"/>
    <n v="94"/>
    <x v="2"/>
    <n v="31261.58"/>
    <n v="15688.6"/>
    <n v="15572.98"/>
    <n v="0.49815076525242802"/>
    <n v="21530.1"/>
  </r>
  <r>
    <x v="129"/>
    <x v="40"/>
    <x v="3"/>
    <x v="1"/>
    <x v="3"/>
    <s v="2024-03-17"/>
    <n v="246"/>
    <n v="1169.05"/>
    <n v="3193.08"/>
    <x v="88"/>
    <n v="137947.9"/>
    <n v="20"/>
    <n v="0"/>
    <n v="165"/>
    <s v="2024-05-17"/>
    <n v="146"/>
    <x v="2"/>
    <n v="466189.68"/>
    <n v="170681.3"/>
    <n v="295508.38"/>
    <n v="0.63388014080448973"/>
    <n v="137947.9"/>
  </r>
  <r>
    <x v="130"/>
    <x v="29"/>
    <x v="0"/>
    <x v="3"/>
    <x v="3"/>
    <s v="2024-03-01"/>
    <n v="127"/>
    <n v="912.04"/>
    <n v="2295.1"/>
    <x v="39"/>
    <n v="13680.599999999999"/>
    <n v="58"/>
    <n v="1"/>
    <n v="232"/>
    <s v="2024-05-17"/>
    <n v="21"/>
    <x v="1"/>
    <n v="48197.1"/>
    <n v="19152.84"/>
    <n v="29044.26"/>
    <n v="0.60261426517363081"/>
    <n v="13680.6"/>
  </r>
  <r>
    <x v="131"/>
    <x v="16"/>
    <x v="4"/>
    <x v="0"/>
    <x v="1"/>
    <s v="2024-03-31"/>
    <n v="274"/>
    <n v="1055.04"/>
    <n v="1622.78"/>
    <x v="89"/>
    <n v="282750.71999999997"/>
    <n v="62"/>
    <n v="0"/>
    <n v="284"/>
    <s v="2024-05-15"/>
    <n v="72"/>
    <x v="2"/>
    <n v="116840.16"/>
    <n v="75962.880000000005"/>
    <n v="40877.279999999999"/>
    <n v="0.34985641923119581"/>
    <n v="282750.71999999997"/>
  </r>
  <r>
    <x v="132"/>
    <x v="10"/>
    <x v="2"/>
    <x v="3"/>
    <x v="3"/>
    <s v="2024-01-07"/>
    <n v="381"/>
    <n v="150.51"/>
    <n v="217"/>
    <x v="7"/>
    <n v="25737.21"/>
    <n v="64"/>
    <n v="0"/>
    <n v="122"/>
    <s v="2024-05-21"/>
    <n v="64"/>
    <x v="2"/>
    <n v="13888"/>
    <n v="9632.64"/>
    <n v="4255.3599999999997"/>
    <n v="0.30640552995391701"/>
    <n v="25737.21"/>
  </r>
  <r>
    <x v="133"/>
    <x v="37"/>
    <x v="0"/>
    <x v="4"/>
    <x v="0"/>
    <s v="2024-01-11"/>
    <n v="389"/>
    <n v="1835.16"/>
    <n v="3239.7"/>
    <x v="90"/>
    <n v="132131.52000000002"/>
    <n v="98"/>
    <n v="1"/>
    <n v="228"/>
    <s v="2024-05-19"/>
    <n v="100"/>
    <x v="1"/>
    <n v="323970"/>
    <n v="183516"/>
    <n v="140454"/>
    <n v="0.43354014260579682"/>
    <n v="132131.51999999999"/>
  </r>
  <r>
    <x v="134"/>
    <x v="34"/>
    <x v="5"/>
    <x v="1"/>
    <x v="0"/>
    <s v="2024-03-12"/>
    <n v="379"/>
    <n v="1630.11"/>
    <n v="3757.69"/>
    <x v="91"/>
    <n v="273858.48"/>
    <n v="82"/>
    <n v="0"/>
    <n v="73"/>
    <s v="2024-05-13"/>
    <n v="108"/>
    <x v="2"/>
    <n v="405830.52"/>
    <n v="176051.88"/>
    <n v="229778.64"/>
    <n v="0.56619359233997479"/>
    <n v="273858.48"/>
  </r>
  <r>
    <x v="135"/>
    <x v="32"/>
    <x v="4"/>
    <x v="0"/>
    <x v="0"/>
    <s v="2024-02-09"/>
    <n v="159"/>
    <n v="1896.38"/>
    <n v="3848.53"/>
    <x v="92"/>
    <n v="164985.06"/>
    <n v="43"/>
    <n v="0"/>
    <n v="85"/>
    <s v="2024-05-06"/>
    <n v="39"/>
    <x v="2"/>
    <n v="150092.67000000001"/>
    <n v="73958.820000000007"/>
    <n v="76133.850000000006"/>
    <n v="0.50724562365370673"/>
    <n v="164985.06"/>
  </r>
  <r>
    <x v="136"/>
    <x v="45"/>
    <x v="1"/>
    <x v="1"/>
    <x v="3"/>
    <s v="2024-04-08"/>
    <n v="477"/>
    <n v="1769.69"/>
    <n v="2400.8000000000002"/>
    <x v="93"/>
    <n v="668942.82000000007"/>
    <n v="58"/>
    <n v="0"/>
    <n v="274"/>
    <s v="2024-05-18"/>
    <n v="33"/>
    <x v="2"/>
    <n v="79226.399999999994"/>
    <n v="58399.77"/>
    <n v="20826.63"/>
    <n v="0.2628748750416528"/>
    <n v="668942.81999999995"/>
  </r>
  <r>
    <x v="137"/>
    <x v="47"/>
    <x v="4"/>
    <x v="4"/>
    <x v="1"/>
    <s v="2024-01-24"/>
    <n v="444"/>
    <n v="1621.91"/>
    <n v="2511.2199999999998"/>
    <x v="94"/>
    <n v="517389.29000000004"/>
    <n v="71"/>
    <n v="0"/>
    <n v="61"/>
    <s v="2024-05-23"/>
    <n v="105"/>
    <x v="2"/>
    <n v="263678.09999999998"/>
    <n v="170300.55"/>
    <n v="93377.55"/>
    <n v="0.35413464371898923"/>
    <n v="517389.29"/>
  </r>
  <r>
    <x v="138"/>
    <x v="27"/>
    <x v="3"/>
    <x v="5"/>
    <x v="3"/>
    <s v="2024-02-06"/>
    <n v="169"/>
    <n v="493.55"/>
    <n v="1356.47"/>
    <x v="95"/>
    <n v="67122.8"/>
    <n v="75"/>
    <n v="0"/>
    <n v="281"/>
    <s v="2024-05-15"/>
    <n v="49"/>
    <x v="2"/>
    <n v="66467.03"/>
    <n v="24183.95"/>
    <n v="42283.08"/>
    <n v="0.63615118653564029"/>
    <n v="67122.8"/>
  </r>
  <r>
    <x v="139"/>
    <x v="4"/>
    <x v="3"/>
    <x v="5"/>
    <x v="4"/>
    <s v="2024-04-08"/>
    <n v="448"/>
    <n v="1015.76"/>
    <n v="1958.38"/>
    <x v="96"/>
    <n v="198073.2"/>
    <n v="35"/>
    <n v="0"/>
    <n v="259"/>
    <s v="2024-05-10"/>
    <n v="51"/>
    <x v="2"/>
    <n v="99877.38"/>
    <n v="51803.76"/>
    <n v="48073.62"/>
    <n v="0.4813264024346654"/>
    <n v="198073.2"/>
  </r>
  <r>
    <x v="140"/>
    <x v="16"/>
    <x v="4"/>
    <x v="2"/>
    <x v="2"/>
    <s v="2024-03-23"/>
    <n v="497"/>
    <n v="1117.99"/>
    <n v="1625.43"/>
    <x v="97"/>
    <n v="212418.1"/>
    <n v="81"/>
    <n v="0"/>
    <n v="267"/>
    <s v="2024-05-16"/>
    <n v="31"/>
    <x v="2"/>
    <n v="50388.33"/>
    <n v="34657.69"/>
    <n v="15730.64"/>
    <n v="0.3121881594408864"/>
    <n v="212418.1"/>
  </r>
  <r>
    <x v="141"/>
    <x v="40"/>
    <x v="3"/>
    <x v="4"/>
    <x v="0"/>
    <s v="2024-02-27"/>
    <n v="125"/>
    <n v="886.2"/>
    <n v="2410.13"/>
    <x v="98"/>
    <n v="93937.200000000012"/>
    <n v="43"/>
    <n v="0"/>
    <n v="259"/>
    <s v="2024-05-17"/>
    <n v="115"/>
    <x v="2"/>
    <n v="277164.95"/>
    <n v="101913"/>
    <n v="175251.95"/>
    <n v="0.63230199200872983"/>
    <n v="93937.2"/>
  </r>
  <r>
    <x v="142"/>
    <x v="25"/>
    <x v="3"/>
    <x v="6"/>
    <x v="2"/>
    <s v="2024-02-20"/>
    <n v="241"/>
    <n v="784.61"/>
    <n v="1116.04"/>
    <x v="99"/>
    <n v="47076.6"/>
    <n v="43"/>
    <n v="0"/>
    <n v="57"/>
    <s v="2024-05-17"/>
    <n v="81"/>
    <x v="2"/>
    <n v="90399.24"/>
    <n v="63553.41"/>
    <n v="26845.83"/>
    <n v="0.29696964266513748"/>
    <n v="47076.6"/>
  </r>
  <r>
    <x v="143"/>
    <x v="52"/>
    <x v="1"/>
    <x v="4"/>
    <x v="1"/>
    <s v="2024-01-05"/>
    <n v="474"/>
    <n v="1398.22"/>
    <n v="2108.7800000000002"/>
    <x v="100"/>
    <n v="336971.02"/>
    <n v="75"/>
    <n v="0"/>
    <n v="164"/>
    <s v="2024-05-10"/>
    <n v="1"/>
    <x v="2"/>
    <n v="2108.7800000000002"/>
    <n v="1398.22"/>
    <n v="710.56"/>
    <n v="0.33695311981335174"/>
    <n v="336971.02"/>
  </r>
  <r>
    <x v="144"/>
    <x v="1"/>
    <x v="1"/>
    <x v="2"/>
    <x v="1"/>
    <s v="2024-04-16"/>
    <n v="330"/>
    <n v="1064.99"/>
    <n v="1562.11"/>
    <x v="101"/>
    <n v="331211.89"/>
    <n v="51"/>
    <n v="0"/>
    <n v="110"/>
    <s v="2024-05-05"/>
    <n v="77"/>
    <x v="2"/>
    <n v="120282.47"/>
    <n v="82004.23"/>
    <n v="38278.239999999998"/>
    <n v="0.31823623176344812"/>
    <n v="331211.89"/>
  </r>
  <r>
    <x v="145"/>
    <x v="1"/>
    <x v="1"/>
    <x v="7"/>
    <x v="4"/>
    <s v="2024-03-22"/>
    <n v="284"/>
    <n v="239.5"/>
    <n v="636.52"/>
    <x v="102"/>
    <n v="7664"/>
    <n v="91"/>
    <n v="1"/>
    <n v="187"/>
    <s v="2024-05-20"/>
    <n v="4"/>
    <x v="1"/>
    <n v="2546.08"/>
    <n v="958"/>
    <n v="1588.08"/>
    <n v="0.62373531075221511"/>
    <n v="7664"/>
  </r>
  <r>
    <x v="146"/>
    <x v="19"/>
    <x v="0"/>
    <x v="7"/>
    <x v="1"/>
    <s v="2024-02-07"/>
    <n v="50"/>
    <n v="718.58"/>
    <n v="1549.26"/>
    <x v="47"/>
    <n v="28024.620000000003"/>
    <n v="38"/>
    <n v="0"/>
    <n v="220"/>
    <s v="2024-05-14"/>
    <n v="21"/>
    <x v="2"/>
    <n v="32534.46"/>
    <n v="15090.18"/>
    <n v="17444.28"/>
    <n v="0.53617856266862884"/>
    <n v="28024.62"/>
  </r>
  <r>
    <x v="147"/>
    <x v="32"/>
    <x v="4"/>
    <x v="1"/>
    <x v="3"/>
    <s v="2024-03-10"/>
    <n v="452"/>
    <n v="1117.22"/>
    <n v="2106.7199999999998"/>
    <x v="103"/>
    <n v="289359.98"/>
    <n v="75"/>
    <n v="0"/>
    <n v="61"/>
    <s v="2024-05-17"/>
    <n v="99"/>
    <x v="2"/>
    <n v="208565.28"/>
    <n v="110604.78"/>
    <n v="97960.5"/>
    <n v="0.46968747626642365"/>
    <n v="289359.98"/>
  </r>
  <r>
    <x v="148"/>
    <x v="24"/>
    <x v="3"/>
    <x v="0"/>
    <x v="0"/>
    <s v="2024-04-10"/>
    <n v="226"/>
    <n v="1471.22"/>
    <n v="3299.04"/>
    <x v="104"/>
    <n v="89744.42"/>
    <n v="89"/>
    <n v="1"/>
    <n v="238"/>
    <s v="2024-05-03"/>
    <n v="85"/>
    <x v="1"/>
    <n v="280418.40000000002"/>
    <n v="125053.7"/>
    <n v="155364.70000000001"/>
    <n v="0.55404602551045157"/>
    <n v="89744.42"/>
  </r>
  <r>
    <x v="149"/>
    <x v="28"/>
    <x v="5"/>
    <x v="3"/>
    <x v="3"/>
    <s v="2024-02-13"/>
    <n v="139"/>
    <n v="1962.02"/>
    <n v="3958.96"/>
    <x v="88"/>
    <n v="231518.36"/>
    <n v="38"/>
    <n v="0"/>
    <n v="257"/>
    <s v="2024-05-21"/>
    <n v="34"/>
    <x v="2"/>
    <n v="134604.64000000001"/>
    <n v="66708.679999999993"/>
    <n v="67895.960000000006"/>
    <n v="0.50441024915634414"/>
    <n v="231518.36"/>
  </r>
  <r>
    <x v="150"/>
    <x v="43"/>
    <x v="1"/>
    <x v="0"/>
    <x v="0"/>
    <s v="2024-01-26"/>
    <n v="455"/>
    <n v="1773.86"/>
    <n v="1174.6500000000001"/>
    <x v="105"/>
    <n v="180933.72"/>
    <n v="54"/>
    <n v="0"/>
    <n v="181"/>
    <s v="2024-05-02"/>
    <n v="101"/>
    <x v="2"/>
    <n v="118639.65"/>
    <n v="179159.86"/>
    <n v="-60520.21"/>
    <n v="-0.51011790746179719"/>
    <n v="180933.72"/>
  </r>
  <r>
    <x v="151"/>
    <x v="56"/>
    <x v="4"/>
    <x v="2"/>
    <x v="2"/>
    <s v="2024-04-06"/>
    <n v="147"/>
    <n v="726.81"/>
    <n v="436.54"/>
    <x v="15"/>
    <n v="53057.13"/>
    <n v="98"/>
    <n v="1"/>
    <n v="134"/>
    <s v="2024-05-21"/>
    <n v="69"/>
    <x v="1"/>
    <n v="30121.26"/>
    <n v="50149.89"/>
    <n v="-20028.63"/>
    <n v="-0.66493333944197563"/>
    <n v="53057.13"/>
  </r>
  <r>
    <x v="152"/>
    <x v="52"/>
    <x v="1"/>
    <x v="6"/>
    <x v="4"/>
    <s v="2024-04-05"/>
    <n v="247"/>
    <n v="1947.97"/>
    <n v="1647.4"/>
    <x v="106"/>
    <n v="167525.42000000001"/>
    <n v="78"/>
    <n v="0"/>
    <n v="144"/>
    <s v="2024-05-15"/>
    <n v="132"/>
    <x v="2"/>
    <n v="217456.8"/>
    <n v="257132.04"/>
    <n v="-39675.24"/>
    <n v="-0.18245113512201044"/>
    <n v="167525.42000000001"/>
  </r>
  <r>
    <x v="153"/>
    <x v="40"/>
    <x v="3"/>
    <x v="6"/>
    <x v="2"/>
    <s v="2024-02-25"/>
    <n v="471"/>
    <n v="1100.04"/>
    <n v="880.57"/>
    <x v="107"/>
    <n v="101203.68"/>
    <n v="25"/>
    <n v="0"/>
    <n v="133"/>
    <s v="2024-05-20"/>
    <n v="75"/>
    <x v="2"/>
    <n v="66042.75"/>
    <n v="82503"/>
    <n v="-16460.25"/>
    <n v="-0.24923629013025653"/>
    <n v="101203.68"/>
  </r>
  <r>
    <x v="154"/>
    <x v="36"/>
    <x v="3"/>
    <x v="6"/>
    <x v="1"/>
    <s v="2024-03-29"/>
    <n v="229"/>
    <n v="103.86"/>
    <n v="93.24"/>
    <x v="108"/>
    <n v="11840.039999999999"/>
    <n v="60"/>
    <n v="0"/>
    <n v="207"/>
    <s v="2024-05-15"/>
    <n v="111"/>
    <x v="2"/>
    <n v="10349.64"/>
    <n v="11528.46"/>
    <n v="-1178.82"/>
    <n v="-0.11389961389961389"/>
    <n v="11840.04"/>
  </r>
  <r>
    <x v="155"/>
    <x v="25"/>
    <x v="3"/>
    <x v="1"/>
    <x v="4"/>
    <s v="2024-02-16"/>
    <n v="460"/>
    <n v="1365.23"/>
    <n v="1187.46"/>
    <x v="109"/>
    <n v="522883.09"/>
    <n v="33"/>
    <n v="0"/>
    <n v="267"/>
    <s v="2024-05-17"/>
    <n v="112"/>
    <x v="2"/>
    <n v="132995.51999999999"/>
    <n v="152905.76"/>
    <n v="-19910.240000000002"/>
    <n v="-0.14970609536321225"/>
    <n v="522883.09"/>
  </r>
  <r>
    <x v="156"/>
    <x v="48"/>
    <x v="1"/>
    <x v="1"/>
    <x v="1"/>
    <s v="2024-04-09"/>
    <n v="237"/>
    <n v="778.05"/>
    <n v="621.37"/>
    <x v="107"/>
    <n v="71580.599999999991"/>
    <n v="92"/>
    <n v="1"/>
    <n v="89"/>
    <s v="2024-05-21"/>
    <n v="115"/>
    <x v="1"/>
    <n v="71457.55"/>
    <n v="89475.75"/>
    <n v="-18018.2"/>
    <n v="-0.25215250173004811"/>
    <n v="71580.600000000006"/>
  </r>
  <r>
    <x v="157"/>
    <x v="51"/>
    <x v="3"/>
    <x v="5"/>
    <x v="2"/>
    <s v="2024-03-14"/>
    <n v="321"/>
    <n v="808.11"/>
    <n v="536.37"/>
    <x v="66"/>
    <n v="151116.57"/>
    <n v="46"/>
    <n v="0"/>
    <n v="295"/>
    <s v="2024-05-05"/>
    <n v="29"/>
    <x v="2"/>
    <n v="15554.73"/>
    <n v="23435.19"/>
    <n v="-7880.46"/>
    <n v="-0.50662788746574194"/>
    <n v="151116.57"/>
  </r>
  <r>
    <x v="158"/>
    <x v="48"/>
    <x v="1"/>
    <x v="5"/>
    <x v="3"/>
    <s v="2024-02-19"/>
    <n v="110"/>
    <n v="1554.43"/>
    <n v="1105.78"/>
    <x v="110"/>
    <n v="51296.19"/>
    <n v="42"/>
    <n v="1"/>
    <n v="206"/>
    <s v="2024-05-18"/>
    <n v="73"/>
    <x v="1"/>
    <n v="80721.94"/>
    <n v="113473.39"/>
    <n v="-32751.45"/>
    <n v="-0.4057317006999584"/>
    <n v="51296.19"/>
  </r>
  <r>
    <x v="159"/>
    <x v="54"/>
    <x v="0"/>
    <x v="7"/>
    <x v="2"/>
    <s v="2024-01-18"/>
    <n v="281"/>
    <n v="1799.38"/>
    <n v="1589"/>
    <x v="111"/>
    <n v="158345.44"/>
    <n v="26"/>
    <n v="0"/>
    <n v="257"/>
    <s v="2024-05-03"/>
    <n v="81"/>
    <x v="2"/>
    <n v="128709"/>
    <n v="145749.78"/>
    <n v="-17040.78"/>
    <n v="-0.13239773442416614"/>
    <n v="158345.44"/>
  </r>
  <r>
    <x v="160"/>
    <x v="11"/>
    <x v="0"/>
    <x v="1"/>
    <x v="3"/>
    <s v="2024-03-10"/>
    <n v="203"/>
    <n v="1429.38"/>
    <n v="1163.49"/>
    <x v="19"/>
    <n v="57175.200000000004"/>
    <n v="96"/>
    <n v="1"/>
    <n v="94"/>
    <s v="2024-05-10"/>
    <n v="92"/>
    <x v="1"/>
    <n v="107041.08"/>
    <n v="131502.96"/>
    <n v="-24461.88"/>
    <n v="-0.22852796328288169"/>
    <n v="57175.199999999997"/>
  </r>
  <r>
    <x v="161"/>
    <x v="6"/>
    <x v="4"/>
    <x v="1"/>
    <x v="1"/>
    <s v="2024-04-11"/>
    <n v="171"/>
    <n v="72.040000000000006"/>
    <n v="59.35"/>
    <x v="112"/>
    <n v="9077.0400000000009"/>
    <n v="62"/>
    <n v="0"/>
    <n v="169"/>
    <s v="2024-05-05"/>
    <n v="141"/>
    <x v="2"/>
    <n v="8368.35"/>
    <n v="10157.64"/>
    <n v="-1789.29"/>
    <n v="-0.21381634372367311"/>
    <n v="9077.0400000000009"/>
  </r>
  <r>
    <x v="162"/>
    <x v="34"/>
    <x v="5"/>
    <x v="1"/>
    <x v="2"/>
    <s v="2024-02-09"/>
    <n v="417"/>
    <n v="967.76"/>
    <n v="615.91999999999996"/>
    <x v="113"/>
    <n v="356135.67999999999"/>
    <n v="67"/>
    <n v="0"/>
    <n v="260"/>
    <s v="2024-05-13"/>
    <n v="147"/>
    <x v="2"/>
    <n v="90540.24"/>
    <n v="142260.72"/>
    <n v="-51720.480000000003"/>
    <n v="-0.57124301857384074"/>
    <n v="356135.67999999999"/>
  </r>
  <r>
    <x v="163"/>
    <x v="48"/>
    <x v="1"/>
    <x v="3"/>
    <x v="2"/>
    <s v="2024-02-27"/>
    <n v="398"/>
    <n v="702.14"/>
    <n v="543.22"/>
    <x v="114"/>
    <n v="185364.96"/>
    <n v="85"/>
    <n v="0"/>
    <n v="213"/>
    <s v="2024-05-15"/>
    <n v="150"/>
    <x v="2"/>
    <n v="81483"/>
    <n v="105321"/>
    <n v="-23838"/>
    <n v="-0.29255182062516105"/>
    <n v="185364.96"/>
  </r>
  <r>
    <x v="164"/>
    <x v="9"/>
    <x v="5"/>
    <x v="6"/>
    <x v="3"/>
    <s v="2024-04-26"/>
    <n v="475"/>
    <n v="1045.8399999999999"/>
    <n v="748.73"/>
    <x v="21"/>
    <n v="65887.92"/>
    <n v="35"/>
    <n v="0"/>
    <n v="132"/>
    <s v="2024-05-02"/>
    <n v="57"/>
    <x v="2"/>
    <n v="42677.61"/>
    <n v="59612.88"/>
    <n v="-16935.27"/>
    <n v="-0.39681861285109454"/>
    <n v="65887.92"/>
  </r>
  <r>
    <x v="165"/>
    <x v="35"/>
    <x v="3"/>
    <x v="2"/>
    <x v="2"/>
    <s v="2024-02-02"/>
    <n v="375"/>
    <n v="563.41"/>
    <n v="1260.6500000000001"/>
    <x v="57"/>
    <n v="158881.62"/>
    <n v="93"/>
    <n v="0"/>
    <n v="186"/>
    <s v="2024-05-07"/>
    <n v="23"/>
    <x v="2"/>
    <n v="28994.95"/>
    <n v="12958.43"/>
    <n v="16036.52"/>
    <n v="0.55307976044104235"/>
    <n v="158881.62"/>
  </r>
  <r>
    <x v="166"/>
    <x v="16"/>
    <x v="4"/>
    <x v="4"/>
    <x v="1"/>
    <s v="2024-03-25"/>
    <n v="418"/>
    <n v="688.49"/>
    <n v="1849.21"/>
    <x v="115"/>
    <n v="212743.41"/>
    <n v="20"/>
    <n v="0"/>
    <n v="261"/>
    <s v="2024-05-20"/>
    <n v="7"/>
    <x v="2"/>
    <n v="12944.47"/>
    <n v="4819.43"/>
    <n v="8125.04"/>
    <n v="0.62768425435726616"/>
    <n v="212743.41"/>
  </r>
  <r>
    <x v="167"/>
    <x v="1"/>
    <x v="1"/>
    <x v="2"/>
    <x v="1"/>
    <s v="2024-04-08"/>
    <n v="263"/>
    <n v="1006.12"/>
    <n v="2254.46"/>
    <x v="39"/>
    <n v="15091.8"/>
    <n v="52"/>
    <n v="1"/>
    <n v="214"/>
    <s v="2024-05-19"/>
    <n v="77"/>
    <x v="1"/>
    <n v="173593.42"/>
    <n v="77471.240000000005"/>
    <n v="96122.18"/>
    <n v="0.55372018132945355"/>
    <n v="15091.8"/>
  </r>
  <r>
    <x v="168"/>
    <x v="57"/>
    <x v="2"/>
    <x v="6"/>
    <x v="0"/>
    <s v="2024-02-28"/>
    <n v="402"/>
    <n v="333"/>
    <n v="640.5"/>
    <x v="116"/>
    <n v="9990"/>
    <n v="74"/>
    <n v="1"/>
    <n v="102"/>
    <s v="2024-05-03"/>
    <n v="87"/>
    <x v="1"/>
    <n v="55723.5"/>
    <n v="28971"/>
    <n v="26752.5"/>
    <n v="0.48009367681498827"/>
    <n v="9990"/>
  </r>
  <r>
    <x v="169"/>
    <x v="16"/>
    <x v="4"/>
    <x v="3"/>
    <x v="0"/>
    <s v="2024-04-03"/>
    <n v="254"/>
    <n v="1526.12"/>
    <n v="3162.84"/>
    <x v="110"/>
    <n v="50361.96"/>
    <n v="28"/>
    <n v="0"/>
    <n v="131"/>
    <s v="2024-05-12"/>
    <n v="61"/>
    <x v="2"/>
    <n v="192933.24"/>
    <n v="93093.32"/>
    <n v="99839.92"/>
    <n v="0.51748428627436105"/>
    <n v="50361.96"/>
  </r>
  <r>
    <x v="170"/>
    <x v="3"/>
    <x v="2"/>
    <x v="2"/>
    <x v="4"/>
    <s v="2024-02-01"/>
    <n v="99"/>
    <n v="594.62"/>
    <n v="1115.6400000000001"/>
    <x v="23"/>
    <n v="3567.7200000000003"/>
    <n v="93"/>
    <n v="1"/>
    <n v="157"/>
    <s v="2024-05-05"/>
    <n v="63"/>
    <x v="1"/>
    <n v="70285.320000000007"/>
    <n v="37461.06"/>
    <n v="32824.26"/>
    <n v="0.46701444910544621"/>
    <n v="3567.72"/>
  </r>
  <r>
    <x v="171"/>
    <x v="55"/>
    <x v="5"/>
    <x v="3"/>
    <x v="1"/>
    <s v="2024-04-07"/>
    <n v="305"/>
    <n v="944.29"/>
    <n v="2472.73"/>
    <x v="117"/>
    <n v="248348.27"/>
    <n v="78"/>
    <n v="0"/>
    <n v="55"/>
    <s v="2024-05-06"/>
    <n v="23"/>
    <x v="2"/>
    <n v="56872.79"/>
    <n v="21718.67"/>
    <n v="35154.120000000003"/>
    <n v="0.61811843589878401"/>
    <n v="248348.27"/>
  </r>
  <r>
    <x v="172"/>
    <x v="15"/>
    <x v="2"/>
    <x v="5"/>
    <x v="1"/>
    <s v="2024-01-28"/>
    <n v="230"/>
    <n v="120.07"/>
    <n v="245.22"/>
    <x v="52"/>
    <n v="1440.84"/>
    <n v="98"/>
    <n v="1"/>
    <n v="222"/>
    <s v="2024-05-19"/>
    <n v="120"/>
    <x v="1"/>
    <n v="29426.400000000001"/>
    <n v="14408.4"/>
    <n v="15018"/>
    <n v="0.51035804583639177"/>
    <n v="1440.84"/>
  </r>
  <r>
    <x v="173"/>
    <x v="35"/>
    <x v="3"/>
    <x v="0"/>
    <x v="2"/>
    <s v="2024-02-25"/>
    <n v="185"/>
    <n v="1532.44"/>
    <n v="2833.34"/>
    <x v="118"/>
    <n v="142516.92000000001"/>
    <n v="66"/>
    <n v="0"/>
    <n v="63"/>
    <s v="2024-05-05"/>
    <n v="145"/>
    <x v="2"/>
    <n v="410834.3"/>
    <n v="222203.8"/>
    <n v="188630.5"/>
    <n v="0.45914009614095025"/>
    <n v="142516.92000000001"/>
  </r>
  <r>
    <x v="174"/>
    <x v="6"/>
    <x v="4"/>
    <x v="3"/>
    <x v="3"/>
    <s v="2024-02-06"/>
    <n v="247"/>
    <n v="911.7"/>
    <n v="1937.17"/>
    <x v="87"/>
    <n v="117609.3"/>
    <n v="94"/>
    <n v="0"/>
    <n v="224"/>
    <s v="2024-05-03"/>
    <n v="30"/>
    <x v="2"/>
    <n v="58115.1"/>
    <n v="27351"/>
    <n v="30764.1"/>
    <n v="0.52936500152284005"/>
    <n v="117609.3"/>
  </r>
  <r>
    <x v="175"/>
    <x v="49"/>
    <x v="5"/>
    <x v="6"/>
    <x v="0"/>
    <s v="2024-04-11"/>
    <n v="335"/>
    <n v="1514.83"/>
    <n v="2421.59"/>
    <x v="66"/>
    <n v="283273.20999999996"/>
    <n v="80"/>
    <n v="0"/>
    <n v="152"/>
    <s v="2024-05-11"/>
    <n v="128"/>
    <x v="2"/>
    <n v="309963.52000000002"/>
    <n v="193898.23999999999"/>
    <n v="116065.28"/>
    <n v="0.3744481931293076"/>
    <n v="283273.21000000002"/>
  </r>
  <r>
    <x v="176"/>
    <x v="1"/>
    <x v="1"/>
    <x v="0"/>
    <x v="1"/>
    <s v="2024-04-01"/>
    <n v="461"/>
    <n v="1048.28"/>
    <n v="1596.96"/>
    <x v="60"/>
    <n v="253683.75999999998"/>
    <n v="80"/>
    <n v="0"/>
    <n v="85"/>
    <s v="2024-05-11"/>
    <n v="83"/>
    <x v="2"/>
    <n v="132547.68"/>
    <n v="87007.24"/>
    <n v="45540.44"/>
    <n v="0.34357779781585013"/>
    <n v="253683.76"/>
  </r>
  <r>
    <x v="177"/>
    <x v="32"/>
    <x v="4"/>
    <x v="4"/>
    <x v="4"/>
    <s v="2024-03-19"/>
    <n v="353"/>
    <n v="1024.48"/>
    <n v="2115.11"/>
    <x v="119"/>
    <n v="176210.56"/>
    <n v="77"/>
    <n v="0"/>
    <n v="231"/>
    <s v="2024-05-10"/>
    <n v="144"/>
    <x v="2"/>
    <n v="304575.84000000003"/>
    <n v="147525.12"/>
    <n v="157050.72"/>
    <n v="0.51563748457527026"/>
    <n v="176210.56"/>
  </r>
  <r>
    <x v="178"/>
    <x v="36"/>
    <x v="3"/>
    <x v="0"/>
    <x v="0"/>
    <s v="2024-02-12"/>
    <n v="106"/>
    <n v="1175.73"/>
    <n v="2933.6"/>
    <x v="55"/>
    <n v="62313.69"/>
    <n v="95"/>
    <n v="1"/>
    <n v="56"/>
    <s v="2024-05-22"/>
    <n v="121"/>
    <x v="1"/>
    <n v="354965.6"/>
    <n v="142263.32999999999"/>
    <n v="212702.27"/>
    <n v="0.59921938914644124"/>
    <n v="62313.69"/>
  </r>
  <r>
    <x v="179"/>
    <x v="4"/>
    <x v="3"/>
    <x v="7"/>
    <x v="2"/>
    <s v="2024-03-15"/>
    <n v="137"/>
    <n v="1265.47"/>
    <n v="2821.5"/>
    <x v="120"/>
    <n v="169572.98"/>
    <n v="63"/>
    <n v="0"/>
    <n v="87"/>
    <s v="2024-05-16"/>
    <n v="62"/>
    <x v="2"/>
    <n v="174933"/>
    <n v="78459.14"/>
    <n v="96473.86"/>
    <n v="0.55149034201665781"/>
    <n v="169572.98"/>
  </r>
  <r>
    <x v="180"/>
    <x v="13"/>
    <x v="1"/>
    <x v="1"/>
    <x v="1"/>
    <s v="2024-01-03"/>
    <n v="210"/>
    <n v="319.83"/>
    <n v="747.04"/>
    <x v="121"/>
    <n v="34221.81"/>
    <n v="67"/>
    <n v="0"/>
    <n v="178"/>
    <s v="2024-05-15"/>
    <n v="120"/>
    <x v="2"/>
    <n v="89644.800000000003"/>
    <n v="38379.599999999999"/>
    <n v="51265.2"/>
    <n v="0.57187031484257866"/>
    <n v="34221.81"/>
  </r>
  <r>
    <x v="181"/>
    <x v="50"/>
    <x v="0"/>
    <x v="4"/>
    <x v="3"/>
    <s v="2024-01-27"/>
    <n v="216"/>
    <n v="967.17"/>
    <n v="1804"/>
    <x v="122"/>
    <n v="163451.72999999998"/>
    <n v="37"/>
    <n v="0"/>
    <n v="167"/>
    <s v="2024-05-18"/>
    <n v="136"/>
    <x v="2"/>
    <n v="245344"/>
    <n v="131535.12"/>
    <n v="113808.88"/>
    <n v="0.46387472283813747"/>
    <n v="163451.73000000001"/>
  </r>
  <r>
    <x v="182"/>
    <x v="35"/>
    <x v="3"/>
    <x v="3"/>
    <x v="0"/>
    <s v="2024-03-19"/>
    <n v="148"/>
    <n v="572.42999999999995"/>
    <n v="1000.46"/>
    <x v="21"/>
    <n v="36063.089999999997"/>
    <n v="53"/>
    <n v="0"/>
    <n v="247"/>
    <s v="2024-05-16"/>
    <n v="73"/>
    <x v="2"/>
    <n v="73033.58"/>
    <n v="41787.39"/>
    <n v="31246.19"/>
    <n v="0.42783319672950437"/>
    <n v="36063.089999999997"/>
  </r>
  <r>
    <x v="183"/>
    <x v="29"/>
    <x v="0"/>
    <x v="5"/>
    <x v="0"/>
    <s v="2024-03-02"/>
    <n v="336"/>
    <n v="589.82000000000005"/>
    <n v="1274.1400000000001"/>
    <x v="123"/>
    <n v="82574.8"/>
    <n v="84"/>
    <n v="0"/>
    <n v="147"/>
    <s v="2024-05-12"/>
    <n v="101"/>
    <x v="2"/>
    <n v="128688.14"/>
    <n v="59571.82"/>
    <n v="69116.320000000007"/>
    <n v="0.5370838369409956"/>
    <n v="82574.8"/>
  </r>
  <r>
    <x v="184"/>
    <x v="53"/>
    <x v="3"/>
    <x v="2"/>
    <x v="2"/>
    <s v="2024-02-06"/>
    <n v="90"/>
    <n v="1849.54"/>
    <n v="4224.2700000000004"/>
    <x v="124"/>
    <n v="81379.759999999995"/>
    <n v="76"/>
    <n v="1"/>
    <n v="104"/>
    <s v="2024-05-23"/>
    <n v="51"/>
    <x v="1"/>
    <n v="215437.77"/>
    <n v="94326.54"/>
    <n v="121111.23"/>
    <n v="0.56216340338093918"/>
    <n v="81379.759999999995"/>
  </r>
  <r>
    <x v="185"/>
    <x v="44"/>
    <x v="4"/>
    <x v="2"/>
    <x v="1"/>
    <s v="2024-01-14"/>
    <n v="429"/>
    <n v="493.78"/>
    <n v="679.51"/>
    <x v="125"/>
    <n v="148134"/>
    <n v="82"/>
    <n v="0"/>
    <n v="107"/>
    <s v="2024-05-20"/>
    <n v="59"/>
    <x v="2"/>
    <n v="40091.089999999997"/>
    <n v="29133.02"/>
    <n v="10958.07"/>
    <n v="0.27332931082691941"/>
    <n v="148134"/>
  </r>
  <r>
    <x v="186"/>
    <x v="26"/>
    <x v="1"/>
    <x v="6"/>
    <x v="0"/>
    <s v="2024-04-01"/>
    <n v="101"/>
    <n v="1546.12"/>
    <n v="2021.97"/>
    <x v="92"/>
    <n v="134512.44"/>
    <n v="85"/>
    <n v="0"/>
    <n v="300"/>
    <s v="2024-05-16"/>
    <n v="40"/>
    <x v="2"/>
    <n v="80878.8"/>
    <n v="61844.800000000003"/>
    <n v="19034"/>
    <n v="0.23533979238069802"/>
    <n v="134512.44"/>
  </r>
  <r>
    <x v="187"/>
    <x v="17"/>
    <x v="2"/>
    <x v="5"/>
    <x v="1"/>
    <s v="2024-04-06"/>
    <n v="214"/>
    <n v="1298.8800000000001"/>
    <n v="3457.5"/>
    <x v="15"/>
    <n v="94818.240000000005"/>
    <n v="26"/>
    <n v="0"/>
    <n v="216"/>
    <s v="2024-05-10"/>
    <n v="146"/>
    <x v="2"/>
    <n v="504795"/>
    <n v="189636.48000000001"/>
    <n v="315158.52"/>
    <n v="0.62432971800433845"/>
    <n v="94818.240000000005"/>
  </r>
  <r>
    <x v="188"/>
    <x v="12"/>
    <x v="5"/>
    <x v="0"/>
    <x v="1"/>
    <s v="2024-02-23"/>
    <n v="68"/>
    <n v="1580.16"/>
    <n v="2495.81"/>
    <x v="0"/>
    <n v="79008"/>
    <n v="52"/>
    <n v="1"/>
    <n v="274"/>
    <s v="2024-05-06"/>
    <n v="9"/>
    <x v="1"/>
    <n v="22462.29"/>
    <n v="14221.44"/>
    <n v="8240.85"/>
    <n v="0.3668748823027394"/>
    <n v="79008"/>
  </r>
  <r>
    <x v="189"/>
    <x v="45"/>
    <x v="1"/>
    <x v="1"/>
    <x v="0"/>
    <s v="2024-02-06"/>
    <n v="378"/>
    <n v="1058.1500000000001"/>
    <n v="2787.05"/>
    <x v="59"/>
    <n v="294165.7"/>
    <n v="32"/>
    <n v="0"/>
    <n v="267"/>
    <s v="2024-05-15"/>
    <n v="129"/>
    <x v="2"/>
    <n v="359529.45"/>
    <n v="136501.35"/>
    <n v="223028.1"/>
    <n v="0.62033332735329472"/>
    <n v="294165.7"/>
  </r>
  <r>
    <x v="190"/>
    <x v="41"/>
    <x v="2"/>
    <x v="7"/>
    <x v="2"/>
    <s v="2024-02-12"/>
    <n v="424"/>
    <n v="1303.5999999999999"/>
    <n v="3099.83"/>
    <x v="126"/>
    <n v="305042.39999999997"/>
    <n v="16"/>
    <n v="0"/>
    <n v="238"/>
    <s v="2024-05-06"/>
    <n v="86"/>
    <x v="2"/>
    <n v="266585.38"/>
    <n v="112109.6"/>
    <n v="154475.78"/>
    <n v="0.57946080914114639"/>
    <n v="305042.40000000002"/>
  </r>
  <r>
    <x v="191"/>
    <x v="4"/>
    <x v="3"/>
    <x v="7"/>
    <x v="1"/>
    <s v="2024-03-19"/>
    <n v="257"/>
    <n v="1040.26"/>
    <n v="1487.68"/>
    <x v="127"/>
    <n v="226776.68"/>
    <n v="100"/>
    <n v="0"/>
    <n v="74"/>
    <s v="2024-05-21"/>
    <n v="47"/>
    <x v="2"/>
    <n v="69920.960000000006"/>
    <n v="48892.22"/>
    <n v="21028.74"/>
    <n v="0.30075016132501614"/>
    <n v="226776.68"/>
  </r>
  <r>
    <x v="192"/>
    <x v="46"/>
    <x v="5"/>
    <x v="3"/>
    <x v="1"/>
    <s v="2024-01-01"/>
    <n v="246"/>
    <n v="904.54"/>
    <n v="1538.16"/>
    <x v="99"/>
    <n v="54272.399999999994"/>
    <n v="57"/>
    <n v="0"/>
    <n v="127"/>
    <s v="2024-05-09"/>
    <n v="149"/>
    <x v="2"/>
    <n v="229185.84"/>
    <n v="134776.46"/>
    <n v="94409.38"/>
    <n v="0.41193373901284652"/>
    <n v="54272.4"/>
  </r>
  <r>
    <x v="193"/>
    <x v="37"/>
    <x v="0"/>
    <x v="0"/>
    <x v="0"/>
    <s v="2024-03-24"/>
    <n v="404"/>
    <n v="143.01"/>
    <n v="211.27"/>
    <x v="128"/>
    <n v="17161.199999999997"/>
    <n v="54"/>
    <n v="0"/>
    <n v="90"/>
    <s v="2024-05-12"/>
    <n v="103"/>
    <x v="2"/>
    <n v="21760.81"/>
    <n v="14730.03"/>
    <n v="7030.78"/>
    <n v="0.32309367160505509"/>
    <n v="17161.2"/>
  </r>
  <r>
    <x v="194"/>
    <x v="19"/>
    <x v="0"/>
    <x v="2"/>
    <x v="2"/>
    <s v="2024-03-22"/>
    <n v="238"/>
    <n v="457.28"/>
    <n v="1251.1400000000001"/>
    <x v="129"/>
    <n v="71792.959999999992"/>
    <n v="76"/>
    <n v="0"/>
    <n v="89"/>
    <s v="2024-05-10"/>
    <n v="116"/>
    <x v="2"/>
    <n v="145132.24"/>
    <n v="53044.480000000003"/>
    <n v="92087.76"/>
    <n v="0.63450932749332611"/>
    <n v="71792.960000000006"/>
  </r>
  <r>
    <x v="195"/>
    <x v="37"/>
    <x v="0"/>
    <x v="3"/>
    <x v="4"/>
    <s v="2024-03-30"/>
    <n v="291"/>
    <n v="1607.95"/>
    <n v="4081.63"/>
    <x v="130"/>
    <n v="442186.25"/>
    <n v="46"/>
    <n v="0"/>
    <n v="224"/>
    <s v="2024-05-18"/>
    <n v="20"/>
    <x v="2"/>
    <n v="81632.600000000006"/>
    <n v="32159"/>
    <n v="49473.599999999999"/>
    <n v="0.60605199393379594"/>
    <n v="442186.25"/>
  </r>
  <r>
    <x v="196"/>
    <x v="56"/>
    <x v="4"/>
    <x v="3"/>
    <x v="2"/>
    <s v="2024-04-27"/>
    <n v="107"/>
    <n v="1660.97"/>
    <n v="4408.7700000000004"/>
    <x v="46"/>
    <n v="11626.79"/>
    <n v="40"/>
    <n v="1"/>
    <n v="196"/>
    <s v="2024-05-19"/>
    <n v="137"/>
    <x v="1"/>
    <n v="604001.49"/>
    <n v="227552.89"/>
    <n v="376448.6"/>
    <n v="0.62325773401651707"/>
    <n v="11626.79"/>
  </r>
  <r>
    <x v="197"/>
    <x v="9"/>
    <x v="5"/>
    <x v="3"/>
    <x v="3"/>
    <s v="2024-02-26"/>
    <n v="398"/>
    <n v="1439.5"/>
    <n v="2926.85"/>
    <x v="131"/>
    <n v="151147.5"/>
    <n v="80"/>
    <n v="0"/>
    <n v="164"/>
    <s v="2024-05-04"/>
    <n v="14"/>
    <x v="2"/>
    <n v="40975.9"/>
    <n v="20153"/>
    <n v="20822.900000000001"/>
    <n v="0.50817431709858718"/>
    <n v="151147.5"/>
  </r>
  <r>
    <x v="198"/>
    <x v="18"/>
    <x v="2"/>
    <x v="6"/>
    <x v="4"/>
    <s v="2024-03-13"/>
    <n v="336"/>
    <n v="1352.08"/>
    <n v="2382.71"/>
    <x v="132"/>
    <n v="319090.88"/>
    <n v="17"/>
    <n v="0"/>
    <n v="151"/>
    <s v="2024-05-02"/>
    <n v="65"/>
    <x v="2"/>
    <n v="154876.15"/>
    <n v="87885.2"/>
    <n v="66990.95"/>
    <n v="0.43254529506318434"/>
    <n v="319090.88"/>
  </r>
  <r>
    <x v="199"/>
    <x v="31"/>
    <x v="1"/>
    <x v="1"/>
    <x v="2"/>
    <s v="2024-02-24"/>
    <n v="408"/>
    <n v="1091.5"/>
    <n v="1517.6"/>
    <x v="102"/>
    <n v="34928"/>
    <n v="23"/>
    <n v="0"/>
    <n v="289"/>
    <s v="2024-05-12"/>
    <n v="120"/>
    <x v="2"/>
    <n v="182112"/>
    <n v="130980"/>
    <n v="51132"/>
    <n v="0.28077227200843435"/>
    <n v="34928"/>
  </r>
  <r>
    <x v="200"/>
    <x v="45"/>
    <x v="1"/>
    <x v="6"/>
    <x v="1"/>
    <s v="2024-04-08"/>
    <n v="442"/>
    <n v="1957.1"/>
    <n v="4440.3100000000004"/>
    <x v="133"/>
    <n v="641928.79999999993"/>
    <n v="68"/>
    <n v="0"/>
    <n v="145"/>
    <s v="2024-05-05"/>
    <n v="97"/>
    <x v="2"/>
    <n v="430710.07"/>
    <n v="189838.7"/>
    <n v="240871.37"/>
    <n v="0.55924248532197074"/>
    <n v="641928.80000000005"/>
  </r>
  <r>
    <x v="201"/>
    <x v="10"/>
    <x v="2"/>
    <x v="6"/>
    <x v="2"/>
    <s v="2024-03-28"/>
    <n v="497"/>
    <n v="283.32"/>
    <n v="733.92"/>
    <x v="134"/>
    <n v="78196.319999999992"/>
    <n v="30"/>
    <n v="0"/>
    <n v="95"/>
    <s v="2024-05-22"/>
    <n v="137"/>
    <x v="2"/>
    <n v="100547.04"/>
    <n v="38814.839999999997"/>
    <n v="61732.2"/>
    <n v="0.61396337475474172"/>
    <n v="78196.320000000007"/>
  </r>
  <r>
    <x v="202"/>
    <x v="15"/>
    <x v="2"/>
    <x v="4"/>
    <x v="1"/>
    <s v="2024-04-16"/>
    <n v="437"/>
    <n v="1957.41"/>
    <n v="3904.07"/>
    <x v="73"/>
    <n v="21531.510000000002"/>
    <n v="84"/>
    <n v="1"/>
    <n v="158"/>
    <s v="2024-05-01"/>
    <n v="136"/>
    <x v="1"/>
    <n v="530953.52"/>
    <n v="266207.76"/>
    <n v="264745.76"/>
    <n v="0.49862323165312095"/>
    <n v="21531.51"/>
  </r>
  <r>
    <x v="203"/>
    <x v="57"/>
    <x v="2"/>
    <x v="7"/>
    <x v="4"/>
    <s v="2024-02-14"/>
    <n v="191"/>
    <n v="1876.07"/>
    <n v="4479.18"/>
    <x v="43"/>
    <n v="90051.36"/>
    <n v="29"/>
    <n v="0"/>
    <n v="58"/>
    <s v="2024-05-05"/>
    <n v="107"/>
    <x v="2"/>
    <n v="479272.26"/>
    <n v="200739.49"/>
    <n v="278532.77"/>
    <n v="0.58115771190262511"/>
    <n v="90051.36"/>
  </r>
  <r>
    <x v="204"/>
    <x v="38"/>
    <x v="4"/>
    <x v="7"/>
    <x v="1"/>
    <s v="2024-01-09"/>
    <n v="354"/>
    <n v="903.95"/>
    <n v="2086.35"/>
    <x v="28"/>
    <n v="15367.150000000001"/>
    <n v="21"/>
    <n v="1"/>
    <n v="112"/>
    <s v="2024-05-04"/>
    <n v="11"/>
    <x v="1"/>
    <n v="22949.85"/>
    <n v="9943.4500000000007"/>
    <n v="13006.4"/>
    <n v="0.56673137297193665"/>
    <n v="15367.15"/>
  </r>
  <r>
    <x v="205"/>
    <x v="17"/>
    <x v="2"/>
    <x v="7"/>
    <x v="3"/>
    <s v="2024-01-28"/>
    <n v="121"/>
    <n v="1987.1"/>
    <n v="3281.18"/>
    <x v="17"/>
    <n v="127174.39999999999"/>
    <n v="88"/>
    <n v="1"/>
    <n v="131"/>
    <s v="2024-05-02"/>
    <n v="147"/>
    <x v="1"/>
    <n v="482333.46"/>
    <n v="292103.7"/>
    <n v="190229.76000000001"/>
    <n v="0.39439469946787437"/>
    <n v="127174.39999999999"/>
  </r>
  <r>
    <x v="206"/>
    <x v="32"/>
    <x v="4"/>
    <x v="7"/>
    <x v="0"/>
    <s v="2024-04-22"/>
    <n v="388"/>
    <n v="457.66"/>
    <n v="801.25"/>
    <x v="135"/>
    <n v="121737.56000000001"/>
    <n v="22"/>
    <n v="0"/>
    <n v="192"/>
    <s v="2024-05-05"/>
    <n v="44"/>
    <x v="2"/>
    <n v="35255"/>
    <n v="20137.04"/>
    <n v="15117.96"/>
    <n v="0.42881747269890791"/>
    <n v="121737.56"/>
  </r>
  <r>
    <x v="207"/>
    <x v="30"/>
    <x v="0"/>
    <x v="5"/>
    <x v="2"/>
    <s v="2024-02-14"/>
    <n v="393"/>
    <n v="1575.89"/>
    <n v="2802.09"/>
    <x v="96"/>
    <n v="307298.55000000005"/>
    <n v="68"/>
    <n v="0"/>
    <n v="154"/>
    <s v="2024-05-21"/>
    <n v="38"/>
    <x v="2"/>
    <n v="106479.42"/>
    <n v="59883.82"/>
    <n v="46595.6"/>
    <n v="0.43760193284298504"/>
    <n v="307298.55"/>
  </r>
  <r>
    <x v="208"/>
    <x v="7"/>
    <x v="3"/>
    <x v="4"/>
    <x v="3"/>
    <s v="2024-03-01"/>
    <n v="484"/>
    <n v="615.46"/>
    <n v="1453.33"/>
    <x v="4"/>
    <n v="70777.900000000009"/>
    <n v="74"/>
    <n v="0"/>
    <n v="284"/>
    <s v="2024-05-08"/>
    <n v="14"/>
    <x v="2"/>
    <n v="20346.62"/>
    <n v="8616.44"/>
    <n v="11730.18"/>
    <n v="0.57651737733343433"/>
    <n v="70777.899999999994"/>
  </r>
  <r>
    <x v="209"/>
    <x v="47"/>
    <x v="4"/>
    <x v="6"/>
    <x v="3"/>
    <s v="2024-03-08"/>
    <n v="248"/>
    <n v="524.89"/>
    <n v="942.38"/>
    <x v="29"/>
    <n v="32543.18"/>
    <n v="25"/>
    <n v="0"/>
    <n v="286"/>
    <s v="2024-05-05"/>
    <n v="115"/>
    <x v="2"/>
    <n v="108373.7"/>
    <n v="60362.35"/>
    <n v="48011.35"/>
    <n v="0.44301661750037141"/>
    <n v="32543.18"/>
  </r>
  <r>
    <x v="210"/>
    <x v="40"/>
    <x v="3"/>
    <x v="7"/>
    <x v="2"/>
    <s v="2024-02-04"/>
    <n v="394"/>
    <n v="1213.79"/>
    <n v="3168.51"/>
    <x v="115"/>
    <n v="375061.11"/>
    <n v="39"/>
    <n v="0"/>
    <n v="255"/>
    <s v="2024-05-13"/>
    <n v="150"/>
    <x v="2"/>
    <n v="475276.5"/>
    <n v="182068.5"/>
    <n v="293208"/>
    <n v="0.61692088710466431"/>
    <n v="375061.11"/>
  </r>
  <r>
    <x v="211"/>
    <x v="19"/>
    <x v="0"/>
    <x v="7"/>
    <x v="4"/>
    <s v="2024-01-27"/>
    <n v="205"/>
    <n v="439.38"/>
    <n v="696.43"/>
    <x v="36"/>
    <n v="1318.1399999999999"/>
    <n v="30"/>
    <n v="1"/>
    <n v="241"/>
    <s v="2024-05-11"/>
    <n v="122"/>
    <x v="1"/>
    <n v="84964.46"/>
    <n v="53604.36"/>
    <n v="31360.1"/>
    <n v="0.36909667877604352"/>
    <n v="1318.14"/>
  </r>
  <r>
    <x v="212"/>
    <x v="34"/>
    <x v="5"/>
    <x v="7"/>
    <x v="4"/>
    <s v="2024-04-27"/>
    <n v="332"/>
    <n v="1555.52"/>
    <n v="2910.37"/>
    <x v="136"/>
    <n v="255105.28"/>
    <n v="83"/>
    <n v="0"/>
    <n v="216"/>
    <s v="2024-05-08"/>
    <n v="91"/>
    <x v="2"/>
    <n v="264843.67"/>
    <n v="141552.32000000001"/>
    <n v="123291.35"/>
    <n v="0.46552500197569385"/>
    <n v="255105.28"/>
  </r>
  <r>
    <x v="213"/>
    <x v="24"/>
    <x v="3"/>
    <x v="3"/>
    <x v="3"/>
    <s v="2024-04-22"/>
    <n v="288"/>
    <n v="1609.58"/>
    <n v="3836.63"/>
    <x v="0"/>
    <n v="80479"/>
    <n v="55"/>
    <n v="1"/>
    <n v="284"/>
    <s v="2024-05-16"/>
    <n v="52"/>
    <x v="1"/>
    <n v="199504.76"/>
    <n v="83698.16"/>
    <n v="115806.6"/>
    <n v="0.58047036070718316"/>
    <n v="80479"/>
  </r>
  <r>
    <x v="214"/>
    <x v="51"/>
    <x v="3"/>
    <x v="6"/>
    <x v="2"/>
    <s v="2024-03-13"/>
    <n v="429"/>
    <n v="52.12"/>
    <n v="111.01"/>
    <x v="137"/>
    <n v="3856.8799999999997"/>
    <n v="89"/>
    <n v="1"/>
    <n v="198"/>
    <s v="2024-05-08"/>
    <n v="106"/>
    <x v="1"/>
    <n v="11767.06"/>
    <n v="5524.72"/>
    <n v="6242.34"/>
    <n v="0.53049274840104499"/>
    <n v="3856.88"/>
  </r>
  <r>
    <x v="215"/>
    <x v="53"/>
    <x v="3"/>
    <x v="7"/>
    <x v="0"/>
    <s v="2024-01-30"/>
    <n v="341"/>
    <n v="1008.62"/>
    <n v="2301.58"/>
    <x v="138"/>
    <n v="126077.5"/>
    <n v="58"/>
    <n v="0"/>
    <n v="115"/>
    <s v="2024-05-13"/>
    <n v="125"/>
    <x v="2"/>
    <n v="287697.5"/>
    <n v="126077.5"/>
    <n v="161620"/>
    <n v="0.5617706097550379"/>
    <n v="126077.5"/>
  </r>
  <r>
    <x v="216"/>
    <x v="54"/>
    <x v="0"/>
    <x v="5"/>
    <x v="1"/>
    <s v="2024-04-03"/>
    <n v="136"/>
    <n v="1446.22"/>
    <n v="2939.41"/>
    <x v="18"/>
    <n v="50617.700000000004"/>
    <n v="84"/>
    <n v="1"/>
    <n v="214"/>
    <s v="2024-05-12"/>
    <n v="15"/>
    <x v="1"/>
    <n v="44091.15"/>
    <n v="21693.3"/>
    <n v="22397.85"/>
    <n v="0.50798969861298693"/>
    <n v="50617.7"/>
  </r>
  <r>
    <x v="217"/>
    <x v="38"/>
    <x v="4"/>
    <x v="1"/>
    <x v="2"/>
    <s v="2024-04-07"/>
    <n v="261"/>
    <n v="1688.24"/>
    <n v="2780.78"/>
    <x v="139"/>
    <n v="118176.8"/>
    <n v="34"/>
    <n v="0"/>
    <n v="52"/>
    <s v="2024-05-01"/>
    <n v="55"/>
    <x v="2"/>
    <n v="152942.9"/>
    <n v="92853.2"/>
    <n v="60089.7"/>
    <n v="0.39288976474226656"/>
    <n v="118176.8"/>
  </r>
  <r>
    <x v="218"/>
    <x v="56"/>
    <x v="4"/>
    <x v="3"/>
    <x v="2"/>
    <s v="2024-03-20"/>
    <n v="391"/>
    <n v="1827.25"/>
    <n v="4182.4399999999996"/>
    <x v="140"/>
    <n v="575583.75"/>
    <n v="17"/>
    <n v="0"/>
    <n v="51"/>
    <s v="2024-05-21"/>
    <n v="136"/>
    <x v="2"/>
    <n v="568811.84"/>
    <n v="248506"/>
    <n v="320305.84000000003"/>
    <n v="0.56311387611059582"/>
    <n v="575583.75"/>
  </r>
  <r>
    <x v="219"/>
    <x v="47"/>
    <x v="4"/>
    <x v="0"/>
    <x v="2"/>
    <s v="2024-03-08"/>
    <n v="324"/>
    <n v="53.94"/>
    <n v="135.91"/>
    <x v="141"/>
    <n v="7875.24"/>
    <n v="70"/>
    <n v="0"/>
    <n v="256"/>
    <s v="2024-05-09"/>
    <n v="45"/>
    <x v="2"/>
    <n v="6115.95"/>
    <n v="2427.3000000000002"/>
    <n v="3688.65"/>
    <n v="0.6031197115738357"/>
    <n v="7875.24"/>
  </r>
  <r>
    <x v="220"/>
    <x v="26"/>
    <x v="1"/>
    <x v="4"/>
    <x v="1"/>
    <s v="2024-01-25"/>
    <n v="319"/>
    <n v="1634.12"/>
    <n v="2779.62"/>
    <x v="87"/>
    <n v="210801.47999999998"/>
    <n v="65"/>
    <n v="0"/>
    <n v="70"/>
    <s v="2024-05-20"/>
    <n v="95"/>
    <x v="2"/>
    <n v="264063.90000000002"/>
    <n v="155241.4"/>
    <n v="108822.5"/>
    <n v="0.41210669084263313"/>
    <n v="210801.48"/>
  </r>
  <r>
    <x v="221"/>
    <x v="17"/>
    <x v="2"/>
    <x v="7"/>
    <x v="1"/>
    <s v="2024-02-08"/>
    <n v="473"/>
    <n v="179.62"/>
    <n v="500.69"/>
    <x v="142"/>
    <n v="77955.08"/>
    <n v="98"/>
    <n v="0"/>
    <n v="244"/>
    <s v="2024-05-22"/>
    <n v="8"/>
    <x v="2"/>
    <n v="4005.52"/>
    <n v="1436.96"/>
    <n v="2568.56"/>
    <n v="0.64125506800615151"/>
    <n v="77955.08"/>
  </r>
  <r>
    <x v="222"/>
    <x v="5"/>
    <x v="1"/>
    <x v="6"/>
    <x v="4"/>
    <s v="2024-03-11"/>
    <n v="78"/>
    <n v="1411.63"/>
    <n v="2010.2"/>
    <x v="30"/>
    <n v="1411.63"/>
    <n v="70"/>
    <n v="1"/>
    <n v="215"/>
    <s v="2024-05-16"/>
    <n v="84"/>
    <x v="1"/>
    <n v="168856.8"/>
    <n v="118576.92"/>
    <n v="50279.88"/>
    <n v="0.29776639140384042"/>
    <n v="1411.63"/>
  </r>
  <r>
    <x v="223"/>
    <x v="14"/>
    <x v="4"/>
    <x v="0"/>
    <x v="1"/>
    <s v="2024-01-28"/>
    <n v="340"/>
    <n v="556.77"/>
    <n v="1495.62"/>
    <x v="143"/>
    <n v="135295.10999999999"/>
    <n v="50"/>
    <n v="0"/>
    <n v="280"/>
    <s v="2024-05-23"/>
    <n v="139"/>
    <x v="2"/>
    <n v="207891.18"/>
    <n v="77391.03"/>
    <n v="130500.15"/>
    <n v="0.62773298030248326"/>
    <n v="135295.10999999999"/>
  </r>
  <r>
    <x v="224"/>
    <x v="38"/>
    <x v="4"/>
    <x v="4"/>
    <x v="0"/>
    <s v="2024-01-03"/>
    <n v="350"/>
    <n v="1509.46"/>
    <n v="3576.01"/>
    <x v="15"/>
    <n v="110190.58"/>
    <n v="65"/>
    <n v="0"/>
    <n v="287"/>
    <s v="2024-05-07"/>
    <n v="19"/>
    <x v="2"/>
    <n v="67944.19"/>
    <n v="28679.74"/>
    <n v="39264.449999999997"/>
    <n v="0.57789267927103105"/>
    <n v="110190.58"/>
  </r>
  <r>
    <x v="225"/>
    <x v="53"/>
    <x v="3"/>
    <x v="7"/>
    <x v="3"/>
    <s v="2024-04-16"/>
    <n v="396"/>
    <n v="676.83"/>
    <n v="1647.01"/>
    <x v="134"/>
    <n v="186805.08000000002"/>
    <n v="32"/>
    <n v="0"/>
    <n v="252"/>
    <s v="2024-05-13"/>
    <n v="20"/>
    <x v="2"/>
    <n v="32940.199999999997"/>
    <n v="13536.6"/>
    <n v="19403.599999999999"/>
    <n v="0.58905531842551051"/>
    <n v="186805.08"/>
  </r>
  <r>
    <x v="226"/>
    <x v="32"/>
    <x v="4"/>
    <x v="0"/>
    <x v="2"/>
    <s v="2024-02-25"/>
    <n v="479"/>
    <n v="694.37"/>
    <n v="1703.64"/>
    <x v="45"/>
    <n v="26386.06"/>
    <n v="91"/>
    <n v="1"/>
    <n v="151"/>
    <s v="2024-05-08"/>
    <n v="83"/>
    <x v="1"/>
    <n v="141402.12"/>
    <n v="57632.71"/>
    <n v="83769.41"/>
    <n v="0.59241976004320163"/>
    <n v="26386.06"/>
  </r>
  <r>
    <x v="227"/>
    <x v="45"/>
    <x v="1"/>
    <x v="5"/>
    <x v="4"/>
    <s v="2024-01-30"/>
    <n v="333"/>
    <n v="875.06"/>
    <n v="2029.74"/>
    <x v="144"/>
    <n v="168011.51999999999"/>
    <n v="99"/>
    <n v="0"/>
    <n v="147"/>
    <s v="2024-05-12"/>
    <n v="21"/>
    <x v="2"/>
    <n v="42624.54"/>
    <n v="18376.259999999998"/>
    <n v="24248.28"/>
    <n v="0.56888074334643846"/>
    <n v="168011.51999999999"/>
  </r>
  <r>
    <x v="228"/>
    <x v="44"/>
    <x v="4"/>
    <x v="7"/>
    <x v="2"/>
    <s v="2024-01-11"/>
    <n v="128"/>
    <n v="1429.12"/>
    <n v="3216.74"/>
    <x v="145"/>
    <n v="138624.63999999998"/>
    <n v="64"/>
    <n v="0"/>
    <n v="131"/>
    <s v="2024-05-09"/>
    <n v="92"/>
    <x v="2"/>
    <n v="295940.08"/>
    <n v="131479.04000000001"/>
    <n v="164461.04"/>
    <n v="0.55572411820663159"/>
    <n v="138624.64000000001"/>
  </r>
  <r>
    <x v="229"/>
    <x v="26"/>
    <x v="1"/>
    <x v="0"/>
    <x v="0"/>
    <s v="2024-02-26"/>
    <n v="439"/>
    <n v="222.42"/>
    <n v="318.27"/>
    <x v="146"/>
    <n v="30693.96"/>
    <n v="70"/>
    <n v="0"/>
    <n v="164"/>
    <s v="2024-05-12"/>
    <n v="142"/>
    <x v="2"/>
    <n v="45194.34"/>
    <n v="31583.64"/>
    <n v="13610.7"/>
    <n v="0.30115939296823457"/>
    <n v="30693.96"/>
  </r>
  <r>
    <x v="230"/>
    <x v="22"/>
    <x v="4"/>
    <x v="6"/>
    <x v="2"/>
    <s v="2024-01-04"/>
    <n v="231"/>
    <n v="204.27"/>
    <n v="448.79"/>
    <x v="147"/>
    <n v="28802.07"/>
    <n v="56"/>
    <n v="0"/>
    <n v="271"/>
    <s v="2024-05-03"/>
    <n v="98"/>
    <x v="2"/>
    <n v="43981.42"/>
    <n v="20018.46"/>
    <n v="23962.959999999999"/>
    <n v="0.54484279952761872"/>
    <n v="28802.07"/>
  </r>
  <r>
    <x v="231"/>
    <x v="45"/>
    <x v="1"/>
    <x v="6"/>
    <x v="4"/>
    <s v="2024-04-09"/>
    <n v="421"/>
    <n v="1812.31"/>
    <n v="5015.13"/>
    <x v="148"/>
    <n v="518320.66"/>
    <n v="88"/>
    <n v="0"/>
    <n v="183"/>
    <s v="2024-05-03"/>
    <n v="43"/>
    <x v="2"/>
    <n v="215650.59"/>
    <n v="77929.33"/>
    <n v="137721.26"/>
    <n v="0.63863150107773881"/>
    <n v="518320.66"/>
  </r>
  <r>
    <x v="232"/>
    <x v="30"/>
    <x v="0"/>
    <x v="4"/>
    <x v="1"/>
    <s v="2024-02-04"/>
    <n v="187"/>
    <n v="308.95"/>
    <n v="479.12"/>
    <x v="112"/>
    <n v="38927.699999999997"/>
    <n v="50"/>
    <n v="0"/>
    <n v="157"/>
    <s v="2024-05-10"/>
    <n v="76"/>
    <x v="2"/>
    <n v="36413.120000000003"/>
    <n v="23480.2"/>
    <n v="12932.92"/>
    <n v="0.35517198196693939"/>
    <n v="38927.699999999997"/>
  </r>
  <r>
    <x v="233"/>
    <x v="3"/>
    <x v="2"/>
    <x v="3"/>
    <x v="0"/>
    <s v="2024-04-30"/>
    <n v="419"/>
    <n v="1001.69"/>
    <n v="2228.7600000000002"/>
    <x v="149"/>
    <n v="320540.80000000005"/>
    <n v="73"/>
    <n v="0"/>
    <n v="77"/>
    <s v="2024-05-08"/>
    <n v="34"/>
    <x v="2"/>
    <n v="75777.84"/>
    <n v="34057.46"/>
    <n v="41720.379999999997"/>
    <n v="0.55056174733932772"/>
    <n v="320540.79999999999"/>
  </r>
  <r>
    <x v="234"/>
    <x v="25"/>
    <x v="3"/>
    <x v="6"/>
    <x v="0"/>
    <s v="2024-04-17"/>
    <n v="244"/>
    <n v="1727.15"/>
    <n v="3385.79"/>
    <x v="150"/>
    <n v="354065.75"/>
    <n v="70"/>
    <n v="0"/>
    <n v="258"/>
    <s v="2024-05-20"/>
    <n v="34"/>
    <x v="2"/>
    <n v="115116.86"/>
    <n v="58723.1"/>
    <n v="56393.760000000002"/>
    <n v="0.4898827157029822"/>
    <n v="354065.75"/>
  </r>
  <r>
    <x v="235"/>
    <x v="51"/>
    <x v="3"/>
    <x v="7"/>
    <x v="4"/>
    <s v="2024-02-10"/>
    <n v="253"/>
    <n v="651.89"/>
    <n v="1566.04"/>
    <x v="64"/>
    <n v="161016.82999999999"/>
    <n v="96"/>
    <n v="0"/>
    <n v="175"/>
    <s v="2024-05-06"/>
    <n v="147"/>
    <x v="2"/>
    <n v="230207.88"/>
    <n v="95827.83"/>
    <n v="134380.04999999999"/>
    <n v="0.58373349339735892"/>
    <n v="161016.82999999999"/>
  </r>
  <r>
    <x v="236"/>
    <x v="55"/>
    <x v="5"/>
    <x v="6"/>
    <x v="0"/>
    <s v="2024-04-14"/>
    <n v="236"/>
    <n v="1865.49"/>
    <n v="2984.22"/>
    <x v="27"/>
    <n v="54099.21"/>
    <n v="84"/>
    <n v="1"/>
    <n v="96"/>
    <s v="2024-05-13"/>
    <n v="140"/>
    <x v="1"/>
    <n v="417790.8"/>
    <n v="261168.6"/>
    <n v="156622.20000000001"/>
    <n v="0.37488187868186668"/>
    <n v="54099.21"/>
  </r>
  <r>
    <x v="237"/>
    <x v="43"/>
    <x v="1"/>
    <x v="7"/>
    <x v="4"/>
    <s v="2024-04-12"/>
    <n v="475"/>
    <n v="156.93"/>
    <n v="403.57"/>
    <x v="151"/>
    <n v="55553.22"/>
    <n v="67"/>
    <n v="0"/>
    <n v="222"/>
    <s v="2024-05-10"/>
    <n v="127"/>
    <x v="2"/>
    <n v="51253.39"/>
    <n v="19930.11"/>
    <n v="31323.279999999999"/>
    <n v="0.61114552617885376"/>
    <n v="55553.22"/>
  </r>
  <r>
    <x v="238"/>
    <x v="8"/>
    <x v="5"/>
    <x v="7"/>
    <x v="0"/>
    <s v="2024-03-25"/>
    <n v="416"/>
    <n v="1582.37"/>
    <n v="2232.64"/>
    <x v="152"/>
    <n v="341791.92"/>
    <n v="91"/>
    <n v="0"/>
    <n v="172"/>
    <s v="2024-05-05"/>
    <n v="149"/>
    <x v="2"/>
    <n v="332663.36"/>
    <n v="235773.13"/>
    <n v="96890.23"/>
    <n v="0.29125609144331377"/>
    <n v="341791.92"/>
  </r>
  <r>
    <x v="239"/>
    <x v="15"/>
    <x v="2"/>
    <x v="6"/>
    <x v="3"/>
    <s v="2024-01-05"/>
    <n v="409"/>
    <n v="1195.76"/>
    <n v="3194.59"/>
    <x v="153"/>
    <n v="327638.24"/>
    <n v="28"/>
    <n v="0"/>
    <n v="246"/>
    <s v="2024-05-12"/>
    <n v="63"/>
    <x v="2"/>
    <n v="201259.17"/>
    <n v="75332.88"/>
    <n v="125926.29"/>
    <n v="0.6256921858517055"/>
    <n v="327638.24"/>
  </r>
  <r>
    <x v="240"/>
    <x v="11"/>
    <x v="0"/>
    <x v="4"/>
    <x v="3"/>
    <s v="2024-01-06"/>
    <n v="380"/>
    <n v="1300.55"/>
    <n v="3576.79"/>
    <x v="154"/>
    <n v="449990.3"/>
    <n v="57"/>
    <n v="0"/>
    <n v="297"/>
    <s v="2024-05-19"/>
    <n v="110"/>
    <x v="2"/>
    <n v="393446.9"/>
    <n v="143060.5"/>
    <n v="250386.4"/>
    <n v="0.6363918485569463"/>
    <n v="449990.3"/>
  </r>
  <r>
    <x v="241"/>
    <x v="1"/>
    <x v="1"/>
    <x v="1"/>
    <x v="0"/>
    <s v="2024-01-29"/>
    <n v="432"/>
    <n v="1124.83"/>
    <n v="2622.54"/>
    <x v="155"/>
    <n v="298079.94999999995"/>
    <n v="43"/>
    <n v="0"/>
    <n v="164"/>
    <s v="2024-05-17"/>
    <n v="95"/>
    <x v="2"/>
    <n v="249141.3"/>
    <n v="106858.85"/>
    <n v="142282.45000000001"/>
    <n v="0.57109138468812681"/>
    <n v="298079.95"/>
  </r>
  <r>
    <x v="242"/>
    <x v="17"/>
    <x v="2"/>
    <x v="4"/>
    <x v="0"/>
    <s v="2024-01-04"/>
    <n v="103"/>
    <n v="843.63"/>
    <n v="2313.73"/>
    <x v="156"/>
    <n v="31214.31"/>
    <n v="29"/>
    <n v="0"/>
    <n v="262"/>
    <s v="2024-05-16"/>
    <n v="36"/>
    <x v="2"/>
    <n v="83294.28"/>
    <n v="30370.68"/>
    <n v="52923.6"/>
    <n v="0.6353809649354073"/>
    <n v="31214.31"/>
  </r>
  <r>
    <x v="243"/>
    <x v="24"/>
    <x v="3"/>
    <x v="3"/>
    <x v="4"/>
    <s v="2024-04-10"/>
    <n v="316"/>
    <n v="709.63"/>
    <n v="1026.43"/>
    <x v="64"/>
    <n v="175278.61"/>
    <n v="72"/>
    <n v="0"/>
    <n v="131"/>
    <s v="2024-05-07"/>
    <n v="17"/>
    <x v="2"/>
    <n v="17449.310000000001"/>
    <n v="12063.71"/>
    <n v="5385.6"/>
    <n v="0.30864257669787515"/>
    <n v="175278.61"/>
  </r>
  <r>
    <x v="244"/>
    <x v="25"/>
    <x v="3"/>
    <x v="1"/>
    <x v="2"/>
    <s v="2024-04-18"/>
    <n v="381"/>
    <n v="1360.74"/>
    <n v="2104.4299999999998"/>
    <x v="34"/>
    <n v="74840.7"/>
    <n v="46"/>
    <n v="0"/>
    <n v="182"/>
    <s v="2024-05-11"/>
    <n v="44"/>
    <x v="2"/>
    <n v="92594.92"/>
    <n v="59872.56"/>
    <n v="32722.36"/>
    <n v="0.35339260512347764"/>
    <n v="74840.7"/>
  </r>
  <r>
    <x v="245"/>
    <x v="16"/>
    <x v="4"/>
    <x v="3"/>
    <x v="3"/>
    <s v="2024-02-24"/>
    <n v="168"/>
    <n v="1266.93"/>
    <n v="2001.22"/>
    <x v="157"/>
    <n v="130493.79000000001"/>
    <n v="99"/>
    <n v="0"/>
    <n v="160"/>
    <s v="2024-05-15"/>
    <n v="101"/>
    <x v="2"/>
    <n v="202123.22"/>
    <n v="127959.93"/>
    <n v="74163.289999999994"/>
    <n v="0.36692117808137031"/>
    <n v="130493.79"/>
  </r>
  <r>
    <x v="246"/>
    <x v="13"/>
    <x v="1"/>
    <x v="7"/>
    <x v="4"/>
    <s v="2024-03-16"/>
    <n v="249"/>
    <n v="1415.38"/>
    <n v="2276.89"/>
    <x v="30"/>
    <n v="1415.38"/>
    <n v="23"/>
    <n v="1"/>
    <n v="197"/>
    <s v="2024-05-14"/>
    <n v="26"/>
    <x v="1"/>
    <n v="59199.14"/>
    <n v="36799.879999999997"/>
    <n v="22399.26"/>
    <n v="0.37837137498956908"/>
    <n v="1415.38"/>
  </r>
  <r>
    <x v="247"/>
    <x v="16"/>
    <x v="4"/>
    <x v="3"/>
    <x v="0"/>
    <s v="2024-01-26"/>
    <n v="108"/>
    <n v="1347.99"/>
    <n v="2742.12"/>
    <x v="110"/>
    <n v="44483.67"/>
    <n v="96"/>
    <n v="1"/>
    <n v="130"/>
    <s v="2024-05-15"/>
    <n v="99"/>
    <x v="1"/>
    <n v="271469.88"/>
    <n v="133451.01"/>
    <n v="138018.87"/>
    <n v="0.50841319854710953"/>
    <n v="44483.67"/>
  </r>
  <r>
    <x v="248"/>
    <x v="47"/>
    <x v="4"/>
    <x v="1"/>
    <x v="0"/>
    <s v="2024-02-15"/>
    <n v="366"/>
    <n v="1631.2"/>
    <n v="3847.97"/>
    <x v="111"/>
    <n v="143545.60000000001"/>
    <n v="53"/>
    <n v="0"/>
    <n v="285"/>
    <s v="2024-05-15"/>
    <n v="21"/>
    <x v="2"/>
    <n v="80807.37"/>
    <n v="34255.199999999997"/>
    <n v="46552.17"/>
    <n v="0.57608817116557565"/>
    <n v="143545.60000000001"/>
  </r>
  <r>
    <x v="249"/>
    <x v="39"/>
    <x v="0"/>
    <x v="3"/>
    <x v="2"/>
    <s v="2024-01-31"/>
    <n v="109"/>
    <n v="759.15"/>
    <n v="1147.8599999999999"/>
    <x v="20"/>
    <n v="17460.45"/>
    <n v="64"/>
    <n v="1"/>
    <n v="157"/>
    <s v="2024-05-10"/>
    <n v="35"/>
    <x v="1"/>
    <n v="40175.1"/>
    <n v="26570.25"/>
    <n v="13604.85"/>
    <n v="0.33863885839736557"/>
    <n v="17460.45"/>
  </r>
  <r>
    <x v="250"/>
    <x v="47"/>
    <x v="4"/>
    <x v="6"/>
    <x v="1"/>
    <s v="2024-03-03"/>
    <n v="325"/>
    <n v="1118.73"/>
    <n v="2276.0100000000002"/>
    <x v="111"/>
    <n v="98448.24"/>
    <n v="32"/>
    <n v="0"/>
    <n v="97"/>
    <s v="2024-05-21"/>
    <n v="80"/>
    <x v="2"/>
    <n v="182080.8"/>
    <n v="89498.4"/>
    <n v="92582.399999999994"/>
    <n v="0.50846876771191696"/>
    <n v="98448.24"/>
  </r>
  <r>
    <x v="251"/>
    <x v="2"/>
    <x v="2"/>
    <x v="0"/>
    <x v="0"/>
    <s v="2024-01-02"/>
    <n v="119"/>
    <n v="1634.13"/>
    <n v="4486.8999999999996"/>
    <x v="158"/>
    <n v="39219.120000000003"/>
    <n v="79"/>
    <n v="1"/>
    <n v="217"/>
    <s v="2024-05-16"/>
    <n v="126"/>
    <x v="1"/>
    <n v="565349.4"/>
    <n v="205900.38"/>
    <n v="359449.02"/>
    <n v="0.63579977267155496"/>
    <n v="39219.120000000003"/>
  </r>
  <r>
    <x v="252"/>
    <x v="17"/>
    <x v="2"/>
    <x v="6"/>
    <x v="4"/>
    <s v="2024-03-03"/>
    <n v="92"/>
    <n v="81.099999999999994"/>
    <n v="198.01"/>
    <x v="90"/>
    <n v="5839.2"/>
    <n v="52"/>
    <n v="0"/>
    <n v="58"/>
    <s v="2024-05-06"/>
    <n v="70"/>
    <x v="2"/>
    <n v="13860.7"/>
    <n v="5677"/>
    <n v="8183.7"/>
    <n v="0.59042472602393814"/>
    <n v="5839.2"/>
  </r>
  <r>
    <x v="253"/>
    <x v="12"/>
    <x v="5"/>
    <x v="2"/>
    <x v="1"/>
    <s v="2024-04-09"/>
    <n v="339"/>
    <n v="1108.46"/>
    <n v="1629.23"/>
    <x v="159"/>
    <n v="280440.38"/>
    <n v="29"/>
    <n v="0"/>
    <n v="118"/>
    <s v="2024-05-15"/>
    <n v="139"/>
    <x v="2"/>
    <n v="226462.97"/>
    <n v="154075.94"/>
    <n v="72387.03"/>
    <n v="0.31964179397629555"/>
    <n v="280440.38"/>
  </r>
  <r>
    <x v="254"/>
    <x v="35"/>
    <x v="3"/>
    <x v="0"/>
    <x v="4"/>
    <s v="2024-03-10"/>
    <n v="267"/>
    <n v="1477.26"/>
    <n v="3368.9"/>
    <x v="33"/>
    <n v="76817.52"/>
    <n v="46"/>
    <n v="0"/>
    <n v="126"/>
    <s v="2024-05-07"/>
    <n v="8"/>
    <x v="2"/>
    <n v="26951.200000000001"/>
    <n v="11818.08"/>
    <n v="15133.12"/>
    <n v="0.56150078660690439"/>
    <n v="76817.52"/>
  </r>
  <r>
    <x v="255"/>
    <x v="41"/>
    <x v="2"/>
    <x v="3"/>
    <x v="2"/>
    <s v="2024-02-26"/>
    <n v="447"/>
    <n v="489.15"/>
    <n v="1230.73"/>
    <x v="160"/>
    <n v="202997.25"/>
    <n v="90"/>
    <n v="0"/>
    <n v="226"/>
    <s v="2024-05-04"/>
    <n v="89"/>
    <x v="2"/>
    <n v="109534.97"/>
    <n v="43534.35"/>
    <n v="66000.62"/>
    <n v="0.60255295637548445"/>
    <n v="202997.25"/>
  </r>
  <r>
    <x v="256"/>
    <x v="37"/>
    <x v="0"/>
    <x v="6"/>
    <x v="1"/>
    <s v="2024-03-19"/>
    <n v="451"/>
    <n v="1630.79"/>
    <n v="4090.28"/>
    <x v="131"/>
    <n v="171232.94999999998"/>
    <n v="87"/>
    <n v="0"/>
    <n v="139"/>
    <s v="2024-05-05"/>
    <n v="136"/>
    <x v="2"/>
    <n v="556278.07999999996"/>
    <n v="221787.44"/>
    <n v="334490.64"/>
    <n v="0.60130113341873914"/>
    <n v="171232.95"/>
  </r>
  <r>
    <x v="257"/>
    <x v="4"/>
    <x v="3"/>
    <x v="4"/>
    <x v="0"/>
    <s v="2024-03-31"/>
    <n v="198"/>
    <n v="549.34"/>
    <n v="1421.16"/>
    <x v="141"/>
    <n v="80203.64"/>
    <n v="27"/>
    <n v="0"/>
    <n v="84"/>
    <s v="2024-05-10"/>
    <n v="105"/>
    <x v="2"/>
    <n v="149221.79999999999"/>
    <n v="57680.7"/>
    <n v="91541.1"/>
    <n v="0.61345661290776554"/>
    <n v="80203.64"/>
  </r>
  <r>
    <x v="258"/>
    <x v="45"/>
    <x v="1"/>
    <x v="4"/>
    <x v="1"/>
    <s v="2024-02-01"/>
    <n v="414"/>
    <n v="1660.39"/>
    <n v="4055.02"/>
    <x v="136"/>
    <n v="272303.96000000002"/>
    <n v="65"/>
    <n v="0"/>
    <n v="175"/>
    <s v="2024-05-05"/>
    <n v="36"/>
    <x v="2"/>
    <n v="145980.72"/>
    <n v="59774.04"/>
    <n v="86206.68"/>
    <n v="0.59053469526660773"/>
    <n v="272303.96000000002"/>
  </r>
  <r>
    <x v="259"/>
    <x v="44"/>
    <x v="4"/>
    <x v="6"/>
    <x v="4"/>
    <s v="2024-02-27"/>
    <n v="374"/>
    <n v="817.64"/>
    <n v="1982.53"/>
    <x v="41"/>
    <n v="38429.08"/>
    <n v="62"/>
    <n v="1"/>
    <n v="166"/>
    <s v="2024-05-03"/>
    <n v="124"/>
    <x v="1"/>
    <n v="245833.72"/>
    <n v="101387.36"/>
    <n v="144446.35999999999"/>
    <n v="0.58757748936964382"/>
    <n v="38429.08"/>
  </r>
  <r>
    <x v="260"/>
    <x v="4"/>
    <x v="3"/>
    <x v="0"/>
    <x v="2"/>
    <s v="2024-04-03"/>
    <n v="375"/>
    <n v="1400.63"/>
    <n v="3606.85"/>
    <x v="77"/>
    <n v="476214.2"/>
    <n v="83"/>
    <n v="0"/>
    <n v="151"/>
    <s v="2024-05-15"/>
    <n v="55"/>
    <x v="2"/>
    <n v="198376.75"/>
    <n v="77034.649999999994"/>
    <n v="121342.1"/>
    <n v="0.61167500727781865"/>
    <n v="476214.2"/>
  </r>
  <r>
    <x v="261"/>
    <x v="57"/>
    <x v="2"/>
    <x v="5"/>
    <x v="0"/>
    <s v="2024-02-11"/>
    <n v="222"/>
    <n v="1164.31"/>
    <n v="2502.35"/>
    <x v="123"/>
    <n v="163003.4"/>
    <n v="77"/>
    <n v="0"/>
    <n v="251"/>
    <s v="2024-05-10"/>
    <n v="87"/>
    <x v="2"/>
    <n v="217704.45"/>
    <n v="101294.97"/>
    <n v="116409.48"/>
    <n v="0.53471336943273318"/>
    <n v="163003.4"/>
  </r>
  <r>
    <x v="262"/>
    <x v="50"/>
    <x v="0"/>
    <x v="0"/>
    <x v="2"/>
    <s v="2024-03-21"/>
    <n v="58"/>
    <n v="1860.28"/>
    <n v="2859.2"/>
    <x v="46"/>
    <n v="13021.96"/>
    <n v="73"/>
    <n v="1"/>
    <n v="50"/>
    <s v="2024-05-15"/>
    <n v="109"/>
    <x v="1"/>
    <n v="311652.8"/>
    <n v="202770.52"/>
    <n v="108882.28"/>
    <n v="0.34937045327364297"/>
    <n v="13021.96"/>
  </r>
  <r>
    <x v="263"/>
    <x v="9"/>
    <x v="5"/>
    <x v="2"/>
    <x v="1"/>
    <s v="2024-04-21"/>
    <n v="97"/>
    <n v="733.66"/>
    <n v="1044.46"/>
    <x v="76"/>
    <n v="60893.78"/>
    <n v="100"/>
    <n v="1"/>
    <n v="281"/>
    <s v="2024-05-09"/>
    <n v="42"/>
    <x v="1"/>
    <n v="43867.32"/>
    <n v="30813.72"/>
    <n v="13053.6"/>
    <n v="0.29757003619095035"/>
    <n v="60893.78"/>
  </r>
  <r>
    <x v="264"/>
    <x v="5"/>
    <x v="1"/>
    <x v="2"/>
    <x v="1"/>
    <s v="2024-02-24"/>
    <n v="96"/>
    <n v="208.46"/>
    <n v="337.73"/>
    <x v="161"/>
    <n v="18761.400000000001"/>
    <n v="24"/>
    <n v="0"/>
    <n v="83"/>
    <s v="2024-05-21"/>
    <n v="57"/>
    <x v="2"/>
    <n v="19250.61"/>
    <n v="11882.22"/>
    <n v="7368.39"/>
    <n v="0.38276137743167621"/>
    <n v="18761.400000000001"/>
  </r>
  <r>
    <x v="265"/>
    <x v="56"/>
    <x v="4"/>
    <x v="0"/>
    <x v="2"/>
    <s v="2024-03-30"/>
    <n v="468"/>
    <n v="1976.55"/>
    <n v="3821.6"/>
    <x v="104"/>
    <n v="120569.55"/>
    <n v="31"/>
    <n v="0"/>
    <n v="172"/>
    <s v="2024-05-11"/>
    <n v="18"/>
    <x v="2"/>
    <n v="68788.800000000003"/>
    <n v="35577.9"/>
    <n v="33210.9"/>
    <n v="0.48279516432907682"/>
    <n v="120569.55"/>
  </r>
  <r>
    <x v="266"/>
    <x v="20"/>
    <x v="5"/>
    <x v="1"/>
    <x v="2"/>
    <s v="2024-01-14"/>
    <n v="238"/>
    <n v="612.53"/>
    <n v="1147.93"/>
    <x v="162"/>
    <n v="137819.25"/>
    <n v="32"/>
    <n v="0"/>
    <n v="214"/>
    <s v="2024-05-11"/>
    <n v="36"/>
    <x v="2"/>
    <n v="41325.480000000003"/>
    <n v="22051.08"/>
    <n v="19274.400000000001"/>
    <n v="0.46640474593398551"/>
    <n v="137819.25"/>
  </r>
  <r>
    <x v="267"/>
    <x v="58"/>
    <x v="1"/>
    <x v="0"/>
    <x v="3"/>
    <s v="2024-03-24"/>
    <n v="275"/>
    <n v="1450.42"/>
    <n v="3252.02"/>
    <x v="163"/>
    <n v="259625.18000000002"/>
    <n v="34"/>
    <n v="0"/>
    <n v="285"/>
    <s v="2024-05-06"/>
    <n v="105"/>
    <x v="2"/>
    <n v="341462.1"/>
    <n v="152294.1"/>
    <n v="189168"/>
    <n v="0.55399413287741162"/>
    <n v="259625.18"/>
  </r>
  <r>
    <x v="268"/>
    <x v="56"/>
    <x v="4"/>
    <x v="7"/>
    <x v="2"/>
    <s v="2024-04-24"/>
    <n v="121"/>
    <n v="263.85000000000002"/>
    <n v="631.91999999999996"/>
    <x v="164"/>
    <n v="25329.600000000002"/>
    <n v="59"/>
    <n v="0"/>
    <n v="296"/>
    <s v="2024-05-04"/>
    <n v="109"/>
    <x v="2"/>
    <n v="68879.28"/>
    <n v="28759.65"/>
    <n v="40119.629999999997"/>
    <n v="0.58246296999620206"/>
    <n v="25329.599999999999"/>
  </r>
  <r>
    <x v="269"/>
    <x v="53"/>
    <x v="3"/>
    <x v="7"/>
    <x v="0"/>
    <s v="2024-03-23"/>
    <n v="177"/>
    <n v="1209.98"/>
    <n v="2881.89"/>
    <x v="147"/>
    <n v="170607.18"/>
    <n v="51"/>
    <n v="0"/>
    <n v="249"/>
    <s v="2024-05-03"/>
    <n v="6"/>
    <x v="2"/>
    <n v="17291.34"/>
    <n v="7259.88"/>
    <n v="10031.459999999999"/>
    <n v="0.58014358632702834"/>
    <n v="170607.18"/>
  </r>
  <r>
    <x v="270"/>
    <x v="42"/>
    <x v="0"/>
    <x v="7"/>
    <x v="3"/>
    <s v="2024-03-18"/>
    <n v="146"/>
    <n v="605.16999999999996"/>
    <n v="836.26"/>
    <x v="165"/>
    <n v="60516.999999999993"/>
    <n v="45"/>
    <n v="0"/>
    <n v="176"/>
    <s v="2024-05-17"/>
    <n v="98"/>
    <x v="2"/>
    <n v="81953.48"/>
    <n v="59306.66"/>
    <n v="22646.82"/>
    <n v="0.2763375026905508"/>
    <n v="60517"/>
  </r>
  <r>
    <x v="271"/>
    <x v="31"/>
    <x v="1"/>
    <x v="5"/>
    <x v="3"/>
    <s v="2024-01-10"/>
    <n v="56"/>
    <n v="1869.17"/>
    <n v="2799.97"/>
    <x v="20"/>
    <n v="42990.91"/>
    <n v="87"/>
    <n v="1"/>
    <n v="157"/>
    <s v="2024-05-17"/>
    <n v="93"/>
    <x v="1"/>
    <n v="260397.21"/>
    <n v="173832.81"/>
    <n v="86564.4"/>
    <n v="0.33243213320142717"/>
    <n v="42990.91"/>
  </r>
  <r>
    <x v="272"/>
    <x v="16"/>
    <x v="4"/>
    <x v="5"/>
    <x v="2"/>
    <s v="2024-01-03"/>
    <n v="84"/>
    <n v="539.13"/>
    <n v="733.08"/>
    <x v="30"/>
    <n v="539.13"/>
    <n v="22"/>
    <n v="1"/>
    <n v="292"/>
    <s v="2024-05-19"/>
    <n v="101"/>
    <x v="1"/>
    <n v="74041.08"/>
    <n v="54452.13"/>
    <n v="19588.95"/>
    <n v="0.26456866917662464"/>
    <n v="539.13"/>
  </r>
  <r>
    <x v="273"/>
    <x v="44"/>
    <x v="4"/>
    <x v="6"/>
    <x v="4"/>
    <s v="2024-03-30"/>
    <n v="92"/>
    <n v="1082.4000000000001"/>
    <n v="2407.33"/>
    <x v="12"/>
    <n v="87674.400000000009"/>
    <n v="50"/>
    <n v="0"/>
    <n v="71"/>
    <s v="2024-05-13"/>
    <n v="79"/>
    <x v="2"/>
    <n v="190179.07"/>
    <n v="85509.6"/>
    <n v="104669.47"/>
    <n v="0.55037323507786629"/>
    <n v="87674.4"/>
  </r>
  <r>
    <x v="274"/>
    <x v="58"/>
    <x v="1"/>
    <x v="7"/>
    <x v="1"/>
    <s v="2024-03-09"/>
    <n v="250"/>
    <n v="1275.9000000000001"/>
    <n v="3255.83"/>
    <x v="166"/>
    <n v="191385"/>
    <n v="97"/>
    <n v="0"/>
    <n v="66"/>
    <s v="2024-05-11"/>
    <n v="79"/>
    <x v="2"/>
    <n v="257210.57"/>
    <n v="100796.1"/>
    <n v="156414.47"/>
    <n v="0.60811835998808295"/>
    <n v="191385"/>
  </r>
  <r>
    <x v="275"/>
    <x v="30"/>
    <x v="0"/>
    <x v="7"/>
    <x v="2"/>
    <s v="2024-02-01"/>
    <n v="272"/>
    <n v="917.68"/>
    <n v="2031.05"/>
    <x v="167"/>
    <n v="54143.119999999995"/>
    <n v="54"/>
    <n v="0"/>
    <n v="220"/>
    <s v="2024-05-03"/>
    <n v="44"/>
    <x v="2"/>
    <n v="89366.2"/>
    <n v="40377.919999999998"/>
    <n v="48988.28"/>
    <n v="0.54817458949804287"/>
    <n v="54143.12"/>
  </r>
  <r>
    <x v="276"/>
    <x v="1"/>
    <x v="1"/>
    <x v="4"/>
    <x v="2"/>
    <s v="2024-01-21"/>
    <n v="227"/>
    <n v="1044.0999999999999"/>
    <n v="2645.5"/>
    <x v="168"/>
    <n v="138865.29999999999"/>
    <n v="48"/>
    <n v="0"/>
    <n v="92"/>
    <s v="2024-05-16"/>
    <n v="95"/>
    <x v="2"/>
    <n v="251322.5"/>
    <n v="99189.5"/>
    <n v="152133"/>
    <n v="0.60532980532980529"/>
    <n v="138865.29999999999"/>
  </r>
  <r>
    <x v="277"/>
    <x v="8"/>
    <x v="5"/>
    <x v="1"/>
    <x v="2"/>
    <s v="2024-02-12"/>
    <n v="189"/>
    <n v="146.47"/>
    <n v="346.91"/>
    <x v="120"/>
    <n v="19626.98"/>
    <n v="88"/>
    <n v="0"/>
    <n v="210"/>
    <s v="2024-05-14"/>
    <n v="19"/>
    <x v="2"/>
    <n v="6591.29"/>
    <n v="2782.93"/>
    <n v="3808.36"/>
    <n v="0.57778674584186107"/>
    <n v="19626.98"/>
  </r>
  <r>
    <x v="278"/>
    <x v="17"/>
    <x v="2"/>
    <x v="3"/>
    <x v="2"/>
    <s v="2024-03-04"/>
    <n v="135"/>
    <n v="331.47"/>
    <n v="815.41"/>
    <x v="169"/>
    <n v="31158.180000000004"/>
    <n v="88"/>
    <n v="0"/>
    <n v="222"/>
    <s v="2024-05-19"/>
    <n v="29"/>
    <x v="2"/>
    <n v="23646.89"/>
    <n v="9612.6299999999992"/>
    <n v="14034.26"/>
    <n v="0.59349284409070291"/>
    <n v="31158.18"/>
  </r>
  <r>
    <x v="279"/>
    <x v="12"/>
    <x v="5"/>
    <x v="0"/>
    <x v="2"/>
    <s v="2024-04-19"/>
    <n v="175"/>
    <n v="954.09"/>
    <n v="1788.41"/>
    <x v="73"/>
    <n v="10494.99"/>
    <n v="34"/>
    <n v="1"/>
    <n v="95"/>
    <s v="2024-05-01"/>
    <n v="9"/>
    <x v="1"/>
    <n v="16095.69"/>
    <n v="8586.81"/>
    <n v="7508.88"/>
    <n v="0.46651494903293989"/>
    <n v="10494.99"/>
  </r>
  <r>
    <x v="280"/>
    <x v="47"/>
    <x v="4"/>
    <x v="7"/>
    <x v="0"/>
    <s v="2024-02-01"/>
    <n v="418"/>
    <n v="557.09"/>
    <n v="789.3"/>
    <x v="170"/>
    <n v="90805.67"/>
    <n v="62"/>
    <n v="0"/>
    <n v="80"/>
    <s v="2024-05-14"/>
    <n v="128"/>
    <x v="2"/>
    <n v="101030.39999999999"/>
    <n v="71307.520000000004"/>
    <n v="29722.880000000001"/>
    <n v="0.29419739009248702"/>
    <n v="90805.67"/>
  </r>
  <r>
    <x v="281"/>
    <x v="50"/>
    <x v="0"/>
    <x v="4"/>
    <x v="1"/>
    <s v="2024-04-12"/>
    <n v="73"/>
    <n v="156.47"/>
    <n v="312.57"/>
    <x v="44"/>
    <n v="7979.97"/>
    <n v="51"/>
    <n v="1"/>
    <n v="248"/>
    <s v="2024-05-17"/>
    <n v="79"/>
    <x v="1"/>
    <n v="24693.03"/>
    <n v="12361.13"/>
    <n v="12331.9"/>
    <n v="0.49940813257830247"/>
    <n v="7979.97"/>
  </r>
  <r>
    <x v="282"/>
    <x v="40"/>
    <x v="3"/>
    <x v="5"/>
    <x v="2"/>
    <s v="2024-02-17"/>
    <n v="199"/>
    <n v="1573.32"/>
    <n v="3790.7"/>
    <x v="171"/>
    <n v="226558.07999999999"/>
    <n v="46"/>
    <n v="0"/>
    <n v="168"/>
    <s v="2024-05-07"/>
    <n v="94"/>
    <x v="2"/>
    <n v="356325.8"/>
    <n v="147892.07999999999"/>
    <n v="208433.72"/>
    <n v="0.58495264726831453"/>
    <n v="226558.07999999999"/>
  </r>
  <r>
    <x v="283"/>
    <x v="56"/>
    <x v="4"/>
    <x v="7"/>
    <x v="3"/>
    <s v="2024-04-07"/>
    <n v="127"/>
    <n v="1866.15"/>
    <n v="2492.9299999999998"/>
    <x v="30"/>
    <n v="1866.15"/>
    <n v="84"/>
    <n v="1"/>
    <n v="138"/>
    <s v="2024-05-08"/>
    <n v="2"/>
    <x v="1"/>
    <n v="4985.8599999999997"/>
    <n v="3732.3"/>
    <n v="1253.56"/>
    <n v="0.25142302431275648"/>
    <n v="1866.15"/>
  </r>
  <r>
    <x v="284"/>
    <x v="25"/>
    <x v="3"/>
    <x v="6"/>
    <x v="0"/>
    <s v="2024-01-14"/>
    <n v="321"/>
    <n v="851.24"/>
    <n v="2333.91"/>
    <x v="172"/>
    <n v="103000.04000000001"/>
    <n v="33"/>
    <n v="0"/>
    <n v="232"/>
    <s v="2024-05-07"/>
    <n v="71"/>
    <x v="2"/>
    <n v="165707.60999999999"/>
    <n v="60438.04"/>
    <n v="105269.57"/>
    <n v="0.63527299681650118"/>
    <n v="103000.04"/>
  </r>
  <r>
    <x v="285"/>
    <x v="1"/>
    <x v="1"/>
    <x v="7"/>
    <x v="3"/>
    <s v="2024-02-22"/>
    <n v="240"/>
    <n v="1949.62"/>
    <n v="2782.8"/>
    <x v="173"/>
    <n v="228105.53999999998"/>
    <n v="27"/>
    <n v="0"/>
    <n v="179"/>
    <s v="2024-05-23"/>
    <n v="34"/>
    <x v="2"/>
    <n v="94615.2"/>
    <n v="66287.08"/>
    <n v="28328.12"/>
    <n v="0.29940347851085236"/>
    <n v="228105.54"/>
  </r>
  <r>
    <x v="286"/>
    <x v="30"/>
    <x v="0"/>
    <x v="1"/>
    <x v="3"/>
    <s v="2024-03-13"/>
    <n v="272"/>
    <n v="488.81"/>
    <n v="826.82"/>
    <x v="174"/>
    <n v="32261.46"/>
    <n v="55"/>
    <n v="0"/>
    <n v="287"/>
    <s v="2024-05-02"/>
    <n v="100"/>
    <x v="2"/>
    <n v="82682"/>
    <n v="48881"/>
    <n v="33801"/>
    <n v="0.40880723736726254"/>
    <n v="32261.46"/>
  </r>
  <r>
    <x v="287"/>
    <x v="11"/>
    <x v="0"/>
    <x v="3"/>
    <x v="4"/>
    <s v="2024-02-04"/>
    <n v="88"/>
    <n v="289.5"/>
    <n v="710.79"/>
    <x v="16"/>
    <n v="7237.5"/>
    <n v="28"/>
    <n v="1"/>
    <n v="89"/>
    <s v="2024-05-08"/>
    <n v="27"/>
    <x v="1"/>
    <n v="19191.330000000002"/>
    <n v="7816.5"/>
    <n v="11374.83"/>
    <n v="0.59270670662220903"/>
    <n v="7237.5"/>
  </r>
  <r>
    <x v="288"/>
    <x v="46"/>
    <x v="5"/>
    <x v="5"/>
    <x v="0"/>
    <s v="2024-02-22"/>
    <n v="324"/>
    <n v="1929.98"/>
    <n v="3110.07"/>
    <x v="175"/>
    <n v="353186.34"/>
    <n v="54"/>
    <n v="0"/>
    <n v="168"/>
    <s v="2024-05-04"/>
    <n v="67"/>
    <x v="2"/>
    <n v="208374.69"/>
    <n v="129308.66"/>
    <n v="79066.03"/>
    <n v="0.37944162028507394"/>
    <n v="353186.34"/>
  </r>
  <r>
    <x v="289"/>
    <x v="26"/>
    <x v="1"/>
    <x v="4"/>
    <x v="0"/>
    <s v="2024-04-15"/>
    <n v="406"/>
    <n v="99.85"/>
    <n v="255.01"/>
    <x v="176"/>
    <n v="30753.8"/>
    <n v="56"/>
    <n v="0"/>
    <n v="87"/>
    <s v="2024-05-23"/>
    <n v="23"/>
    <x v="2"/>
    <n v="5865.23"/>
    <n v="2296.5500000000002"/>
    <n v="3568.68"/>
    <n v="0.60844672757931062"/>
    <n v="30753.8"/>
  </r>
  <r>
    <x v="290"/>
    <x v="29"/>
    <x v="0"/>
    <x v="3"/>
    <x v="4"/>
    <s v="2024-03-06"/>
    <n v="396"/>
    <n v="535.13"/>
    <n v="1490.88"/>
    <x v="177"/>
    <n v="81874.89"/>
    <n v="18"/>
    <n v="0"/>
    <n v="293"/>
    <s v="2024-05-02"/>
    <n v="103"/>
    <x v="2"/>
    <n v="153560.64000000001"/>
    <n v="55118.39"/>
    <n v="98442.25"/>
    <n v="0.64106433784073835"/>
    <n v="81874.89"/>
  </r>
  <r>
    <x v="291"/>
    <x v="15"/>
    <x v="2"/>
    <x v="7"/>
    <x v="2"/>
    <s v="2024-02-29"/>
    <n v="461"/>
    <n v="296.79000000000002"/>
    <n v="391.15"/>
    <x v="178"/>
    <n v="120496.74"/>
    <n v="43"/>
    <n v="0"/>
    <n v="83"/>
    <s v="2024-05-04"/>
    <n v="50"/>
    <x v="2"/>
    <n v="19557.5"/>
    <n v="14839.5"/>
    <n v="4718"/>
    <n v="0.24123737696535855"/>
    <n v="120496.74"/>
  </r>
  <r>
    <x v="292"/>
    <x v="59"/>
    <x v="2"/>
    <x v="1"/>
    <x v="3"/>
    <s v="2024-03-16"/>
    <n v="466"/>
    <n v="63.16"/>
    <n v="88.22"/>
    <x v="45"/>
    <n v="2400.08"/>
    <n v="97"/>
    <n v="1"/>
    <n v="163"/>
    <s v="2024-05-09"/>
    <n v="32"/>
    <x v="1"/>
    <n v="2823.04"/>
    <n v="2021.12"/>
    <n v="801.92"/>
    <n v="0.2840625708456132"/>
    <n v="2400.08"/>
  </r>
  <r>
    <x v="293"/>
    <x v="52"/>
    <x v="1"/>
    <x v="1"/>
    <x v="2"/>
    <s v="2024-04-30"/>
    <n v="75"/>
    <n v="1849.78"/>
    <n v="3606.58"/>
    <x v="49"/>
    <n v="38845.379999999997"/>
    <n v="65"/>
    <n v="1"/>
    <n v="177"/>
    <s v="2024-05-15"/>
    <n v="7"/>
    <x v="1"/>
    <n v="25246.06"/>
    <n v="12948.46"/>
    <n v="12297.6"/>
    <n v="0.48710967176660436"/>
    <n v="38845.379999999997"/>
  </r>
  <r>
    <x v="294"/>
    <x v="10"/>
    <x v="2"/>
    <x v="4"/>
    <x v="0"/>
    <s v="2024-01-28"/>
    <n v="190"/>
    <n v="903.1"/>
    <n v="1375.37"/>
    <x v="2"/>
    <n v="64120.1"/>
    <n v="93"/>
    <n v="1"/>
    <n v="208"/>
    <s v="2024-05-06"/>
    <n v="62"/>
    <x v="1"/>
    <n v="85272.94"/>
    <n v="55992.2"/>
    <n v="29280.74"/>
    <n v="0.34337669136305143"/>
    <n v="64120.1"/>
  </r>
  <r>
    <x v="295"/>
    <x v="42"/>
    <x v="0"/>
    <x v="5"/>
    <x v="4"/>
    <s v="2024-04-22"/>
    <n v="295"/>
    <n v="193.69"/>
    <n v="363.08"/>
    <x v="82"/>
    <n v="6004.39"/>
    <n v="68"/>
    <n v="1"/>
    <n v="101"/>
    <s v="2024-05-18"/>
    <n v="134"/>
    <x v="1"/>
    <n v="48652.72"/>
    <n v="25954.46"/>
    <n v="22698.26"/>
    <n v="0.46653630053982587"/>
    <n v="6004.39"/>
  </r>
  <r>
    <x v="296"/>
    <x v="12"/>
    <x v="5"/>
    <x v="0"/>
    <x v="4"/>
    <s v="2024-04-10"/>
    <n v="233"/>
    <n v="1098.1500000000001"/>
    <n v="2225.9699999999998"/>
    <x v="179"/>
    <n v="133974.30000000002"/>
    <n v="87"/>
    <n v="0"/>
    <n v="178"/>
    <s v="2024-05-23"/>
    <n v="82"/>
    <x v="2"/>
    <n v="182529.54"/>
    <n v="90048.3"/>
    <n v="92481.24"/>
    <n v="0.50666451030337334"/>
    <n v="133974.29999999999"/>
  </r>
  <r>
    <x v="297"/>
    <x v="41"/>
    <x v="2"/>
    <x v="4"/>
    <x v="2"/>
    <s v="2024-02-10"/>
    <n v="162"/>
    <n v="1793.61"/>
    <n v="4426.28"/>
    <x v="46"/>
    <n v="12555.269999999999"/>
    <n v="22"/>
    <n v="1"/>
    <n v="257"/>
    <s v="2024-05-20"/>
    <n v="120"/>
    <x v="1"/>
    <n v="531153.6"/>
    <n v="215233.2"/>
    <n v="315920.40000000002"/>
    <n v="0.59478162249112132"/>
    <n v="12555.27"/>
  </r>
  <r>
    <x v="298"/>
    <x v="32"/>
    <x v="4"/>
    <x v="7"/>
    <x v="1"/>
    <s v="2024-01-13"/>
    <n v="386"/>
    <n v="547.72"/>
    <n v="1382.68"/>
    <x v="180"/>
    <n v="67369.56"/>
    <n v="22"/>
    <n v="0"/>
    <n v="245"/>
    <s v="2024-05-08"/>
    <n v="56"/>
    <x v="2"/>
    <n v="77430.080000000002"/>
    <n v="30672.32"/>
    <n v="46757.760000000002"/>
    <n v="0.60387074377296268"/>
    <n v="67369.56"/>
  </r>
  <r>
    <x v="299"/>
    <x v="47"/>
    <x v="4"/>
    <x v="3"/>
    <x v="1"/>
    <s v="2024-01-23"/>
    <n v="353"/>
    <n v="1616.3"/>
    <n v="3792.55"/>
    <x v="181"/>
    <n v="261840.6"/>
    <n v="90"/>
    <n v="0"/>
    <n v="57"/>
    <s v="2024-05-08"/>
    <n v="90"/>
    <x v="2"/>
    <n v="341329.5"/>
    <n v="145467"/>
    <n v="195862.5"/>
    <n v="0.57382236226285743"/>
    <n v="261840.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6C3CC9F-52B7-4D57-A275-A1EA14625A97}"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2:K3" firstHeaderRow="1" firstDataRow="1" firstDataCol="0"/>
  <pivotFields count="22">
    <pivotField showAll="0"/>
    <pivotField showAll="0"/>
    <pivotField showAll="0">
      <items count="7">
        <item x="0"/>
        <item x="1"/>
        <item x="4"/>
        <item x="5"/>
        <item x="2"/>
        <item x="3"/>
        <item t="default"/>
      </items>
    </pivotField>
    <pivotField showAll="0">
      <items count="9">
        <item x="4"/>
        <item x="6"/>
        <item x="7"/>
        <item x="3"/>
        <item x="5"/>
        <item x="1"/>
        <item x="2"/>
        <item x="0"/>
        <item t="default"/>
      </items>
    </pivotField>
    <pivotField showAll="0">
      <items count="6">
        <item x="0"/>
        <item x="1"/>
        <item x="3"/>
        <item x="2"/>
        <item x="4"/>
        <item t="default"/>
      </items>
    </pivotField>
    <pivotField showAll="0"/>
    <pivotField numFmtId="1" showAll="0"/>
    <pivotField numFmtId="164" showAll="0"/>
    <pivotField numFmtId="164" showAll="0"/>
    <pivotField numFmtId="1" showAll="0">
      <items count="183">
        <item x="58"/>
        <item x="30"/>
        <item x="22"/>
        <item x="36"/>
        <item x="24"/>
        <item x="37"/>
        <item x="23"/>
        <item x="46"/>
        <item x="25"/>
        <item x="83"/>
        <item x="42"/>
        <item x="73"/>
        <item x="52"/>
        <item x="32"/>
        <item x="39"/>
        <item x="28"/>
        <item x="48"/>
        <item x="14"/>
        <item x="26"/>
        <item x="49"/>
        <item x="31"/>
        <item x="20"/>
        <item x="158"/>
        <item x="16"/>
        <item x="81"/>
        <item x="27"/>
        <item x="116"/>
        <item x="82"/>
        <item x="102"/>
        <item x="110"/>
        <item x="18"/>
        <item x="156"/>
        <item x="45"/>
        <item x="47"/>
        <item x="19"/>
        <item x="35"/>
        <item x="79"/>
        <item x="124"/>
        <item x="6"/>
        <item x="41"/>
        <item x="43"/>
        <item x="53"/>
        <item x="0"/>
        <item x="44"/>
        <item x="33"/>
        <item x="55"/>
        <item x="34"/>
        <item x="50"/>
        <item x="68"/>
        <item x="167"/>
        <item x="99"/>
        <item x="104"/>
        <item x="29"/>
        <item x="21"/>
        <item x="17"/>
        <item x="1"/>
        <item x="174"/>
        <item x="40"/>
        <item x="72"/>
        <item x="139"/>
        <item x="2"/>
        <item x="90"/>
        <item x="15"/>
        <item x="137"/>
        <item x="13"/>
        <item x="38"/>
        <item x="85"/>
        <item x="12"/>
        <item x="51"/>
        <item x="76"/>
        <item x="106"/>
        <item x="92"/>
        <item x="111"/>
        <item x="11"/>
        <item x="161"/>
        <item x="107"/>
        <item x="118"/>
        <item x="169"/>
        <item x="164"/>
        <item x="145"/>
        <item x="165"/>
        <item x="105"/>
        <item x="157"/>
        <item x="131"/>
        <item x="98"/>
        <item x="121"/>
        <item x="71"/>
        <item x="108"/>
        <item x="4"/>
        <item x="173"/>
        <item x="88"/>
        <item x="128"/>
        <item x="172"/>
        <item x="179"/>
        <item x="180"/>
        <item x="138"/>
        <item x="112"/>
        <item x="87"/>
        <item x="5"/>
        <item x="168"/>
        <item x="120"/>
        <item x="61"/>
        <item x="95"/>
        <item x="146"/>
        <item x="80"/>
        <item x="123"/>
        <item x="147"/>
        <item x="171"/>
        <item x="141"/>
        <item x="166"/>
        <item x="177"/>
        <item x="8"/>
        <item x="129"/>
        <item x="181"/>
        <item x="170"/>
        <item x="136"/>
        <item x="86"/>
        <item x="91"/>
        <item x="122"/>
        <item x="7"/>
        <item x="119"/>
        <item x="84"/>
        <item x="163"/>
        <item x="175"/>
        <item x="56"/>
        <item x="66"/>
        <item x="97"/>
        <item x="144"/>
        <item x="96"/>
        <item x="150"/>
        <item x="70"/>
        <item x="152"/>
        <item x="127"/>
        <item x="3"/>
        <item x="162"/>
        <item x="54"/>
        <item x="9"/>
        <item x="126"/>
        <item x="132"/>
        <item x="100"/>
        <item x="60"/>
        <item x="143"/>
        <item x="10"/>
        <item x="64"/>
        <item x="62"/>
        <item x="159"/>
        <item x="67"/>
        <item x="103"/>
        <item x="117"/>
        <item x="114"/>
        <item x="155"/>
        <item x="135"/>
        <item x="89"/>
        <item x="153"/>
        <item x="130"/>
        <item x="134"/>
        <item x="59"/>
        <item x="57"/>
        <item x="148"/>
        <item x="69"/>
        <item x="63"/>
        <item x="125"/>
        <item x="74"/>
        <item x="176"/>
        <item x="115"/>
        <item x="101"/>
        <item x="140"/>
        <item x="94"/>
        <item x="149"/>
        <item x="75"/>
        <item x="133"/>
        <item x="77"/>
        <item x="154"/>
        <item x="151"/>
        <item x="113"/>
        <item x="93"/>
        <item x="109"/>
        <item x="65"/>
        <item x="78"/>
        <item x="178"/>
        <item x="160"/>
        <item x="142"/>
        <item t="default"/>
      </items>
    </pivotField>
    <pivotField numFmtId="1" showAll="0"/>
    <pivotField numFmtId="1" showAll="0"/>
    <pivotField numFmtId="1" showAll="0"/>
    <pivotField numFmtId="1" showAll="0"/>
    <pivotField showAll="0"/>
    <pivotField showAll="0"/>
    <pivotField showAll="0">
      <items count="4">
        <item x="2"/>
        <item h="1" x="1"/>
        <item h="1" x="0"/>
        <item t="default"/>
      </items>
    </pivotField>
    <pivotField dataField="1" numFmtId="164" showAll="0"/>
    <pivotField numFmtId="164" showAll="0"/>
    <pivotField numFmtId="164" showAll="0"/>
    <pivotField numFmtId="164" showAll="0"/>
    <pivotField showAll="0"/>
  </pivotFields>
  <rowItems count="1">
    <i/>
  </rowItems>
  <colItems count="1">
    <i/>
  </colItems>
  <dataFields count="1">
    <dataField name="Total Revenue" fld="17" baseField="0" baseItem="0" numFmtId="165"/>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EEDF4A1-256E-45A6-A7AB-67ED04715ADD}"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2:M3" firstHeaderRow="1" firstDataRow="1" firstDataCol="0"/>
  <pivotFields count="22">
    <pivotField showAll="0"/>
    <pivotField showAll="0"/>
    <pivotField showAll="0">
      <items count="7">
        <item x="0"/>
        <item x="1"/>
        <item x="4"/>
        <item x="5"/>
        <item x="2"/>
        <item x="3"/>
        <item t="default"/>
      </items>
    </pivotField>
    <pivotField showAll="0">
      <items count="9">
        <item x="4"/>
        <item x="6"/>
        <item x="7"/>
        <item x="3"/>
        <item x="5"/>
        <item x="1"/>
        <item x="2"/>
        <item x="0"/>
        <item t="default"/>
      </items>
    </pivotField>
    <pivotField showAll="0">
      <items count="6">
        <item x="0"/>
        <item x="1"/>
        <item x="3"/>
        <item x="2"/>
        <item x="4"/>
        <item t="default"/>
      </items>
    </pivotField>
    <pivotField showAll="0"/>
    <pivotField numFmtId="1" showAll="0"/>
    <pivotField numFmtId="164" showAll="0"/>
    <pivotField numFmtId="164" showAll="0"/>
    <pivotField numFmtId="1" showAll="0">
      <items count="183">
        <item x="58"/>
        <item x="30"/>
        <item x="22"/>
        <item x="36"/>
        <item x="24"/>
        <item x="37"/>
        <item x="23"/>
        <item x="46"/>
        <item x="25"/>
        <item x="83"/>
        <item x="42"/>
        <item x="73"/>
        <item x="52"/>
        <item x="32"/>
        <item x="39"/>
        <item x="28"/>
        <item x="48"/>
        <item x="14"/>
        <item x="26"/>
        <item x="49"/>
        <item x="31"/>
        <item x="20"/>
        <item x="158"/>
        <item x="16"/>
        <item x="81"/>
        <item x="27"/>
        <item x="116"/>
        <item x="82"/>
        <item x="102"/>
        <item x="110"/>
        <item x="18"/>
        <item x="156"/>
        <item x="45"/>
        <item x="47"/>
        <item x="19"/>
        <item x="35"/>
        <item x="79"/>
        <item x="124"/>
        <item x="6"/>
        <item x="41"/>
        <item x="43"/>
        <item x="53"/>
        <item x="0"/>
        <item x="44"/>
        <item x="33"/>
        <item x="55"/>
        <item x="34"/>
        <item x="50"/>
        <item x="68"/>
        <item x="167"/>
        <item x="99"/>
        <item x="104"/>
        <item x="29"/>
        <item x="21"/>
        <item x="17"/>
        <item x="1"/>
        <item x="174"/>
        <item x="40"/>
        <item x="72"/>
        <item x="139"/>
        <item x="2"/>
        <item x="90"/>
        <item x="15"/>
        <item x="137"/>
        <item x="13"/>
        <item x="38"/>
        <item x="85"/>
        <item x="12"/>
        <item x="51"/>
        <item x="76"/>
        <item x="106"/>
        <item x="92"/>
        <item x="111"/>
        <item x="11"/>
        <item x="161"/>
        <item x="107"/>
        <item x="118"/>
        <item x="169"/>
        <item x="164"/>
        <item x="145"/>
        <item x="165"/>
        <item x="105"/>
        <item x="157"/>
        <item x="131"/>
        <item x="98"/>
        <item x="121"/>
        <item x="71"/>
        <item x="108"/>
        <item x="4"/>
        <item x="173"/>
        <item x="88"/>
        <item x="128"/>
        <item x="172"/>
        <item x="179"/>
        <item x="180"/>
        <item x="138"/>
        <item x="112"/>
        <item x="87"/>
        <item x="5"/>
        <item x="168"/>
        <item x="120"/>
        <item x="61"/>
        <item x="95"/>
        <item x="146"/>
        <item x="80"/>
        <item x="123"/>
        <item x="147"/>
        <item x="171"/>
        <item x="141"/>
        <item x="166"/>
        <item x="177"/>
        <item x="8"/>
        <item x="129"/>
        <item x="181"/>
        <item x="170"/>
        <item x="136"/>
        <item x="86"/>
        <item x="91"/>
        <item x="122"/>
        <item x="7"/>
        <item x="119"/>
        <item x="84"/>
        <item x="163"/>
        <item x="175"/>
        <item x="56"/>
        <item x="66"/>
        <item x="97"/>
        <item x="144"/>
        <item x="96"/>
        <item x="150"/>
        <item x="70"/>
        <item x="152"/>
        <item x="127"/>
        <item x="3"/>
        <item x="162"/>
        <item x="54"/>
        <item x="9"/>
        <item x="126"/>
        <item x="132"/>
        <item x="100"/>
        <item x="60"/>
        <item x="143"/>
        <item x="10"/>
        <item x="64"/>
        <item x="62"/>
        <item x="159"/>
        <item x="67"/>
        <item x="103"/>
        <item x="117"/>
        <item x="114"/>
        <item x="155"/>
        <item x="135"/>
        <item x="89"/>
        <item x="153"/>
        <item x="130"/>
        <item x="134"/>
        <item x="59"/>
        <item x="57"/>
        <item x="148"/>
        <item x="69"/>
        <item x="63"/>
        <item x="125"/>
        <item x="74"/>
        <item x="176"/>
        <item x="115"/>
        <item x="101"/>
        <item x="140"/>
        <item x="94"/>
        <item x="149"/>
        <item x="75"/>
        <item x="133"/>
        <item x="77"/>
        <item x="154"/>
        <item x="151"/>
        <item x="113"/>
        <item x="93"/>
        <item x="109"/>
        <item x="65"/>
        <item x="78"/>
        <item x="178"/>
        <item x="160"/>
        <item x="142"/>
        <item t="default"/>
      </items>
    </pivotField>
    <pivotField dataField="1" numFmtId="1" showAll="0"/>
    <pivotField numFmtId="1" showAll="0"/>
    <pivotField numFmtId="1" showAll="0"/>
    <pivotField numFmtId="1" showAll="0"/>
    <pivotField showAll="0"/>
    <pivotField showAll="0"/>
    <pivotField showAll="0">
      <items count="4">
        <item x="2"/>
        <item h="1" x="1"/>
        <item h="1" x="0"/>
        <item t="default"/>
      </items>
    </pivotField>
    <pivotField numFmtId="164" showAll="0"/>
    <pivotField numFmtId="164" showAll="0"/>
    <pivotField numFmtId="164" showAll="0"/>
    <pivotField numFmtId="164" showAll="0"/>
    <pivotField showAll="0"/>
  </pivotFields>
  <rowItems count="1">
    <i/>
  </rowItems>
  <colItems count="1">
    <i/>
  </colItems>
  <dataFields count="1">
    <dataField name="Total stock value" fld="10" baseField="0" baseItem="0" numFmtId="166"/>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EE90E9B-B38C-4C7F-8C32-7957AE476625}"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2:O3" firstHeaderRow="1" firstDataRow="1" firstDataCol="0"/>
  <pivotFields count="22">
    <pivotField showAll="0"/>
    <pivotField showAll="0"/>
    <pivotField showAll="0">
      <items count="7">
        <item x="0"/>
        <item x="1"/>
        <item x="4"/>
        <item x="5"/>
        <item x="2"/>
        <item x="3"/>
        <item t="default"/>
      </items>
    </pivotField>
    <pivotField showAll="0">
      <items count="9">
        <item x="4"/>
        <item x="6"/>
        <item x="7"/>
        <item x="3"/>
        <item x="5"/>
        <item x="1"/>
        <item x="2"/>
        <item x="0"/>
        <item t="default"/>
      </items>
    </pivotField>
    <pivotField showAll="0">
      <items count="6">
        <item x="0"/>
        <item x="1"/>
        <item x="3"/>
        <item x="2"/>
        <item x="4"/>
        <item t="default"/>
      </items>
    </pivotField>
    <pivotField showAll="0"/>
    <pivotField numFmtId="1" showAll="0"/>
    <pivotField numFmtId="164" showAll="0"/>
    <pivotField numFmtId="164" showAll="0"/>
    <pivotField dataField="1" numFmtId="1" showAll="0">
      <items count="183">
        <item x="58"/>
        <item x="30"/>
        <item x="22"/>
        <item x="36"/>
        <item x="24"/>
        <item x="37"/>
        <item x="23"/>
        <item x="46"/>
        <item x="25"/>
        <item x="83"/>
        <item x="42"/>
        <item x="73"/>
        <item x="52"/>
        <item x="32"/>
        <item x="39"/>
        <item x="28"/>
        <item x="48"/>
        <item x="14"/>
        <item x="26"/>
        <item x="49"/>
        <item x="31"/>
        <item x="20"/>
        <item x="158"/>
        <item x="16"/>
        <item x="81"/>
        <item x="27"/>
        <item x="116"/>
        <item x="82"/>
        <item x="102"/>
        <item x="110"/>
        <item x="18"/>
        <item x="156"/>
        <item x="45"/>
        <item x="47"/>
        <item x="19"/>
        <item x="35"/>
        <item x="79"/>
        <item x="124"/>
        <item x="6"/>
        <item x="41"/>
        <item x="43"/>
        <item x="53"/>
        <item x="0"/>
        <item x="44"/>
        <item x="33"/>
        <item x="55"/>
        <item x="34"/>
        <item x="50"/>
        <item x="68"/>
        <item x="167"/>
        <item x="99"/>
        <item x="104"/>
        <item x="29"/>
        <item x="21"/>
        <item x="17"/>
        <item x="1"/>
        <item x="174"/>
        <item x="40"/>
        <item x="72"/>
        <item x="139"/>
        <item x="2"/>
        <item x="90"/>
        <item x="15"/>
        <item x="137"/>
        <item x="13"/>
        <item x="38"/>
        <item x="85"/>
        <item x="12"/>
        <item x="51"/>
        <item x="76"/>
        <item x="106"/>
        <item x="92"/>
        <item x="111"/>
        <item x="11"/>
        <item x="161"/>
        <item x="107"/>
        <item x="118"/>
        <item x="169"/>
        <item x="164"/>
        <item x="145"/>
        <item x="165"/>
        <item x="105"/>
        <item x="157"/>
        <item x="131"/>
        <item x="98"/>
        <item x="121"/>
        <item x="71"/>
        <item x="108"/>
        <item x="4"/>
        <item x="173"/>
        <item x="88"/>
        <item x="128"/>
        <item x="172"/>
        <item x="179"/>
        <item x="180"/>
        <item x="138"/>
        <item x="112"/>
        <item x="87"/>
        <item x="5"/>
        <item x="168"/>
        <item x="120"/>
        <item x="61"/>
        <item x="95"/>
        <item x="146"/>
        <item x="80"/>
        <item x="123"/>
        <item x="147"/>
        <item x="171"/>
        <item x="141"/>
        <item x="166"/>
        <item x="177"/>
        <item x="8"/>
        <item x="129"/>
        <item x="181"/>
        <item x="170"/>
        <item x="136"/>
        <item x="86"/>
        <item x="91"/>
        <item x="122"/>
        <item x="7"/>
        <item x="119"/>
        <item x="84"/>
        <item x="163"/>
        <item x="175"/>
        <item x="56"/>
        <item x="66"/>
        <item x="97"/>
        <item x="144"/>
        <item x="96"/>
        <item x="150"/>
        <item x="70"/>
        <item x="152"/>
        <item x="127"/>
        <item x="3"/>
        <item x="162"/>
        <item x="54"/>
        <item x="9"/>
        <item x="126"/>
        <item x="132"/>
        <item x="100"/>
        <item x="60"/>
        <item x="143"/>
        <item x="10"/>
        <item x="64"/>
        <item x="62"/>
        <item x="159"/>
        <item x="67"/>
        <item x="103"/>
        <item x="117"/>
        <item x="114"/>
        <item x="155"/>
        <item x="135"/>
        <item x="89"/>
        <item x="153"/>
        <item x="130"/>
        <item x="134"/>
        <item x="59"/>
        <item x="57"/>
        <item x="148"/>
        <item x="69"/>
        <item x="63"/>
        <item x="125"/>
        <item x="74"/>
        <item x="176"/>
        <item x="115"/>
        <item x="101"/>
        <item x="140"/>
        <item x="94"/>
        <item x="149"/>
        <item x="75"/>
        <item x="133"/>
        <item x="77"/>
        <item x="154"/>
        <item x="151"/>
        <item x="113"/>
        <item x="93"/>
        <item x="109"/>
        <item x="65"/>
        <item x="78"/>
        <item x="178"/>
        <item x="160"/>
        <item x="142"/>
        <item t="default"/>
      </items>
    </pivotField>
    <pivotField numFmtId="1" showAll="0"/>
    <pivotField numFmtId="1" showAll="0"/>
    <pivotField numFmtId="1" showAll="0"/>
    <pivotField numFmtId="1" showAll="0"/>
    <pivotField showAll="0"/>
    <pivotField showAll="0"/>
    <pivotField showAll="0">
      <items count="4">
        <item x="2"/>
        <item h="1" x="1"/>
        <item h="1" x="0"/>
        <item t="default"/>
      </items>
    </pivotField>
    <pivotField numFmtId="164" showAll="0"/>
    <pivotField numFmtId="164" showAll="0"/>
    <pivotField numFmtId="164" showAll="0"/>
    <pivotField numFmtId="164" showAll="0"/>
    <pivotField showAll="0"/>
  </pivotFields>
  <rowItems count="1">
    <i/>
  </rowItems>
  <colItems count="1">
    <i/>
  </colItems>
  <dataFields count="1">
    <dataField name="Inventory units" fld="9"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E85E1E2-0EA6-40FC-8F54-CA891C692FF1}" name="PivotTable16"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F2:G3" firstHeaderRow="1" firstDataRow="1" firstDataCol="1"/>
  <pivotFields count="22">
    <pivotField dataField="1"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showAll="0"/>
    <pivotField showAll="0">
      <items count="7">
        <item x="0"/>
        <item x="1"/>
        <item x="4"/>
        <item x="5"/>
        <item x="2"/>
        <item x="3"/>
        <item t="default"/>
      </items>
    </pivotField>
    <pivotField showAll="0">
      <items count="9">
        <item x="4"/>
        <item x="6"/>
        <item x="7"/>
        <item x="3"/>
        <item x="5"/>
        <item x="1"/>
        <item x="2"/>
        <item x="0"/>
        <item t="default"/>
      </items>
    </pivotField>
    <pivotField showAll="0">
      <items count="6">
        <item x="0"/>
        <item x="1"/>
        <item x="3"/>
        <item x="2"/>
        <item x="4"/>
        <item t="default"/>
      </items>
    </pivotField>
    <pivotField showAll="0"/>
    <pivotField numFmtId="1" showAll="0"/>
    <pivotField numFmtId="164" showAll="0"/>
    <pivotField numFmtId="164" showAll="0"/>
    <pivotField numFmtId="1" showAll="0"/>
    <pivotField numFmtId="1" showAll="0"/>
    <pivotField numFmtId="1" showAll="0"/>
    <pivotField numFmtId="1" showAll="0"/>
    <pivotField numFmtId="1" showAll="0"/>
    <pivotField showAll="0"/>
    <pivotField showAll="0"/>
    <pivotField axis="axisRow" showAll="0">
      <items count="4">
        <item h="1" x="2"/>
        <item h="1" x="1"/>
        <item x="0"/>
        <item t="default"/>
      </items>
    </pivotField>
    <pivotField numFmtId="164" showAll="0"/>
    <pivotField numFmtId="164" showAll="0"/>
    <pivotField numFmtId="164" showAll="0"/>
    <pivotField numFmtId="164" showAll="0"/>
    <pivotField showAll="0"/>
  </pivotFields>
  <rowFields count="1">
    <field x="16"/>
  </rowFields>
  <rowItems count="1">
    <i>
      <x v="2"/>
    </i>
  </rowItems>
  <colItems count="1">
    <i/>
  </colItems>
  <dataFields count="1">
    <dataField name="Count of SKU"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CA5D35A-97C4-45C3-82EE-EAB1624F3F67}" name="PivotTable15"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C2:D3" firstHeaderRow="1" firstDataRow="1" firstDataCol="1"/>
  <pivotFields count="22">
    <pivotField dataField="1" showAll="0"/>
    <pivotField showAll="0"/>
    <pivotField showAll="0">
      <items count="7">
        <item x="0"/>
        <item x="1"/>
        <item x="4"/>
        <item x="5"/>
        <item x="2"/>
        <item x="3"/>
        <item t="default"/>
      </items>
    </pivotField>
    <pivotField showAll="0">
      <items count="9">
        <item x="4"/>
        <item x="6"/>
        <item x="7"/>
        <item x="3"/>
        <item x="5"/>
        <item x="1"/>
        <item x="2"/>
        <item x="0"/>
        <item t="default"/>
      </items>
    </pivotField>
    <pivotField showAll="0">
      <items count="6">
        <item x="0"/>
        <item x="1"/>
        <item x="3"/>
        <item x="2"/>
        <item x="4"/>
        <item t="default"/>
      </items>
    </pivotField>
    <pivotField showAll="0"/>
    <pivotField numFmtId="1" showAll="0"/>
    <pivotField numFmtId="164" showAll="0"/>
    <pivotField numFmtId="164" showAll="0"/>
    <pivotField numFmtId="1" showAll="0">
      <items count="183">
        <item x="58"/>
        <item x="30"/>
        <item x="22"/>
        <item x="36"/>
        <item x="24"/>
        <item x="37"/>
        <item x="23"/>
        <item x="46"/>
        <item x="25"/>
        <item x="83"/>
        <item x="42"/>
        <item x="73"/>
        <item x="52"/>
        <item x="32"/>
        <item x="39"/>
        <item x="28"/>
        <item x="48"/>
        <item x="14"/>
        <item x="26"/>
        <item x="49"/>
        <item x="31"/>
        <item x="20"/>
        <item x="158"/>
        <item x="16"/>
        <item x="81"/>
        <item x="27"/>
        <item x="116"/>
        <item x="82"/>
        <item x="102"/>
        <item x="110"/>
        <item x="18"/>
        <item x="156"/>
        <item x="45"/>
        <item x="47"/>
        <item x="19"/>
        <item x="35"/>
        <item x="79"/>
        <item x="124"/>
        <item x="6"/>
        <item x="41"/>
        <item x="43"/>
        <item x="53"/>
        <item x="0"/>
        <item x="44"/>
        <item x="33"/>
        <item x="55"/>
        <item x="34"/>
        <item x="50"/>
        <item x="68"/>
        <item x="167"/>
        <item x="99"/>
        <item x="104"/>
        <item x="29"/>
        <item x="21"/>
        <item x="17"/>
        <item x="1"/>
        <item x="174"/>
        <item x="40"/>
        <item x="72"/>
        <item x="139"/>
        <item x="2"/>
        <item x="90"/>
        <item x="15"/>
        <item x="137"/>
        <item x="13"/>
        <item x="38"/>
        <item x="85"/>
        <item x="12"/>
        <item x="51"/>
        <item x="76"/>
        <item x="106"/>
        <item x="92"/>
        <item x="111"/>
        <item x="11"/>
        <item x="161"/>
        <item x="107"/>
        <item x="118"/>
        <item x="169"/>
        <item x="164"/>
        <item x="145"/>
        <item x="165"/>
        <item x="105"/>
        <item x="157"/>
        <item x="131"/>
        <item x="98"/>
        <item x="121"/>
        <item x="71"/>
        <item x="108"/>
        <item x="4"/>
        <item x="173"/>
        <item x="88"/>
        <item x="128"/>
        <item x="172"/>
        <item x="179"/>
        <item x="180"/>
        <item x="138"/>
        <item x="112"/>
        <item x="87"/>
        <item x="5"/>
        <item x="168"/>
        <item x="120"/>
        <item x="61"/>
        <item x="95"/>
        <item x="146"/>
        <item x="80"/>
        <item x="123"/>
        <item x="147"/>
        <item x="171"/>
        <item x="141"/>
        <item x="166"/>
        <item x="177"/>
        <item x="8"/>
        <item x="129"/>
        <item x="181"/>
        <item x="170"/>
        <item x="136"/>
        <item x="86"/>
        <item x="91"/>
        <item x="122"/>
        <item x="7"/>
        <item x="119"/>
        <item x="84"/>
        <item x="163"/>
        <item x="175"/>
        <item x="56"/>
        <item x="66"/>
        <item x="97"/>
        <item x="144"/>
        <item x="96"/>
        <item x="150"/>
        <item x="70"/>
        <item x="152"/>
        <item x="127"/>
        <item x="3"/>
        <item x="162"/>
        <item x="54"/>
        <item x="9"/>
        <item x="126"/>
        <item x="132"/>
        <item x="100"/>
        <item x="60"/>
        <item x="143"/>
        <item x="10"/>
        <item x="64"/>
        <item x="62"/>
        <item x="159"/>
        <item x="67"/>
        <item x="103"/>
        <item x="117"/>
        <item x="114"/>
        <item x="155"/>
        <item x="135"/>
        <item x="89"/>
        <item x="153"/>
        <item x="130"/>
        <item x="134"/>
        <item x="59"/>
        <item x="57"/>
        <item x="148"/>
        <item x="69"/>
        <item x="63"/>
        <item x="125"/>
        <item x="74"/>
        <item x="176"/>
        <item x="115"/>
        <item x="101"/>
        <item x="140"/>
        <item x="94"/>
        <item x="149"/>
        <item x="75"/>
        <item x="133"/>
        <item x="77"/>
        <item x="154"/>
        <item x="151"/>
        <item x="113"/>
        <item x="93"/>
        <item x="109"/>
        <item x="65"/>
        <item x="78"/>
        <item x="178"/>
        <item x="160"/>
        <item x="142"/>
        <item t="default"/>
      </items>
    </pivotField>
    <pivotField numFmtId="1" showAll="0"/>
    <pivotField numFmtId="1" showAll="0"/>
    <pivotField numFmtId="1" showAll="0"/>
    <pivotField numFmtId="1" showAll="0"/>
    <pivotField showAll="0"/>
    <pivotField showAll="0"/>
    <pivotField axis="axisRow" showAll="0">
      <items count="4">
        <item h="1" x="2"/>
        <item x="1"/>
        <item h="1" x="0"/>
        <item t="default"/>
      </items>
    </pivotField>
    <pivotField numFmtId="164" showAll="0"/>
    <pivotField numFmtId="164" showAll="0"/>
    <pivotField numFmtId="164" showAll="0"/>
    <pivotField numFmtId="164" showAll="0"/>
    <pivotField showAll="0"/>
  </pivotFields>
  <rowFields count="1">
    <field x="16"/>
  </rowFields>
  <rowItems count="1">
    <i>
      <x v="1"/>
    </i>
  </rowItems>
  <colItems count="1">
    <i/>
  </colItems>
  <dataFields count="1">
    <dataField name="Out of stock item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301E1E1-4293-4DBA-BE3F-53D401040E09}"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A3" firstHeaderRow="1" firstDataRow="1" firstDataCol="0"/>
  <pivotFields count="22">
    <pivotField dataField="1" showAll="0"/>
    <pivotField showAll="0"/>
    <pivotField showAll="0">
      <items count="7">
        <item x="0"/>
        <item x="1"/>
        <item x="4"/>
        <item x="5"/>
        <item x="2"/>
        <item x="3"/>
        <item t="default"/>
      </items>
    </pivotField>
    <pivotField showAll="0">
      <items count="9">
        <item x="4"/>
        <item x="6"/>
        <item x="7"/>
        <item x="3"/>
        <item x="5"/>
        <item x="1"/>
        <item x="2"/>
        <item x="0"/>
        <item t="default"/>
      </items>
    </pivotField>
    <pivotField showAll="0">
      <items count="6">
        <item x="0"/>
        <item x="1"/>
        <item x="3"/>
        <item x="2"/>
        <item x="4"/>
        <item t="default"/>
      </items>
    </pivotField>
    <pivotField showAll="0"/>
    <pivotField numFmtId="1" showAll="0"/>
    <pivotField numFmtId="164" showAll="0"/>
    <pivotField numFmtId="164" showAll="0"/>
    <pivotField numFmtId="1" showAll="0"/>
    <pivotField numFmtId="1" showAll="0"/>
    <pivotField numFmtId="1" showAll="0"/>
    <pivotField numFmtId="1" showAll="0"/>
    <pivotField numFmtId="1" showAll="0"/>
    <pivotField showAll="0"/>
    <pivotField showAll="0"/>
    <pivotField showAll="0">
      <items count="4">
        <item x="2"/>
        <item h="1" x="1"/>
        <item h="1" x="0"/>
        <item t="default"/>
      </items>
    </pivotField>
    <pivotField numFmtId="164" showAll="0"/>
    <pivotField numFmtId="164" showAll="0"/>
    <pivotField numFmtId="164" showAll="0"/>
    <pivotField numFmtId="164" showAll="0"/>
    <pivotField showAll="0"/>
  </pivotFields>
  <rowItems count="1">
    <i/>
  </rowItems>
  <colItems count="1">
    <i/>
  </colItems>
  <dataFields count="1">
    <dataField name="Total product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5E246F3-C5BD-4A51-9FF8-70F5154EDB71}"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2:I3" firstHeaderRow="1" firstDataRow="1" firstDataCol="0"/>
  <pivotFields count="22">
    <pivotField showAll="0"/>
    <pivotField showAll="0"/>
    <pivotField showAll="0">
      <items count="7">
        <item x="0"/>
        <item x="1"/>
        <item x="4"/>
        <item x="5"/>
        <item x="2"/>
        <item x="3"/>
        <item t="default"/>
      </items>
    </pivotField>
    <pivotField showAll="0">
      <items count="9">
        <item x="4"/>
        <item x="6"/>
        <item x="7"/>
        <item x="3"/>
        <item x="5"/>
        <item x="1"/>
        <item x="2"/>
        <item x="0"/>
        <item t="default"/>
      </items>
    </pivotField>
    <pivotField showAll="0">
      <items count="6">
        <item x="0"/>
        <item x="1"/>
        <item x="3"/>
        <item x="2"/>
        <item x="4"/>
        <item t="default"/>
      </items>
    </pivotField>
    <pivotField showAll="0"/>
    <pivotField numFmtId="1" showAll="0"/>
    <pivotField numFmtId="164" showAll="0"/>
    <pivotField numFmtId="164" showAll="0"/>
    <pivotField numFmtId="1" showAll="0">
      <items count="183">
        <item x="58"/>
        <item x="30"/>
        <item x="22"/>
        <item x="36"/>
        <item x="24"/>
        <item x="37"/>
        <item x="23"/>
        <item x="46"/>
        <item x="25"/>
        <item x="83"/>
        <item x="42"/>
        <item x="73"/>
        <item x="52"/>
        <item x="32"/>
        <item x="39"/>
        <item x="28"/>
        <item x="48"/>
        <item x="14"/>
        <item x="26"/>
        <item x="49"/>
        <item x="31"/>
        <item x="20"/>
        <item x="158"/>
        <item x="16"/>
        <item x="81"/>
        <item x="27"/>
        <item x="116"/>
        <item x="82"/>
        <item x="102"/>
        <item x="110"/>
        <item x="18"/>
        <item x="156"/>
        <item x="45"/>
        <item x="47"/>
        <item x="19"/>
        <item x="35"/>
        <item x="79"/>
        <item x="124"/>
        <item x="6"/>
        <item x="41"/>
        <item x="43"/>
        <item x="53"/>
        <item x="0"/>
        <item x="44"/>
        <item x="33"/>
        <item x="55"/>
        <item x="34"/>
        <item x="50"/>
        <item x="68"/>
        <item x="167"/>
        <item x="99"/>
        <item x="104"/>
        <item x="29"/>
        <item x="21"/>
        <item x="17"/>
        <item x="1"/>
        <item x="174"/>
        <item x="40"/>
        <item x="72"/>
        <item x="139"/>
        <item x="2"/>
        <item x="90"/>
        <item x="15"/>
        <item x="137"/>
        <item x="13"/>
        <item x="38"/>
        <item x="85"/>
        <item x="12"/>
        <item x="51"/>
        <item x="76"/>
        <item x="106"/>
        <item x="92"/>
        <item x="111"/>
        <item x="11"/>
        <item x="161"/>
        <item x="107"/>
        <item x="118"/>
        <item x="169"/>
        <item x="164"/>
        <item x="145"/>
        <item x="165"/>
        <item x="105"/>
        <item x="157"/>
        <item x="131"/>
        <item x="98"/>
        <item x="121"/>
        <item x="71"/>
        <item x="108"/>
        <item x="4"/>
        <item x="173"/>
        <item x="88"/>
        <item x="128"/>
        <item x="172"/>
        <item x="179"/>
        <item x="180"/>
        <item x="138"/>
        <item x="112"/>
        <item x="87"/>
        <item x="5"/>
        <item x="168"/>
        <item x="120"/>
        <item x="61"/>
        <item x="95"/>
        <item x="146"/>
        <item x="80"/>
        <item x="123"/>
        <item x="147"/>
        <item x="171"/>
        <item x="141"/>
        <item x="166"/>
        <item x="177"/>
        <item x="8"/>
        <item x="129"/>
        <item x="181"/>
        <item x="170"/>
        <item x="136"/>
        <item x="86"/>
        <item x="91"/>
        <item x="122"/>
        <item x="7"/>
        <item x="119"/>
        <item x="84"/>
        <item x="163"/>
        <item x="175"/>
        <item x="56"/>
        <item x="66"/>
        <item x="97"/>
        <item x="144"/>
        <item x="96"/>
        <item x="150"/>
        <item x="70"/>
        <item x="152"/>
        <item x="127"/>
        <item x="3"/>
        <item x="162"/>
        <item x="54"/>
        <item x="9"/>
        <item x="126"/>
        <item x="132"/>
        <item x="100"/>
        <item x="60"/>
        <item x="143"/>
        <item x="10"/>
        <item x="64"/>
        <item x="62"/>
        <item x="159"/>
        <item x="67"/>
        <item x="103"/>
        <item x="117"/>
        <item x="114"/>
        <item x="155"/>
        <item x="135"/>
        <item x="89"/>
        <item x="153"/>
        <item x="130"/>
        <item x="134"/>
        <item x="59"/>
        <item x="57"/>
        <item x="148"/>
        <item x="69"/>
        <item x="63"/>
        <item x="125"/>
        <item x="74"/>
        <item x="176"/>
        <item x="115"/>
        <item x="101"/>
        <item x="140"/>
        <item x="94"/>
        <item x="149"/>
        <item x="75"/>
        <item x="133"/>
        <item x="77"/>
        <item x="154"/>
        <item x="151"/>
        <item x="113"/>
        <item x="93"/>
        <item x="109"/>
        <item x="65"/>
        <item x="78"/>
        <item x="178"/>
        <item x="160"/>
        <item x="142"/>
        <item t="default"/>
      </items>
    </pivotField>
    <pivotField numFmtId="1" showAll="0"/>
    <pivotField numFmtId="1" showAll="0"/>
    <pivotField numFmtId="1" showAll="0"/>
    <pivotField numFmtId="1" showAll="0"/>
    <pivotField showAll="0"/>
    <pivotField showAll="0"/>
    <pivotField showAll="0">
      <items count="4">
        <item x="2"/>
        <item h="1" x="1"/>
        <item h="1" x="0"/>
        <item t="default"/>
      </items>
    </pivotField>
    <pivotField numFmtId="164" showAll="0"/>
    <pivotField numFmtId="164" showAll="0"/>
    <pivotField dataField="1" numFmtId="164" showAll="0"/>
    <pivotField numFmtId="164" showAll="0"/>
    <pivotField showAll="0"/>
  </pivotFields>
  <rowItems count="1">
    <i/>
  </rowItems>
  <colItems count="1">
    <i/>
  </colItems>
  <dataFields count="1">
    <dataField name="Total Profit" fld="19" baseField="0" baseItem="0" numFmtId="165"/>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2964ECB-68DB-4DDE-8951-CFDD375446BB}" name="PivotTable11"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0">
  <location ref="J2:K8" firstHeaderRow="1" firstDataRow="1" firstDataCol="1"/>
  <pivotFields count="22">
    <pivotField showAll="0"/>
    <pivotField showAll="0"/>
    <pivotField axis="axisRow" showAll="0">
      <items count="7">
        <item x="0"/>
        <item x="1"/>
        <item x="4"/>
        <item x="5"/>
        <item x="2"/>
        <item x="3"/>
        <item t="default"/>
      </items>
    </pivotField>
    <pivotField showAll="0">
      <items count="9">
        <item x="4"/>
        <item x="6"/>
        <item x="7"/>
        <item x="3"/>
        <item x="5"/>
        <item x="1"/>
        <item x="2"/>
        <item x="0"/>
        <item t="default"/>
      </items>
    </pivotField>
    <pivotField showAll="0">
      <items count="6">
        <item x="0"/>
        <item x="1"/>
        <item x="3"/>
        <item x="2"/>
        <item x="4"/>
        <item t="default"/>
      </items>
    </pivotField>
    <pivotField showAll="0"/>
    <pivotField numFmtId="1" showAll="0"/>
    <pivotField numFmtId="164" showAll="0"/>
    <pivotField numFmtId="164" showAll="0"/>
    <pivotField numFmtId="1" showAll="0"/>
    <pivotField numFmtId="1" showAll="0"/>
    <pivotField numFmtId="1" showAll="0"/>
    <pivotField numFmtId="1" showAll="0"/>
    <pivotField numFmtId="1" showAll="0"/>
    <pivotField showAll="0"/>
    <pivotField showAll="0"/>
    <pivotField showAll="0">
      <items count="4">
        <item x="2"/>
        <item h="1" x="1"/>
        <item h="1" x="0"/>
        <item t="default"/>
      </items>
    </pivotField>
    <pivotField numFmtId="164" showAll="0"/>
    <pivotField numFmtId="164" showAll="0"/>
    <pivotField dataField="1" numFmtId="164" showAll="0"/>
    <pivotField numFmtId="164" showAll="0"/>
    <pivotField showAll="0"/>
  </pivotFields>
  <rowFields count="1">
    <field x="2"/>
  </rowFields>
  <rowItems count="6">
    <i>
      <x/>
    </i>
    <i>
      <x v="1"/>
    </i>
    <i>
      <x v="2"/>
    </i>
    <i>
      <x v="3"/>
    </i>
    <i>
      <x v="4"/>
    </i>
    <i>
      <x v="5"/>
    </i>
  </rowItems>
  <colItems count="1">
    <i/>
  </colItems>
  <dataFields count="1">
    <dataField name="Profit by Category" fld="19" baseField="0" baseItem="0" numFmtId="167"/>
  </dataFields>
  <formats count="1">
    <format dxfId="0">
      <pivotArea outline="0" collapsedLevelsAreSubtotals="1" fieldPosition="0"/>
    </format>
  </format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3C31EF0-67DC-41E4-941D-394E3BD201EE}" name="PivotTable10"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7" rowHeaderCaption="Row Labels">
  <location ref="G2:H12" firstHeaderRow="1" firstDataRow="1" firstDataCol="1"/>
  <pivotFields count="22">
    <pivotField showAll="0"/>
    <pivotField axis="axisRow" showAll="0" measureFilter="1" sortType="ascending">
      <items count="61">
        <item x="0"/>
        <item x="49"/>
        <item x="15"/>
        <item x="19"/>
        <item x="42"/>
        <item x="28"/>
        <item x="55"/>
        <item x="36"/>
        <item x="45"/>
        <item x="4"/>
        <item x="8"/>
        <item x="33"/>
        <item x="57"/>
        <item x="32"/>
        <item x="17"/>
        <item x="34"/>
        <item x="10"/>
        <item x="14"/>
        <item x="7"/>
        <item x="18"/>
        <item x="56"/>
        <item x="24"/>
        <item x="41"/>
        <item x="22"/>
        <item x="23"/>
        <item x="6"/>
        <item x="37"/>
        <item x="52"/>
        <item x="53"/>
        <item x="11"/>
        <item x="12"/>
        <item x="48"/>
        <item x="31"/>
        <item x="21"/>
        <item x="58"/>
        <item x="3"/>
        <item x="25"/>
        <item x="2"/>
        <item x="5"/>
        <item x="13"/>
        <item x="51"/>
        <item x="47"/>
        <item x="40"/>
        <item x="16"/>
        <item x="29"/>
        <item x="39"/>
        <item x="27"/>
        <item x="46"/>
        <item x="30"/>
        <item x="35"/>
        <item x="20"/>
        <item x="9"/>
        <item x="50"/>
        <item x="26"/>
        <item x="44"/>
        <item x="43"/>
        <item x="59"/>
        <item x="54"/>
        <item x="1"/>
        <item x="38"/>
        <item t="default"/>
      </items>
      <autoSortScope>
        <pivotArea dataOnly="0" outline="0" fieldPosition="0">
          <references count="1">
            <reference field="4294967294" count="1" selected="0">
              <x v="0"/>
            </reference>
          </references>
        </pivotArea>
      </autoSortScope>
    </pivotField>
    <pivotField showAll="0">
      <items count="7">
        <item x="0"/>
        <item x="1"/>
        <item x="4"/>
        <item x="5"/>
        <item x="2"/>
        <item x="3"/>
        <item t="default"/>
      </items>
    </pivotField>
    <pivotField showAll="0">
      <items count="9">
        <item x="4"/>
        <item x="6"/>
        <item x="7"/>
        <item x="3"/>
        <item x="5"/>
        <item x="1"/>
        <item x="2"/>
        <item x="0"/>
        <item t="default"/>
      </items>
    </pivotField>
    <pivotField showAll="0">
      <items count="6">
        <item x="0"/>
        <item x="1"/>
        <item x="3"/>
        <item x="2"/>
        <item x="4"/>
        <item t="default"/>
      </items>
    </pivotField>
    <pivotField showAll="0"/>
    <pivotField numFmtId="1" showAll="0"/>
    <pivotField numFmtId="164" showAll="0"/>
    <pivotField numFmtId="164" showAll="0"/>
    <pivotField numFmtId="1" showAll="0"/>
    <pivotField numFmtId="1" showAll="0"/>
    <pivotField numFmtId="1" showAll="0"/>
    <pivotField numFmtId="1" showAll="0"/>
    <pivotField numFmtId="1" showAll="0"/>
    <pivotField showAll="0"/>
    <pivotField showAll="0"/>
    <pivotField showAll="0">
      <items count="4">
        <item x="2"/>
        <item h="1" x="1"/>
        <item h="1" x="0"/>
        <item t="default"/>
      </items>
    </pivotField>
    <pivotField dataField="1" numFmtId="164" showAll="0"/>
    <pivotField numFmtId="164" showAll="0"/>
    <pivotField numFmtId="164" showAll="0"/>
    <pivotField numFmtId="164" showAll="0"/>
    <pivotField showAll="0"/>
  </pivotFields>
  <rowFields count="1">
    <field x="1"/>
  </rowFields>
  <rowItems count="10">
    <i>
      <x v="13"/>
    </i>
    <i>
      <x v="29"/>
    </i>
    <i>
      <x v="43"/>
    </i>
    <i>
      <x v="20"/>
    </i>
    <i>
      <x v="9"/>
    </i>
    <i>
      <x v="8"/>
    </i>
    <i>
      <x v="7"/>
    </i>
    <i>
      <x v="41"/>
    </i>
    <i>
      <x v="14"/>
    </i>
    <i>
      <x v="42"/>
    </i>
  </rowItems>
  <colItems count="1">
    <i/>
  </colItems>
  <dataFields count="1">
    <dataField name="Top 10 Products revenue" fld="17" baseField="0" baseItem="0" numFmtId="167"/>
  </dataFields>
  <formats count="1">
    <format dxfId="1">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52EE2EB-F6D4-41F2-AD51-C12E728A5F71}" name="PivotTable9"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7">
  <location ref="D2:E5" firstHeaderRow="1" firstDataRow="1" firstDataCol="1"/>
  <pivotFields count="22">
    <pivotField dataField="1" showAll="0"/>
    <pivotField showAll="0"/>
    <pivotField showAll="0">
      <items count="7">
        <item x="0"/>
        <item x="1"/>
        <item x="4"/>
        <item x="5"/>
        <item x="2"/>
        <item x="3"/>
        <item t="default"/>
      </items>
    </pivotField>
    <pivotField showAll="0">
      <items count="9">
        <item x="4"/>
        <item x="6"/>
        <item x="7"/>
        <item x="3"/>
        <item x="5"/>
        <item x="1"/>
        <item x="2"/>
        <item x="0"/>
        <item t="default"/>
      </items>
    </pivotField>
    <pivotField showAll="0">
      <items count="6">
        <item x="0"/>
        <item x="1"/>
        <item x="3"/>
        <item x="2"/>
        <item x="4"/>
        <item t="default"/>
      </items>
    </pivotField>
    <pivotField showAll="0"/>
    <pivotField numFmtId="1" showAll="0"/>
    <pivotField numFmtId="164" showAll="0"/>
    <pivotField numFmtId="164" showAll="0"/>
    <pivotField numFmtId="1" showAll="0"/>
    <pivotField numFmtId="1" showAll="0"/>
    <pivotField numFmtId="1" showAll="0"/>
    <pivotField numFmtId="1" showAll="0"/>
    <pivotField numFmtId="1" showAll="0"/>
    <pivotField showAll="0"/>
    <pivotField showAll="0"/>
    <pivotField axis="axisRow" showAll="0">
      <items count="4">
        <item x="2"/>
        <item x="1"/>
        <item x="0"/>
        <item t="default"/>
      </items>
    </pivotField>
    <pivotField numFmtId="164" showAll="0"/>
    <pivotField numFmtId="164" showAll="0"/>
    <pivotField numFmtId="164" showAll="0"/>
    <pivotField numFmtId="164" showAll="0"/>
    <pivotField showAll="0"/>
  </pivotFields>
  <rowFields count="1">
    <field x="16"/>
  </rowFields>
  <rowItems count="3">
    <i>
      <x/>
    </i>
    <i>
      <x v="1"/>
    </i>
    <i>
      <x v="2"/>
    </i>
  </rowItems>
  <colItems count="1">
    <i/>
  </colItems>
  <dataFields count="1">
    <dataField name="Stock status distribution" fld="0" subtotal="count" baseField="0" baseItem="0"/>
  </dataFields>
  <chartFormats count="12">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6" count="1" selected="0">
            <x v="0"/>
          </reference>
        </references>
      </pivotArea>
    </chartFormat>
    <chartFormat chart="2" format="6">
      <pivotArea type="data" outline="0" fieldPosition="0">
        <references count="2">
          <reference field="4294967294" count="1" selected="0">
            <x v="0"/>
          </reference>
          <reference field="16" count="1" selected="0">
            <x v="1"/>
          </reference>
        </references>
      </pivotArea>
    </chartFormat>
    <chartFormat chart="2" format="7">
      <pivotArea type="data" outline="0" fieldPosition="0">
        <references count="2">
          <reference field="4294967294" count="1" selected="0">
            <x v="0"/>
          </reference>
          <reference field="16" count="1" selected="0">
            <x v="2"/>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16" count="1" selected="0">
            <x v="0"/>
          </reference>
        </references>
      </pivotArea>
    </chartFormat>
    <chartFormat chart="3" format="10">
      <pivotArea type="data" outline="0" fieldPosition="0">
        <references count="2">
          <reference field="4294967294" count="1" selected="0">
            <x v="0"/>
          </reference>
          <reference field="16" count="1" selected="0">
            <x v="1"/>
          </reference>
        </references>
      </pivotArea>
    </chartFormat>
    <chartFormat chart="3" format="11">
      <pivotArea type="data" outline="0" fieldPosition="0">
        <references count="2">
          <reference field="4294967294" count="1" selected="0">
            <x v="0"/>
          </reference>
          <reference field="16" count="1" selected="0">
            <x v="2"/>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16" count="1" selected="0">
            <x v="0"/>
          </reference>
        </references>
      </pivotArea>
    </chartFormat>
    <chartFormat chart="4" format="10">
      <pivotArea type="data" outline="0" fieldPosition="0">
        <references count="2">
          <reference field="4294967294" count="1" selected="0">
            <x v="0"/>
          </reference>
          <reference field="16" count="1" selected="0">
            <x v="1"/>
          </reference>
        </references>
      </pivotArea>
    </chartFormat>
    <chartFormat chart="4" format="11">
      <pivotArea type="data" outline="0" fieldPosition="0">
        <references count="2">
          <reference field="4294967294" count="1" selected="0">
            <x v="0"/>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36AAABF-5710-4542-98B1-7A90B7FBE2FD}" name="PivotTable8"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8">
  <location ref="A2:B8" firstHeaderRow="1" firstDataRow="1" firstDataCol="1"/>
  <pivotFields count="22">
    <pivotField showAll="0"/>
    <pivotField showAll="0"/>
    <pivotField axis="axisRow" showAll="0">
      <items count="7">
        <item x="0"/>
        <item x="1"/>
        <item x="4"/>
        <item x="5"/>
        <item x="2"/>
        <item x="3"/>
        <item t="default"/>
      </items>
    </pivotField>
    <pivotField showAll="0">
      <items count="9">
        <item x="4"/>
        <item x="6"/>
        <item x="7"/>
        <item x="3"/>
        <item x="5"/>
        <item x="1"/>
        <item x="2"/>
        <item x="0"/>
        <item t="default"/>
      </items>
    </pivotField>
    <pivotField showAll="0">
      <items count="6">
        <item x="0"/>
        <item x="1"/>
        <item x="3"/>
        <item x="2"/>
        <item x="4"/>
        <item t="default"/>
      </items>
    </pivotField>
    <pivotField showAll="0"/>
    <pivotField numFmtId="1" showAll="0"/>
    <pivotField numFmtId="164" showAll="0"/>
    <pivotField numFmtId="164" showAll="0"/>
    <pivotField dataField="1" numFmtId="1" showAll="0"/>
    <pivotField numFmtId="1" showAll="0"/>
    <pivotField numFmtId="1" showAll="0"/>
    <pivotField numFmtId="1" showAll="0"/>
    <pivotField numFmtId="1" showAll="0"/>
    <pivotField showAll="0"/>
    <pivotField showAll="0"/>
    <pivotField showAll="0">
      <items count="4">
        <item x="2"/>
        <item h="1" x="1"/>
        <item h="1" x="0"/>
        <item t="default"/>
      </items>
    </pivotField>
    <pivotField numFmtId="164" showAll="0"/>
    <pivotField numFmtId="164" showAll="0"/>
    <pivotField numFmtId="164" showAll="0"/>
    <pivotField numFmtId="164" showAll="0"/>
    <pivotField showAll="0"/>
  </pivotFields>
  <rowFields count="1">
    <field x="2"/>
  </rowFields>
  <rowItems count="6">
    <i>
      <x/>
    </i>
    <i>
      <x v="1"/>
    </i>
    <i>
      <x v="2"/>
    </i>
    <i>
      <x v="3"/>
    </i>
    <i>
      <x v="4"/>
    </i>
    <i>
      <x v="5"/>
    </i>
  </rowItems>
  <colItems count="1">
    <i/>
  </colItems>
  <dataFields count="1">
    <dataField name="Inventory by Category" fld="9" baseField="0" baseItem="0" numFmtId="1"/>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5ECC3CE-370B-4036-A550-19D7647C4C5F}"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P3:Q9" firstHeaderRow="1" firstDataRow="1" firstDataCol="1" rowPageCount="1" colPageCount="1"/>
  <pivotFields count="22">
    <pivotField showAll="0"/>
    <pivotField showAll="0"/>
    <pivotField showAll="0">
      <items count="7">
        <item x="0"/>
        <item x="1"/>
        <item x="4"/>
        <item x="5"/>
        <item x="2"/>
        <item x="3"/>
        <item t="default"/>
      </items>
    </pivotField>
    <pivotField showAll="0">
      <items count="9">
        <item x="4"/>
        <item x="6"/>
        <item x="7"/>
        <item x="3"/>
        <item x="5"/>
        <item x="1"/>
        <item x="2"/>
        <item x="0"/>
        <item t="default"/>
      </items>
    </pivotField>
    <pivotField axis="axisRow" showAll="0">
      <items count="6">
        <item x="0"/>
        <item x="1"/>
        <item x="3"/>
        <item x="2"/>
        <item x="4"/>
        <item t="default"/>
      </items>
    </pivotField>
    <pivotField showAll="0"/>
    <pivotField numFmtId="1" showAll="0"/>
    <pivotField numFmtId="164" showAll="0"/>
    <pivotField numFmtId="164" showAll="0"/>
    <pivotField numFmtId="1" showAll="0"/>
    <pivotField numFmtId="1" showAll="0"/>
    <pivotField numFmtId="1" showAll="0"/>
    <pivotField dataField="1" numFmtId="1" showAll="0"/>
    <pivotField numFmtId="1" showAll="0"/>
    <pivotField showAll="0"/>
    <pivotField showAll="0"/>
    <pivotField axis="axisPage" multipleItemSelectionAllowed="1" showAll="0" countASubtotal="1">
      <items count="4">
        <item x="2"/>
        <item x="1"/>
        <item x="0"/>
        <item t="countA"/>
      </items>
    </pivotField>
    <pivotField numFmtId="164" showAll="0"/>
    <pivotField numFmtId="164" showAll="0"/>
    <pivotField numFmtId="164" showAll="0"/>
    <pivotField numFmtId="164" showAll="0"/>
    <pivotField showAll="0"/>
  </pivotFields>
  <rowFields count="1">
    <field x="4"/>
  </rowFields>
  <rowItems count="6">
    <i>
      <x/>
    </i>
    <i>
      <x v="1"/>
    </i>
    <i>
      <x v="2"/>
    </i>
    <i>
      <x v="3"/>
    </i>
    <i>
      <x v="4"/>
    </i>
    <i t="grand">
      <x/>
    </i>
  </rowItems>
  <colItems count="1">
    <i/>
  </colItems>
  <pageFields count="1">
    <pageField fld="16" hier="-1"/>
  </pageFields>
  <dataFields count="1">
    <dataField name="Reorder Analysis" fld="12" baseField="0" baseItem="0" numFmtId="1"/>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3AAAA13-0F83-478D-9B31-F382AF23CC68}" name="PivotTable12"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7">
  <location ref="M2:N7" firstHeaderRow="1" firstDataRow="1" firstDataCol="1"/>
  <pivotFields count="22">
    <pivotField showAll="0"/>
    <pivotField showAll="0"/>
    <pivotField showAll="0">
      <items count="7">
        <item x="0"/>
        <item x="1"/>
        <item x="4"/>
        <item x="5"/>
        <item x="2"/>
        <item x="3"/>
        <item t="default"/>
      </items>
    </pivotField>
    <pivotField showAll="0">
      <items count="9">
        <item x="4"/>
        <item x="6"/>
        <item x="7"/>
        <item x="3"/>
        <item x="5"/>
        <item x="1"/>
        <item x="2"/>
        <item x="0"/>
        <item t="default"/>
      </items>
    </pivotField>
    <pivotField axis="axisRow" showAll="0">
      <items count="6">
        <item x="0"/>
        <item x="1"/>
        <item x="3"/>
        <item x="2"/>
        <item x="4"/>
        <item t="default"/>
      </items>
    </pivotField>
    <pivotField showAll="0"/>
    <pivotField numFmtId="1" showAll="0"/>
    <pivotField numFmtId="164" showAll="0"/>
    <pivotField numFmtId="164" showAll="0"/>
    <pivotField numFmtId="1" showAll="0"/>
    <pivotField dataField="1" numFmtId="1" showAll="0"/>
    <pivotField numFmtId="1" showAll="0"/>
    <pivotField numFmtId="1" showAll="0"/>
    <pivotField numFmtId="1" showAll="0"/>
    <pivotField showAll="0"/>
    <pivotField showAll="0"/>
    <pivotField showAll="0">
      <items count="4">
        <item x="2"/>
        <item h="1" x="1"/>
        <item h="1" x="0"/>
        <item t="default"/>
      </items>
    </pivotField>
    <pivotField numFmtId="164" showAll="0"/>
    <pivotField numFmtId="164" showAll="0"/>
    <pivotField numFmtId="164" showAll="0"/>
    <pivotField numFmtId="164" showAll="0"/>
    <pivotField showAll="0"/>
  </pivotFields>
  <rowFields count="1">
    <field x="4"/>
  </rowFields>
  <rowItems count="5">
    <i>
      <x/>
    </i>
    <i>
      <x v="1"/>
    </i>
    <i>
      <x v="2"/>
    </i>
    <i>
      <x v="3"/>
    </i>
    <i>
      <x v="4"/>
    </i>
  </rowItems>
  <colItems count="1">
    <i/>
  </colItems>
  <dataFields count="1">
    <dataField name="Warehouse Value" fld="10" baseField="0" baseItem="0" numFmtId="1"/>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FD89204-D12A-4846-B329-AC9B3F8CC3F5}" name="PivotTable14" cacheId="1"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compact="0" compactData="0" multipleFieldFilters="0">
  <location ref="E38:N201" firstHeaderRow="0" firstDataRow="1" firstDataCol="6"/>
  <pivotFields count="22">
    <pivotField axis="axisRow" compact="0" outline="0" showAll="0" defaultSubtotal="0">
      <items count="3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s>
      <extLst>
        <ext xmlns:x14="http://schemas.microsoft.com/office/spreadsheetml/2009/9/main" uri="{2946ED86-A175-432a-8AC1-64E0C546D7DE}">
          <x14:pivotField fillDownLabels="1"/>
        </ext>
      </extLst>
    </pivotField>
    <pivotField axis="axisRow" compact="0" outline="0" showAll="0" defaultSubtotal="0">
      <items count="60">
        <item x="0"/>
        <item x="40"/>
        <item x="49"/>
        <item x="15"/>
        <item x="19"/>
        <item x="42"/>
        <item x="28"/>
        <item x="55"/>
        <item x="4"/>
        <item x="8"/>
        <item x="33"/>
        <item x="57"/>
        <item x="17"/>
        <item x="34"/>
        <item x="10"/>
        <item x="14"/>
        <item x="7"/>
        <item x="18"/>
        <item x="56"/>
        <item x="24"/>
        <item x="41"/>
        <item x="22"/>
        <item x="23"/>
        <item x="6"/>
        <item x="37"/>
        <item x="52"/>
        <item x="53"/>
        <item x="11"/>
        <item x="12"/>
        <item x="48"/>
        <item x="31"/>
        <item x="21"/>
        <item x="58"/>
        <item x="3"/>
        <item x="25"/>
        <item x="2"/>
        <item x="5"/>
        <item x="13"/>
        <item x="51"/>
        <item x="47"/>
        <item x="16"/>
        <item x="29"/>
        <item x="32"/>
        <item x="39"/>
        <item x="36"/>
        <item x="27"/>
        <item x="46"/>
        <item x="30"/>
        <item x="35"/>
        <item x="20"/>
        <item x="9"/>
        <item x="50"/>
        <item x="45"/>
        <item x="26"/>
        <item x="44"/>
        <item x="43"/>
        <item x="59"/>
        <item x="54"/>
        <item x="1"/>
        <item x="38"/>
      </items>
      <extLst>
        <ext xmlns:x14="http://schemas.microsoft.com/office/spreadsheetml/2009/9/main" uri="{2946ED86-A175-432a-8AC1-64E0C546D7DE}">
          <x14:pivotField fillDownLabels="1"/>
        </ext>
      </extLst>
    </pivotField>
    <pivotField axis="axisRow" compact="0" outline="0" showAll="0" defaultSubtotal="0">
      <items count="6">
        <item x="0"/>
        <item x="1"/>
        <item x="4"/>
        <item x="5"/>
        <item x="2"/>
        <item x="3"/>
      </items>
      <extLst>
        <ext xmlns:x14="http://schemas.microsoft.com/office/spreadsheetml/2009/9/main" uri="{2946ED86-A175-432a-8AC1-64E0C546D7DE}">
          <x14:pivotField fillDownLabels="1"/>
        </ext>
      </extLst>
    </pivotField>
    <pivotField axis="axisRow" compact="0" outline="0" showAll="0" defaultSubtotal="0">
      <items count="8">
        <item x="4"/>
        <item x="6"/>
        <item x="7"/>
        <item x="3"/>
        <item x="5"/>
        <item x="1"/>
        <item x="2"/>
        <item x="0"/>
      </items>
      <extLst>
        <ext xmlns:x14="http://schemas.microsoft.com/office/spreadsheetml/2009/9/main" uri="{2946ED86-A175-432a-8AC1-64E0C546D7DE}">
          <x14:pivotField fillDownLabels="1"/>
        </ext>
      </extLst>
    </pivotField>
    <pivotField axis="axisRow" compact="0" outline="0" showAll="0" defaultSubtotal="0">
      <items count="5">
        <item x="0"/>
        <item x="1"/>
        <item x="3"/>
        <item x="2"/>
        <item x="4"/>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dataField="1" compact="0" numFmtId="1" outline="0" showAll="0" defaultSubtotal="0">
      <extLst>
        <ext xmlns:x14="http://schemas.microsoft.com/office/spreadsheetml/2009/9/main" uri="{2946ED86-A175-432a-8AC1-64E0C546D7DE}">
          <x14:pivotField fillDownLabels="1"/>
        </ext>
      </extLst>
    </pivotField>
    <pivotField dataField="1" compact="0" numFmtId="1"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3">
        <item x="2"/>
        <item h="1" x="1"/>
        <item h="1" x="0"/>
      </items>
      <extLst>
        <ext xmlns:x14="http://schemas.microsoft.com/office/spreadsheetml/2009/9/main" uri="{2946ED86-A175-432a-8AC1-64E0C546D7DE}">
          <x14:pivotField fillDownLabels="1"/>
        </ext>
      </extLst>
    </pivotField>
    <pivotField dataField="1"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dataField="1"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6">
    <field x="0"/>
    <field x="1"/>
    <field x="2"/>
    <field x="3"/>
    <field x="4"/>
    <field x="16"/>
  </rowFields>
  <rowItems count="163">
    <i>
      <x v="75"/>
      <x v="5"/>
      <x/>
      <x v="7"/>
      <x v="1"/>
      <x/>
    </i>
    <i>
      <x v="78"/>
      <x v="4"/>
      <x/>
      <x v="4"/>
      <x v="4"/>
      <x/>
    </i>
    <i>
      <x v="79"/>
      <x v="9"/>
      <x v="3"/>
      <x/>
      <x/>
      <x/>
    </i>
    <i>
      <x v="81"/>
      <x v="54"/>
      <x v="2"/>
      <x v="1"/>
      <x v="4"/>
      <x/>
    </i>
    <i>
      <x v="83"/>
      <x v="46"/>
      <x v="3"/>
      <x v="4"/>
      <x/>
      <x/>
    </i>
    <i>
      <x v="84"/>
      <x v="39"/>
      <x v="2"/>
      <x v="2"/>
      <x v="4"/>
      <x/>
    </i>
    <i>
      <x v="86"/>
      <x v="29"/>
      <x v="1"/>
      <x v="1"/>
      <x v="1"/>
      <x/>
    </i>
    <i>
      <x v="87"/>
      <x v="4"/>
      <x/>
      <x v="1"/>
      <x/>
      <x/>
    </i>
    <i>
      <x v="88"/>
      <x v="2"/>
      <x v="3"/>
      <x v="1"/>
      <x v="3"/>
      <x/>
    </i>
    <i>
      <x v="89"/>
      <x v="52"/>
      <x v="1"/>
      <x v="3"/>
      <x/>
      <x/>
    </i>
    <i>
      <x v="90"/>
      <x v="37"/>
      <x v="1"/>
      <x v="1"/>
      <x v="2"/>
      <x/>
    </i>
    <i>
      <x v="92"/>
      <x v="5"/>
      <x/>
      <x v="4"/>
      <x/>
      <x/>
    </i>
    <i>
      <x v="94"/>
      <x v="42"/>
      <x v="2"/>
      <x v="2"/>
      <x v="1"/>
      <x/>
    </i>
    <i>
      <x v="95"/>
      <x v="51"/>
      <x/>
      <x v="6"/>
      <x v="4"/>
      <x/>
    </i>
    <i>
      <x v="96"/>
      <x v="31"/>
      <x v="3"/>
      <x/>
      <x v="2"/>
      <x/>
    </i>
    <i>
      <x v="97"/>
      <x v="38"/>
      <x v="5"/>
      <x v="5"/>
      <x v="4"/>
      <x/>
    </i>
    <i>
      <x v="98"/>
      <x v="1"/>
      <x v="5"/>
      <x v="1"/>
      <x v="3"/>
      <x/>
    </i>
    <i>
      <x v="99"/>
      <x v="27"/>
      <x/>
      <x v="5"/>
      <x v="1"/>
      <x/>
    </i>
    <i>
      <x v="101"/>
      <x v="49"/>
      <x v="3"/>
      <x v="4"/>
      <x/>
      <x/>
    </i>
    <i>
      <x v="103"/>
      <x v="42"/>
      <x v="2"/>
      <x v="7"/>
      <x v="4"/>
      <x/>
    </i>
    <i>
      <x v="107"/>
      <x/>
      <x/>
      <x v="4"/>
      <x v="4"/>
      <x/>
    </i>
    <i>
      <x v="108"/>
      <x v="44"/>
      <x v="5"/>
      <x v="7"/>
      <x v="3"/>
      <x/>
    </i>
    <i>
      <x v="109"/>
      <x v="8"/>
      <x v="5"/>
      <x/>
      <x v="3"/>
      <x/>
    </i>
    <i>
      <x v="110"/>
      <x v="44"/>
      <x v="5"/>
      <x v="1"/>
      <x v="3"/>
      <x/>
    </i>
    <i>
      <x v="111"/>
      <x v="49"/>
      <x v="3"/>
      <x v="3"/>
      <x v="4"/>
      <x/>
    </i>
    <i>
      <x v="112"/>
      <x v="57"/>
      <x/>
      <x v="5"/>
      <x v="3"/>
      <x/>
    </i>
    <i>
      <x v="113"/>
      <x v="21"/>
      <x v="2"/>
      <x v="3"/>
      <x v="3"/>
      <x/>
    </i>
    <i>
      <x v="114"/>
      <x v="54"/>
      <x v="2"/>
      <x v="3"/>
      <x v="3"/>
      <x/>
    </i>
    <i>
      <x v="115"/>
      <x v="1"/>
      <x v="5"/>
      <x v="6"/>
      <x v="2"/>
      <x/>
    </i>
    <i>
      <x v="116"/>
      <x v="37"/>
      <x v="1"/>
      <x v="6"/>
      <x v="3"/>
      <x/>
    </i>
    <i>
      <x v="119"/>
      <x v="44"/>
      <x v="5"/>
      <x v="1"/>
      <x v="4"/>
      <x/>
    </i>
    <i>
      <x v="120"/>
      <x v="8"/>
      <x v="5"/>
      <x v="4"/>
      <x v="2"/>
      <x/>
    </i>
    <i>
      <x v="125"/>
      <x v="2"/>
      <x v="3"/>
      <x v="5"/>
      <x v="2"/>
      <x/>
    </i>
    <i>
      <x v="126"/>
      <x v="2"/>
      <x v="3"/>
      <x/>
      <x/>
      <x/>
    </i>
    <i>
      <x v="127"/>
      <x v="35"/>
      <x v="4"/>
      <x v="4"/>
      <x v="2"/>
      <x/>
    </i>
    <i>
      <x v="128"/>
      <x v="12"/>
      <x v="4"/>
      <x v="6"/>
      <x/>
      <x/>
    </i>
    <i>
      <x v="129"/>
      <x v="1"/>
      <x v="5"/>
      <x v="5"/>
      <x v="2"/>
      <x/>
    </i>
    <i>
      <x v="131"/>
      <x v="40"/>
      <x v="2"/>
      <x v="7"/>
      <x v="1"/>
      <x/>
    </i>
    <i>
      <x v="132"/>
      <x v="14"/>
      <x v="4"/>
      <x v="3"/>
      <x v="2"/>
      <x/>
    </i>
    <i>
      <x v="134"/>
      <x v="13"/>
      <x v="3"/>
      <x v="5"/>
      <x/>
      <x/>
    </i>
    <i>
      <x v="135"/>
      <x v="42"/>
      <x v="2"/>
      <x v="7"/>
      <x/>
      <x/>
    </i>
    <i>
      <x v="136"/>
      <x v="52"/>
      <x v="1"/>
      <x v="5"/>
      <x v="2"/>
      <x/>
    </i>
    <i>
      <x v="137"/>
      <x v="39"/>
      <x v="2"/>
      <x/>
      <x v="1"/>
      <x/>
    </i>
    <i>
      <x v="138"/>
      <x v="45"/>
      <x v="5"/>
      <x v="4"/>
      <x v="2"/>
      <x/>
    </i>
    <i>
      <x v="139"/>
      <x v="8"/>
      <x v="5"/>
      <x v="4"/>
      <x v="4"/>
      <x/>
    </i>
    <i>
      <x v="140"/>
      <x v="40"/>
      <x v="2"/>
      <x v="6"/>
      <x v="3"/>
      <x/>
    </i>
    <i>
      <x v="141"/>
      <x v="1"/>
      <x v="5"/>
      <x/>
      <x/>
      <x/>
    </i>
    <i>
      <x v="142"/>
      <x v="34"/>
      <x v="5"/>
      <x v="1"/>
      <x v="3"/>
      <x/>
    </i>
    <i>
      <x v="143"/>
      <x v="25"/>
      <x v="1"/>
      <x/>
      <x v="1"/>
      <x/>
    </i>
    <i>
      <x v="144"/>
      <x v="58"/>
      <x v="1"/>
      <x v="6"/>
      <x v="1"/>
      <x/>
    </i>
    <i>
      <x v="146"/>
      <x v="4"/>
      <x/>
      <x v="2"/>
      <x v="1"/>
      <x/>
    </i>
    <i>
      <x v="147"/>
      <x v="42"/>
      <x v="2"/>
      <x v="5"/>
      <x v="2"/>
      <x/>
    </i>
    <i>
      <x v="149"/>
      <x v="6"/>
      <x v="3"/>
      <x v="3"/>
      <x v="2"/>
      <x/>
    </i>
    <i>
      <x v="150"/>
      <x v="55"/>
      <x v="1"/>
      <x v="7"/>
      <x/>
      <x/>
    </i>
    <i>
      <x v="152"/>
      <x v="25"/>
      <x v="1"/>
      <x v="1"/>
      <x v="4"/>
      <x/>
    </i>
    <i>
      <x v="153"/>
      <x v="1"/>
      <x v="5"/>
      <x v="1"/>
      <x v="3"/>
      <x/>
    </i>
    <i>
      <x v="154"/>
      <x v="44"/>
      <x v="5"/>
      <x v="1"/>
      <x v="1"/>
      <x/>
    </i>
    <i>
      <x v="155"/>
      <x v="34"/>
      <x v="5"/>
      <x v="5"/>
      <x v="4"/>
      <x/>
    </i>
    <i>
      <x v="157"/>
      <x v="38"/>
      <x v="5"/>
      <x v="4"/>
      <x v="3"/>
      <x/>
    </i>
    <i>
      <x v="159"/>
      <x v="57"/>
      <x/>
      <x v="2"/>
      <x v="3"/>
      <x/>
    </i>
    <i>
      <x v="161"/>
      <x v="23"/>
      <x v="2"/>
      <x v="5"/>
      <x v="1"/>
      <x/>
    </i>
    <i>
      <x v="162"/>
      <x v="13"/>
      <x v="3"/>
      <x v="5"/>
      <x v="3"/>
      <x/>
    </i>
    <i>
      <x v="163"/>
      <x v="29"/>
      <x v="1"/>
      <x v="3"/>
      <x v="3"/>
      <x/>
    </i>
    <i>
      <x v="164"/>
      <x v="50"/>
      <x v="3"/>
      <x v="1"/>
      <x v="2"/>
      <x/>
    </i>
    <i>
      <x v="165"/>
      <x v="48"/>
      <x v="5"/>
      <x v="6"/>
      <x v="3"/>
      <x/>
    </i>
    <i>
      <x v="166"/>
      <x v="40"/>
      <x v="2"/>
      <x/>
      <x v="1"/>
      <x/>
    </i>
    <i>
      <x v="169"/>
      <x v="40"/>
      <x v="2"/>
      <x v="3"/>
      <x/>
      <x/>
    </i>
    <i>
      <x v="171"/>
      <x v="7"/>
      <x v="3"/>
      <x v="3"/>
      <x v="1"/>
      <x/>
    </i>
    <i>
      <x v="173"/>
      <x v="48"/>
      <x v="5"/>
      <x v="7"/>
      <x v="3"/>
      <x/>
    </i>
    <i>
      <x v="174"/>
      <x v="23"/>
      <x v="2"/>
      <x v="3"/>
      <x v="2"/>
      <x/>
    </i>
    <i>
      <x v="175"/>
      <x v="2"/>
      <x v="3"/>
      <x v="1"/>
      <x/>
      <x/>
    </i>
    <i>
      <x v="176"/>
      <x v="58"/>
      <x v="1"/>
      <x v="7"/>
      <x v="1"/>
      <x/>
    </i>
    <i>
      <x v="177"/>
      <x v="42"/>
      <x v="2"/>
      <x/>
      <x v="4"/>
      <x/>
    </i>
    <i>
      <x v="179"/>
      <x v="8"/>
      <x v="5"/>
      <x v="2"/>
      <x v="3"/>
      <x/>
    </i>
    <i>
      <x v="180"/>
      <x v="37"/>
      <x v="1"/>
      <x v="5"/>
      <x v="1"/>
      <x/>
    </i>
    <i>
      <x v="181"/>
      <x v="51"/>
      <x/>
      <x/>
      <x v="2"/>
      <x/>
    </i>
    <i>
      <x v="182"/>
      <x v="48"/>
      <x v="5"/>
      <x v="3"/>
      <x/>
      <x/>
    </i>
    <i>
      <x v="183"/>
      <x v="41"/>
      <x/>
      <x v="4"/>
      <x/>
      <x/>
    </i>
    <i>
      <x v="185"/>
      <x v="54"/>
      <x v="2"/>
      <x v="6"/>
      <x v="1"/>
      <x/>
    </i>
    <i>
      <x v="186"/>
      <x v="53"/>
      <x v="1"/>
      <x v="1"/>
      <x/>
      <x/>
    </i>
    <i>
      <x v="187"/>
      <x v="12"/>
      <x v="4"/>
      <x v="4"/>
      <x v="1"/>
      <x/>
    </i>
    <i>
      <x v="189"/>
      <x v="52"/>
      <x v="1"/>
      <x v="5"/>
      <x/>
      <x/>
    </i>
    <i>
      <x v="190"/>
      <x v="20"/>
      <x v="4"/>
      <x v="2"/>
      <x v="3"/>
      <x/>
    </i>
    <i>
      <x v="191"/>
      <x v="8"/>
      <x v="5"/>
      <x v="2"/>
      <x v="1"/>
      <x/>
    </i>
    <i>
      <x v="192"/>
      <x v="46"/>
      <x v="3"/>
      <x v="3"/>
      <x v="1"/>
      <x/>
    </i>
    <i>
      <x v="193"/>
      <x v="24"/>
      <x/>
      <x v="7"/>
      <x/>
      <x/>
    </i>
    <i>
      <x v="194"/>
      <x v="4"/>
      <x/>
      <x v="6"/>
      <x v="3"/>
      <x/>
    </i>
    <i>
      <x v="195"/>
      <x v="24"/>
      <x/>
      <x v="3"/>
      <x v="4"/>
      <x/>
    </i>
    <i>
      <x v="197"/>
      <x v="50"/>
      <x v="3"/>
      <x v="3"/>
      <x v="2"/>
      <x/>
    </i>
    <i>
      <x v="198"/>
      <x v="17"/>
      <x v="4"/>
      <x v="1"/>
      <x v="4"/>
      <x/>
    </i>
    <i>
      <x v="199"/>
      <x v="30"/>
      <x v="1"/>
      <x v="5"/>
      <x v="3"/>
      <x/>
    </i>
    <i>
      <x v="200"/>
      <x v="52"/>
      <x v="1"/>
      <x v="1"/>
      <x v="1"/>
      <x/>
    </i>
    <i>
      <x v="201"/>
      <x v="14"/>
      <x v="4"/>
      <x v="1"/>
      <x v="3"/>
      <x/>
    </i>
    <i>
      <x v="203"/>
      <x v="11"/>
      <x v="4"/>
      <x v="2"/>
      <x v="4"/>
      <x/>
    </i>
    <i>
      <x v="206"/>
      <x v="42"/>
      <x v="2"/>
      <x v="2"/>
      <x/>
      <x/>
    </i>
    <i>
      <x v="207"/>
      <x v="47"/>
      <x/>
      <x v="4"/>
      <x v="3"/>
      <x/>
    </i>
    <i>
      <x v="208"/>
      <x v="16"/>
      <x v="5"/>
      <x/>
      <x v="2"/>
      <x/>
    </i>
    <i>
      <x v="209"/>
      <x v="39"/>
      <x v="2"/>
      <x v="1"/>
      <x v="2"/>
      <x/>
    </i>
    <i>
      <x v="210"/>
      <x v="1"/>
      <x v="5"/>
      <x v="2"/>
      <x v="3"/>
      <x/>
    </i>
    <i>
      <x v="212"/>
      <x v="13"/>
      <x v="3"/>
      <x v="2"/>
      <x v="4"/>
      <x/>
    </i>
    <i>
      <x v="215"/>
      <x v="26"/>
      <x v="5"/>
      <x v="2"/>
      <x/>
      <x/>
    </i>
    <i>
      <x v="217"/>
      <x v="59"/>
      <x v="2"/>
      <x v="5"/>
      <x v="3"/>
      <x/>
    </i>
    <i>
      <x v="218"/>
      <x v="18"/>
      <x v="2"/>
      <x v="3"/>
      <x v="3"/>
      <x/>
    </i>
    <i>
      <x v="219"/>
      <x v="39"/>
      <x v="2"/>
      <x v="7"/>
      <x v="3"/>
      <x/>
    </i>
    <i>
      <x v="220"/>
      <x v="53"/>
      <x v="1"/>
      <x/>
      <x v="1"/>
      <x/>
    </i>
    <i>
      <x v="221"/>
      <x v="12"/>
      <x v="4"/>
      <x v="2"/>
      <x v="1"/>
      <x/>
    </i>
    <i>
      <x v="223"/>
      <x v="15"/>
      <x v="2"/>
      <x v="7"/>
      <x v="1"/>
      <x/>
    </i>
    <i>
      <x v="224"/>
      <x v="59"/>
      <x v="2"/>
      <x/>
      <x/>
      <x/>
    </i>
    <i>
      <x v="225"/>
      <x v="26"/>
      <x v="5"/>
      <x v="2"/>
      <x v="2"/>
      <x/>
    </i>
    <i>
      <x v="227"/>
      <x v="52"/>
      <x v="1"/>
      <x v="4"/>
      <x v="4"/>
      <x/>
    </i>
    <i>
      <x v="228"/>
      <x v="54"/>
      <x v="2"/>
      <x v="2"/>
      <x v="3"/>
      <x/>
    </i>
    <i>
      <x v="229"/>
      <x v="53"/>
      <x v="1"/>
      <x v="7"/>
      <x/>
      <x/>
    </i>
    <i>
      <x v="230"/>
      <x v="21"/>
      <x v="2"/>
      <x v="1"/>
      <x v="3"/>
      <x/>
    </i>
    <i>
      <x v="231"/>
      <x v="52"/>
      <x v="1"/>
      <x v="1"/>
      <x v="4"/>
      <x/>
    </i>
    <i>
      <x v="232"/>
      <x v="47"/>
      <x/>
      <x/>
      <x v="1"/>
      <x/>
    </i>
    <i>
      <x v="233"/>
      <x v="33"/>
      <x v="4"/>
      <x v="3"/>
      <x/>
      <x/>
    </i>
    <i>
      <x v="234"/>
      <x v="34"/>
      <x v="5"/>
      <x v="1"/>
      <x/>
      <x/>
    </i>
    <i>
      <x v="235"/>
      <x v="38"/>
      <x v="5"/>
      <x v="2"/>
      <x v="4"/>
      <x/>
    </i>
    <i>
      <x v="237"/>
      <x v="55"/>
      <x v="1"/>
      <x v="2"/>
      <x v="4"/>
      <x/>
    </i>
    <i>
      <x v="238"/>
      <x v="9"/>
      <x v="3"/>
      <x v="2"/>
      <x/>
      <x/>
    </i>
    <i>
      <x v="239"/>
      <x v="3"/>
      <x v="4"/>
      <x v="1"/>
      <x v="2"/>
      <x/>
    </i>
    <i>
      <x v="240"/>
      <x v="27"/>
      <x/>
      <x/>
      <x v="2"/>
      <x/>
    </i>
    <i>
      <x v="241"/>
      <x v="58"/>
      <x v="1"/>
      <x v="5"/>
      <x/>
      <x/>
    </i>
    <i>
      <x v="242"/>
      <x v="12"/>
      <x v="4"/>
      <x/>
      <x/>
      <x/>
    </i>
    <i>
      <x v="243"/>
      <x v="19"/>
      <x v="5"/>
      <x v="3"/>
      <x v="4"/>
      <x/>
    </i>
    <i>
      <x v="244"/>
      <x v="34"/>
      <x v="5"/>
      <x v="5"/>
      <x v="3"/>
      <x/>
    </i>
    <i>
      <x v="245"/>
      <x v="40"/>
      <x v="2"/>
      <x v="3"/>
      <x v="2"/>
      <x/>
    </i>
    <i>
      <x v="248"/>
      <x v="39"/>
      <x v="2"/>
      <x v="5"/>
      <x/>
      <x/>
    </i>
    <i>
      <x v="250"/>
      <x v="39"/>
      <x v="2"/>
      <x v="1"/>
      <x v="1"/>
      <x/>
    </i>
    <i>
      <x v="252"/>
      <x v="12"/>
      <x v="4"/>
      <x v="1"/>
      <x v="4"/>
      <x/>
    </i>
    <i>
      <x v="253"/>
      <x v="28"/>
      <x v="3"/>
      <x v="6"/>
      <x v="1"/>
      <x/>
    </i>
    <i>
      <x v="254"/>
      <x v="48"/>
      <x v="5"/>
      <x v="7"/>
      <x v="4"/>
      <x/>
    </i>
    <i>
      <x v="255"/>
      <x v="20"/>
      <x v="4"/>
      <x v="3"/>
      <x v="3"/>
      <x/>
    </i>
    <i>
      <x v="256"/>
      <x v="24"/>
      <x/>
      <x v="1"/>
      <x v="1"/>
      <x/>
    </i>
    <i>
      <x v="257"/>
      <x v="8"/>
      <x v="5"/>
      <x/>
      <x/>
      <x/>
    </i>
    <i>
      <x v="258"/>
      <x v="52"/>
      <x v="1"/>
      <x/>
      <x v="1"/>
      <x/>
    </i>
    <i>
      <x v="260"/>
      <x v="8"/>
      <x v="5"/>
      <x v="7"/>
      <x v="3"/>
      <x/>
    </i>
    <i>
      <x v="261"/>
      <x v="11"/>
      <x v="4"/>
      <x v="4"/>
      <x/>
      <x/>
    </i>
    <i>
      <x v="264"/>
      <x v="36"/>
      <x v="1"/>
      <x v="6"/>
      <x v="1"/>
      <x/>
    </i>
    <i>
      <x v="265"/>
      <x v="18"/>
      <x v="2"/>
      <x v="7"/>
      <x v="3"/>
      <x/>
    </i>
    <i>
      <x v="266"/>
      <x v="49"/>
      <x v="3"/>
      <x v="5"/>
      <x v="3"/>
      <x/>
    </i>
    <i>
      <x v="267"/>
      <x v="32"/>
      <x v="1"/>
      <x v="7"/>
      <x v="2"/>
      <x/>
    </i>
    <i>
      <x v="268"/>
      <x v="18"/>
      <x v="2"/>
      <x v="2"/>
      <x v="3"/>
      <x/>
    </i>
    <i>
      <x v="269"/>
      <x v="26"/>
      <x v="5"/>
      <x v="2"/>
      <x/>
      <x/>
    </i>
    <i>
      <x v="270"/>
      <x v="5"/>
      <x/>
      <x v="2"/>
      <x v="2"/>
      <x/>
    </i>
    <i>
      <x v="273"/>
      <x v="54"/>
      <x v="2"/>
      <x v="1"/>
      <x v="4"/>
      <x/>
    </i>
    <i>
      <x v="274"/>
      <x v="32"/>
      <x v="1"/>
      <x v="2"/>
      <x v="1"/>
      <x/>
    </i>
    <i>
      <x v="275"/>
      <x v="47"/>
      <x/>
      <x v="2"/>
      <x v="3"/>
      <x/>
    </i>
    <i>
      <x v="276"/>
      <x v="58"/>
      <x v="1"/>
      <x/>
      <x v="3"/>
      <x/>
    </i>
    <i>
      <x v="277"/>
      <x v="9"/>
      <x v="3"/>
      <x v="5"/>
      <x v="3"/>
      <x/>
    </i>
    <i>
      <x v="278"/>
      <x v="12"/>
      <x v="4"/>
      <x v="3"/>
      <x v="3"/>
      <x/>
    </i>
    <i>
      <x v="280"/>
      <x v="39"/>
      <x v="2"/>
      <x v="2"/>
      <x/>
      <x/>
    </i>
    <i>
      <x v="282"/>
      <x v="1"/>
      <x v="5"/>
      <x v="4"/>
      <x v="3"/>
      <x/>
    </i>
    <i>
      <x v="284"/>
      <x v="34"/>
      <x v="5"/>
      <x v="1"/>
      <x/>
      <x/>
    </i>
    <i>
      <x v="285"/>
      <x v="58"/>
      <x v="1"/>
      <x v="2"/>
      <x v="2"/>
      <x/>
    </i>
    <i>
      <x v="286"/>
      <x v="47"/>
      <x/>
      <x v="5"/>
      <x v="2"/>
      <x/>
    </i>
    <i>
      <x v="288"/>
      <x v="46"/>
      <x v="3"/>
      <x v="4"/>
      <x/>
      <x/>
    </i>
    <i>
      <x v="289"/>
      <x v="53"/>
      <x v="1"/>
      <x/>
      <x/>
      <x/>
    </i>
    <i>
      <x v="290"/>
      <x v="41"/>
      <x/>
      <x v="3"/>
      <x v="4"/>
      <x/>
    </i>
    <i>
      <x v="291"/>
      <x v="3"/>
      <x v="4"/>
      <x v="2"/>
      <x v="3"/>
      <x/>
    </i>
    <i>
      <x v="296"/>
      <x v="28"/>
      <x v="3"/>
      <x v="7"/>
      <x v="4"/>
      <x/>
    </i>
    <i>
      <x v="298"/>
      <x v="42"/>
      <x v="2"/>
      <x v="2"/>
      <x v="1"/>
      <x/>
    </i>
    <i>
      <x v="299"/>
      <x v="39"/>
      <x v="2"/>
      <x v="3"/>
      <x v="1"/>
      <x/>
    </i>
  </rowItems>
  <colFields count="1">
    <field x="-2"/>
  </colFields>
  <colItems count="4">
    <i>
      <x/>
    </i>
    <i i="1">
      <x v="1"/>
    </i>
    <i i="2">
      <x v="2"/>
    </i>
    <i i="3">
      <x v="3"/>
    </i>
  </colItems>
  <dataFields count="4">
    <dataField name="Qty on hand" fld="9" baseField="0" baseItem="0" numFmtId="1"/>
    <dataField name=" Inventory Value" fld="10" baseField="0" baseItem="0" numFmtId="168"/>
    <dataField name="Revenue_30D" fld="17" baseField="0" baseItem="0" numFmtId="167"/>
    <dataField name="Profit_30D" fld="19" baseField="0" baseItem="0" numFmtId="167"/>
  </dataFields>
  <formats count="4129">
    <format dxfId="4158">
      <pivotArea field="0" type="button" dataOnly="0" labelOnly="1" outline="0" axis="axisRow" fieldPosition="0"/>
    </format>
    <format dxfId="4157">
      <pivotArea field="1" type="button" dataOnly="0" labelOnly="1" outline="0" axis="axisRow" fieldPosition="1"/>
    </format>
    <format dxfId="4156">
      <pivotArea field="2" type="button" dataOnly="0" labelOnly="1" outline="0" axis="axisRow" fieldPosition="2"/>
    </format>
    <format dxfId="4155">
      <pivotArea field="3" type="button" dataOnly="0" labelOnly="1" outline="0" axis="axisRow" fieldPosition="3"/>
    </format>
    <format dxfId="4154">
      <pivotArea field="4" type="button" dataOnly="0" labelOnly="1" outline="0" axis="axisRow" fieldPosition="4"/>
    </format>
    <format dxfId="4153">
      <pivotArea dataOnly="0" labelOnly="1" outline="0" fieldPosition="0">
        <references count="1">
          <reference field="4294967294" count="4">
            <x v="0"/>
            <x v="1"/>
            <x v="2"/>
            <x v="3"/>
          </reference>
        </references>
      </pivotArea>
    </format>
    <format dxfId="4152">
      <pivotArea field="0" type="button" dataOnly="0" labelOnly="1" outline="0" axis="axisRow" fieldPosition="0"/>
    </format>
    <format dxfId="4151">
      <pivotArea field="1" type="button" dataOnly="0" labelOnly="1" outline="0" axis="axisRow" fieldPosition="1"/>
    </format>
    <format dxfId="4150">
      <pivotArea field="2" type="button" dataOnly="0" labelOnly="1" outline="0" axis="axisRow" fieldPosition="2"/>
    </format>
    <format dxfId="4149">
      <pivotArea field="3" type="button" dataOnly="0" labelOnly="1" outline="0" axis="axisRow" fieldPosition="3"/>
    </format>
    <format dxfId="4148">
      <pivotArea field="4" type="button" dataOnly="0" labelOnly="1" outline="0" axis="axisRow" fieldPosition="4"/>
    </format>
    <format dxfId="4147">
      <pivotArea dataOnly="0" labelOnly="1" outline="0" fieldPosition="0">
        <references count="1">
          <reference field="4294967294" count="4">
            <x v="0"/>
            <x v="1"/>
            <x v="2"/>
            <x v="3"/>
          </reference>
        </references>
      </pivotArea>
    </format>
    <format dxfId="4146">
      <pivotArea field="16" type="button" dataOnly="0" labelOnly="1" outline="0" axis="axisRow" fieldPosition="5"/>
    </format>
    <format dxfId="4145">
      <pivotArea field="16" type="button" dataOnly="0" labelOnly="1" outline="0" axis="axisRow" fieldPosition="5"/>
    </format>
    <format dxfId="4144">
      <pivotArea outline="0" fieldPosition="0">
        <references count="1">
          <reference field="4294967294" count="1" selected="0">
            <x v="1"/>
          </reference>
        </references>
      </pivotArea>
    </format>
    <format dxfId="4143">
      <pivotArea outline="0" fieldPosition="0">
        <references count="1">
          <reference field="4294967294" count="2" selected="0">
            <x v="2"/>
            <x v="3"/>
          </reference>
        </references>
      </pivotArea>
    </format>
    <format dxfId="4142">
      <pivotArea type="all" dataOnly="0" outline="0" fieldPosition="0"/>
    </format>
    <format dxfId="4141">
      <pivotArea outline="0" collapsedLevelsAreSubtotals="1" fieldPosition="0"/>
    </format>
    <format dxfId="4140">
      <pivotArea field="0" type="button" dataOnly="0" labelOnly="1" outline="0" axis="axisRow" fieldPosition="0"/>
    </format>
    <format dxfId="4139">
      <pivotArea field="1" type="button" dataOnly="0" labelOnly="1" outline="0" axis="axisRow" fieldPosition="1"/>
    </format>
    <format dxfId="4138">
      <pivotArea field="2" type="button" dataOnly="0" labelOnly="1" outline="0" axis="axisRow" fieldPosition="2"/>
    </format>
    <format dxfId="4137">
      <pivotArea field="3" type="button" dataOnly="0" labelOnly="1" outline="0" axis="axisRow" fieldPosition="3"/>
    </format>
    <format dxfId="4136">
      <pivotArea field="4" type="button" dataOnly="0" labelOnly="1" outline="0" axis="axisRow" fieldPosition="4"/>
    </format>
    <format dxfId="4135">
      <pivotArea field="16" type="button" dataOnly="0" labelOnly="1" outline="0" axis="axisRow" fieldPosition="5"/>
    </format>
    <format dxfId="4134">
      <pivotArea dataOnly="0" labelOnly="1" outline="0"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4133">
      <pivotArea dataOnly="0" labelOnly="1" outline="0" fieldPosition="0">
        <references count="1">
          <reference field="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4132">
      <pivotArea dataOnly="0" labelOnly="1" outline="0" fieldPosition="0">
        <references count="1">
          <reference field="0"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4131">
      <pivotArea dataOnly="0" labelOnly="1" outline="0" fieldPosition="0">
        <references count="1">
          <reference field="0"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4130">
      <pivotArea dataOnly="0" labelOnly="1" outline="0" fieldPosition="0">
        <references count="1">
          <reference field="0"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4129">
      <pivotArea dataOnly="0" labelOnly="1" outline="0" fieldPosition="0">
        <references count="1">
          <reference field="0"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4128">
      <pivotArea dataOnly="0" labelOnly="1" outline="0" fieldPosition="0">
        <references count="2">
          <reference field="0" count="1" selected="0">
            <x v="0"/>
          </reference>
          <reference field="1" count="1">
            <x v="0"/>
          </reference>
        </references>
      </pivotArea>
    </format>
    <format dxfId="4127">
      <pivotArea dataOnly="0" labelOnly="1" outline="0" fieldPosition="0">
        <references count="2">
          <reference field="0" count="1" selected="0">
            <x v="1"/>
          </reference>
          <reference field="1" count="1">
            <x v="58"/>
          </reference>
        </references>
      </pivotArea>
    </format>
    <format dxfId="4126">
      <pivotArea dataOnly="0" labelOnly="1" outline="0" fieldPosition="0">
        <references count="2">
          <reference field="0" count="1" selected="0">
            <x v="2"/>
          </reference>
          <reference field="1" count="1">
            <x v="35"/>
          </reference>
        </references>
      </pivotArea>
    </format>
    <format dxfId="4125">
      <pivotArea dataOnly="0" labelOnly="1" outline="0" fieldPosition="0">
        <references count="2">
          <reference field="0" count="1" selected="0">
            <x v="3"/>
          </reference>
          <reference field="1" count="1">
            <x v="33"/>
          </reference>
        </references>
      </pivotArea>
    </format>
    <format dxfId="4124">
      <pivotArea dataOnly="0" labelOnly="1" outline="0" fieldPosition="0">
        <references count="2">
          <reference field="0" count="1" selected="0">
            <x v="4"/>
          </reference>
          <reference field="1" count="1">
            <x v="8"/>
          </reference>
        </references>
      </pivotArea>
    </format>
    <format dxfId="4123">
      <pivotArea dataOnly="0" labelOnly="1" outline="0" fieldPosition="0">
        <references count="2">
          <reference field="0" count="1" selected="0">
            <x v="5"/>
          </reference>
          <reference field="1" count="1">
            <x v="36"/>
          </reference>
        </references>
      </pivotArea>
    </format>
    <format dxfId="4122">
      <pivotArea dataOnly="0" labelOnly="1" outline="0" fieldPosition="0">
        <references count="2">
          <reference field="0" count="1" selected="0">
            <x v="6"/>
          </reference>
          <reference field="1" count="1">
            <x v="23"/>
          </reference>
        </references>
      </pivotArea>
    </format>
    <format dxfId="4121">
      <pivotArea dataOnly="0" labelOnly="1" outline="0" fieldPosition="0">
        <references count="2">
          <reference field="0" count="1" selected="0">
            <x v="7"/>
          </reference>
          <reference field="1" count="1">
            <x v="16"/>
          </reference>
        </references>
      </pivotArea>
    </format>
    <format dxfId="4120">
      <pivotArea dataOnly="0" labelOnly="1" outline="0" fieldPosition="0">
        <references count="2">
          <reference field="0" count="1" selected="0">
            <x v="8"/>
          </reference>
          <reference field="1" count="1">
            <x v="9"/>
          </reference>
        </references>
      </pivotArea>
    </format>
    <format dxfId="4119">
      <pivotArea dataOnly="0" labelOnly="1" outline="0" fieldPosition="0">
        <references count="2">
          <reference field="0" count="1" selected="0">
            <x v="9"/>
          </reference>
          <reference field="1" count="1">
            <x v="50"/>
          </reference>
        </references>
      </pivotArea>
    </format>
    <format dxfId="4118">
      <pivotArea dataOnly="0" labelOnly="1" outline="0" fieldPosition="0">
        <references count="2">
          <reference field="0" count="1" selected="0">
            <x v="10"/>
          </reference>
          <reference field="1" count="1">
            <x v="14"/>
          </reference>
        </references>
      </pivotArea>
    </format>
    <format dxfId="4117">
      <pivotArea dataOnly="0" labelOnly="1" outline="0" fieldPosition="0">
        <references count="2">
          <reference field="0" count="1" selected="0">
            <x v="11"/>
          </reference>
          <reference field="1" count="1">
            <x v="27"/>
          </reference>
        </references>
      </pivotArea>
    </format>
    <format dxfId="4116">
      <pivotArea dataOnly="0" labelOnly="1" outline="0" fieldPosition="0">
        <references count="2">
          <reference field="0" count="1" selected="0">
            <x v="12"/>
          </reference>
          <reference field="1" count="1">
            <x v="28"/>
          </reference>
        </references>
      </pivotArea>
    </format>
    <format dxfId="4115">
      <pivotArea dataOnly="0" labelOnly="1" outline="0" fieldPosition="0">
        <references count="2">
          <reference field="0" count="1" selected="0">
            <x v="13"/>
          </reference>
          <reference field="1" count="1">
            <x v="37"/>
          </reference>
        </references>
      </pivotArea>
    </format>
    <format dxfId="4114">
      <pivotArea dataOnly="0" labelOnly="1" outline="0" fieldPosition="0">
        <references count="2">
          <reference field="0" count="1" selected="0">
            <x v="14"/>
          </reference>
          <reference field="1" count="1">
            <x v="15"/>
          </reference>
        </references>
      </pivotArea>
    </format>
    <format dxfId="4113">
      <pivotArea dataOnly="0" labelOnly="1" outline="0" fieldPosition="0">
        <references count="2">
          <reference field="0" count="1" selected="0">
            <x v="15"/>
          </reference>
          <reference field="1" count="1">
            <x v="9"/>
          </reference>
        </references>
      </pivotArea>
    </format>
    <format dxfId="4112">
      <pivotArea dataOnly="0" labelOnly="1" outline="0" fieldPosition="0">
        <references count="2">
          <reference field="0" count="1" selected="0">
            <x v="16"/>
          </reference>
          <reference field="1" count="1">
            <x v="3"/>
          </reference>
        </references>
      </pivotArea>
    </format>
    <format dxfId="4111">
      <pivotArea dataOnly="0" labelOnly="1" outline="0" fieldPosition="0">
        <references count="2">
          <reference field="0" count="1" selected="0">
            <x v="17"/>
          </reference>
          <reference field="1" count="1">
            <x v="58"/>
          </reference>
        </references>
      </pivotArea>
    </format>
    <format dxfId="4110">
      <pivotArea dataOnly="0" labelOnly="1" outline="0" fieldPosition="0">
        <references count="2">
          <reference field="0" count="1" selected="0">
            <x v="18"/>
          </reference>
          <reference field="1" count="1">
            <x v="40"/>
          </reference>
        </references>
      </pivotArea>
    </format>
    <format dxfId="4109">
      <pivotArea dataOnly="0" labelOnly="1" outline="0" fieldPosition="0">
        <references count="2">
          <reference field="0" count="1" selected="0">
            <x v="19"/>
          </reference>
          <reference field="1" count="1">
            <x v="12"/>
          </reference>
        </references>
      </pivotArea>
    </format>
    <format dxfId="4108">
      <pivotArea dataOnly="0" labelOnly="1" outline="0" fieldPosition="0">
        <references count="2">
          <reference field="0" count="1" selected="0">
            <x v="20"/>
          </reference>
          <reference field="1" count="1">
            <x v="17"/>
          </reference>
        </references>
      </pivotArea>
    </format>
    <format dxfId="4107">
      <pivotArea dataOnly="0" labelOnly="1" outline="0" fieldPosition="0">
        <references count="2">
          <reference field="0" count="1" selected="0">
            <x v="21"/>
          </reference>
          <reference field="1" count="1">
            <x v="4"/>
          </reference>
        </references>
      </pivotArea>
    </format>
    <format dxfId="4106">
      <pivotArea dataOnly="0" labelOnly="1" outline="0" fieldPosition="0">
        <references count="2">
          <reference field="0" count="1" selected="0">
            <x v="22"/>
          </reference>
          <reference field="1" count="1">
            <x v="49"/>
          </reference>
        </references>
      </pivotArea>
    </format>
    <format dxfId="4105">
      <pivotArea dataOnly="0" labelOnly="1" outline="0" fieldPosition="0">
        <references count="2">
          <reference field="0" count="1" selected="0">
            <x v="23"/>
          </reference>
          <reference field="1" count="1">
            <x v="31"/>
          </reference>
        </references>
      </pivotArea>
    </format>
    <format dxfId="4104">
      <pivotArea dataOnly="0" labelOnly="1" outline="0" fieldPosition="0">
        <references count="2">
          <reference field="0" count="1" selected="0">
            <x v="24"/>
          </reference>
          <reference field="1" count="1">
            <x v="21"/>
          </reference>
        </references>
      </pivotArea>
    </format>
    <format dxfId="4103">
      <pivotArea dataOnly="0" labelOnly="1" outline="0" fieldPosition="0">
        <references count="2">
          <reference field="0" count="1" selected="0">
            <x v="25"/>
          </reference>
          <reference field="1" count="1">
            <x v="23"/>
          </reference>
        </references>
      </pivotArea>
    </format>
    <format dxfId="4102">
      <pivotArea dataOnly="0" labelOnly="1" outline="0" fieldPosition="0">
        <references count="2">
          <reference field="0" count="1" selected="0">
            <x v="26"/>
          </reference>
          <reference field="1" count="1">
            <x v="9"/>
          </reference>
        </references>
      </pivotArea>
    </format>
    <format dxfId="4101">
      <pivotArea dataOnly="0" labelOnly="1" outline="0" fieldPosition="0">
        <references count="2">
          <reference field="0" count="1" selected="0">
            <x v="27"/>
          </reference>
          <reference field="1" count="1">
            <x v="22"/>
          </reference>
        </references>
      </pivotArea>
    </format>
    <format dxfId="4100">
      <pivotArea dataOnly="0" labelOnly="1" outline="0" fieldPosition="0">
        <references count="2">
          <reference field="0" count="1" selected="0">
            <x v="28"/>
          </reference>
          <reference field="1" count="1">
            <x v="19"/>
          </reference>
        </references>
      </pivotArea>
    </format>
    <format dxfId="4099">
      <pivotArea dataOnly="0" labelOnly="1" outline="0" fieldPosition="0">
        <references count="2">
          <reference field="0" count="1" selected="0">
            <x v="29"/>
          </reference>
          <reference field="1" count="1">
            <x v="4"/>
          </reference>
        </references>
      </pivotArea>
    </format>
    <format dxfId="4098">
      <pivotArea dataOnly="0" labelOnly="1" outline="0" fieldPosition="0">
        <references count="2">
          <reference field="0" count="1" selected="0">
            <x v="30"/>
          </reference>
          <reference field="1" count="1">
            <x v="23"/>
          </reference>
        </references>
      </pivotArea>
    </format>
    <format dxfId="4097">
      <pivotArea dataOnly="0" labelOnly="1" outline="0" fieldPosition="0">
        <references count="2">
          <reference field="0" count="1" selected="0">
            <x v="31"/>
          </reference>
          <reference field="1" count="1">
            <x v="34"/>
          </reference>
        </references>
      </pivotArea>
    </format>
    <format dxfId="4096">
      <pivotArea dataOnly="0" labelOnly="1" outline="0" fieldPosition="0">
        <references count="2">
          <reference field="0" count="1" selected="0">
            <x v="32"/>
          </reference>
          <reference field="1" count="1">
            <x v="53"/>
          </reference>
        </references>
      </pivotArea>
    </format>
    <format dxfId="4095">
      <pivotArea dataOnly="0" labelOnly="1" outline="0" fieldPosition="0">
        <references count="2">
          <reference field="0" count="1" selected="0">
            <x v="33"/>
          </reference>
          <reference field="1" count="1">
            <x v="45"/>
          </reference>
        </references>
      </pivotArea>
    </format>
    <format dxfId="4094">
      <pivotArea dataOnly="0" labelOnly="1" outline="0" fieldPosition="0">
        <references count="2">
          <reference field="0" count="1" selected="0">
            <x v="34"/>
          </reference>
          <reference field="1" count="1">
            <x v="49"/>
          </reference>
        </references>
      </pivotArea>
    </format>
    <format dxfId="4093">
      <pivotArea dataOnly="0" labelOnly="1" outline="0" fieldPosition="0">
        <references count="2">
          <reference field="0" count="1" selected="0">
            <x v="35"/>
          </reference>
          <reference field="1" count="1">
            <x v="0"/>
          </reference>
        </references>
      </pivotArea>
    </format>
    <format dxfId="4092">
      <pivotArea dataOnly="0" labelOnly="1" outline="0" fieldPosition="0">
        <references count="2">
          <reference field="0" count="1" selected="0">
            <x v="36"/>
          </reference>
          <reference field="1" count="1">
            <x v="6"/>
          </reference>
        </references>
      </pivotArea>
    </format>
    <format dxfId="4091">
      <pivotArea dataOnly="0" labelOnly="1" outline="0" fieldPosition="0">
        <references count="2">
          <reference field="0" count="1" selected="0">
            <x v="37"/>
          </reference>
          <reference field="1" count="1">
            <x v="4"/>
          </reference>
        </references>
      </pivotArea>
    </format>
    <format dxfId="4090">
      <pivotArea dataOnly="0" labelOnly="1" outline="0" fieldPosition="0">
        <references count="2">
          <reference field="0" count="1" selected="0">
            <x v="38"/>
          </reference>
          <reference field="1" count="1">
            <x v="35"/>
          </reference>
        </references>
      </pivotArea>
    </format>
    <format dxfId="4089">
      <pivotArea dataOnly="0" labelOnly="1" outline="0" fieldPosition="0">
        <references count="2">
          <reference field="0" count="1" selected="0">
            <x v="39"/>
          </reference>
          <reference field="1" count="1">
            <x v="41"/>
          </reference>
        </references>
      </pivotArea>
    </format>
    <format dxfId="4088">
      <pivotArea dataOnly="0" labelOnly="1" outline="0" fieldPosition="0">
        <references count="2">
          <reference field="0" count="1" selected="0">
            <x v="40"/>
          </reference>
          <reference field="1" count="1">
            <x v="47"/>
          </reference>
        </references>
      </pivotArea>
    </format>
    <format dxfId="4087">
      <pivotArea dataOnly="0" labelOnly="1" outline="0" fieldPosition="0">
        <references count="2">
          <reference field="0" count="1" selected="0">
            <x v="41"/>
          </reference>
          <reference field="1" count="1">
            <x v="22"/>
          </reference>
        </references>
      </pivotArea>
    </format>
    <format dxfId="4086">
      <pivotArea dataOnly="0" labelOnly="1" outline="0" fieldPosition="0">
        <references count="2">
          <reference field="0" count="1" selected="0">
            <x v="42"/>
          </reference>
          <reference field="1" count="1">
            <x v="12"/>
          </reference>
        </references>
      </pivotArea>
    </format>
    <format dxfId="4085">
      <pivotArea dataOnly="0" labelOnly="1" outline="0" fieldPosition="0">
        <references count="2">
          <reference field="0" count="1" selected="0">
            <x v="43"/>
          </reference>
          <reference field="1" count="1">
            <x v="30"/>
          </reference>
        </references>
      </pivotArea>
    </format>
    <format dxfId="4084">
      <pivotArea dataOnly="0" labelOnly="1" outline="0" fieldPosition="0">
        <references count="2">
          <reference field="0" count="1" selected="0">
            <x v="44"/>
          </reference>
          <reference field="1" count="1">
            <x v="14"/>
          </reference>
        </references>
      </pivotArea>
    </format>
    <format dxfId="4083">
      <pivotArea dataOnly="0" labelOnly="1" outline="0" fieldPosition="0">
        <references count="2">
          <reference field="0" count="1" selected="0">
            <x v="45"/>
          </reference>
          <reference field="1" count="1">
            <x v="50"/>
          </reference>
        </references>
      </pivotArea>
    </format>
    <format dxfId="4082">
      <pivotArea dataOnly="0" labelOnly="1" outline="0" fieldPosition="0">
        <references count="2">
          <reference field="0" count="1" selected="0">
            <x v="46"/>
          </reference>
          <reference field="1" count="1">
            <x v="42"/>
          </reference>
        </references>
      </pivotArea>
    </format>
    <format dxfId="4081">
      <pivotArea dataOnly="0" labelOnly="1" outline="0" fieldPosition="0">
        <references count="2">
          <reference field="0" count="1" selected="0">
            <x v="47"/>
          </reference>
          <reference field="1" count="1">
            <x v="9"/>
          </reference>
        </references>
      </pivotArea>
    </format>
    <format dxfId="4080">
      <pivotArea dataOnly="0" labelOnly="1" outline="0" fieldPosition="0">
        <references count="2">
          <reference field="0" count="1" selected="0">
            <x v="48"/>
          </reference>
          <reference field="1" count="1">
            <x v="31"/>
          </reference>
        </references>
      </pivotArea>
    </format>
    <format dxfId="4079">
      <pivotArea dataOnly="0" labelOnly="1" outline="0" fieldPosition="0">
        <references count="2">
          <reference field="0" count="1" selected="0">
            <x v="49"/>
          </reference>
          <reference field="1" count="1">
            <x v="14"/>
          </reference>
        </references>
      </pivotArea>
    </format>
    <format dxfId="4078">
      <pivotArea dataOnly="0" labelOnly="1" outline="0" fieldPosition="0">
        <references count="2">
          <reference field="0" count="1" selected="0">
            <x v="50"/>
          </reference>
          <reference field="1" count="1">
            <x v="23"/>
          </reference>
        </references>
      </pivotArea>
    </format>
    <format dxfId="4077">
      <pivotArea dataOnly="0" labelOnly="1" outline="0" fieldPosition="0">
        <references count="2">
          <reference field="0" count="1" selected="0">
            <x v="51"/>
          </reference>
          <reference field="1" count="1">
            <x v="17"/>
          </reference>
        </references>
      </pivotArea>
    </format>
    <format dxfId="4076">
      <pivotArea dataOnly="0" labelOnly="1" outline="0" fieldPosition="0">
        <references count="2">
          <reference field="0" count="1" selected="0">
            <x v="52"/>
          </reference>
          <reference field="1" count="1">
            <x v="16"/>
          </reference>
        </references>
      </pivotArea>
    </format>
    <format dxfId="4075">
      <pivotArea dataOnly="0" labelOnly="1" outline="0" fieldPosition="0">
        <references count="2">
          <reference field="0" count="1" selected="0">
            <x v="53"/>
          </reference>
          <reference field="1" count="1">
            <x v="10"/>
          </reference>
        </references>
      </pivotArea>
    </format>
    <format dxfId="4074">
      <pivotArea dataOnly="0" labelOnly="1" outline="0" fieldPosition="0">
        <references count="2">
          <reference field="0" count="1" selected="0">
            <x v="54"/>
          </reference>
          <reference field="1" count="1">
            <x v="40"/>
          </reference>
        </references>
      </pivotArea>
    </format>
    <format dxfId="4073">
      <pivotArea dataOnly="0" labelOnly="1" outline="0" fieldPosition="0">
        <references count="2">
          <reference field="0" count="1" selected="0">
            <x v="55"/>
          </reference>
          <reference field="1" count="1">
            <x v="13"/>
          </reference>
        </references>
      </pivotArea>
    </format>
    <format dxfId="4072">
      <pivotArea dataOnly="0" labelOnly="1" outline="0" fieldPosition="0">
        <references count="2">
          <reference field="0" count="1" selected="0">
            <x v="56"/>
          </reference>
          <reference field="1" count="1">
            <x v="37"/>
          </reference>
        </references>
      </pivotArea>
    </format>
    <format dxfId="4071">
      <pivotArea dataOnly="0" labelOnly="1" outline="0" fieldPosition="0">
        <references count="2">
          <reference field="0" count="1" selected="0">
            <x v="57"/>
          </reference>
          <reference field="1" count="1">
            <x v="48"/>
          </reference>
        </references>
      </pivotArea>
    </format>
    <format dxfId="4070">
      <pivotArea dataOnly="0" labelOnly="1" outline="0" fieldPosition="0">
        <references count="2">
          <reference field="0" count="1" selected="0">
            <x v="58"/>
          </reference>
          <reference field="1" count="1">
            <x v="44"/>
          </reference>
        </references>
      </pivotArea>
    </format>
    <format dxfId="4069">
      <pivotArea dataOnly="0" labelOnly="1" outline="0" fieldPosition="0">
        <references count="2">
          <reference field="0" count="1" selected="0">
            <x v="59"/>
          </reference>
          <reference field="1" count="1">
            <x v="24"/>
          </reference>
        </references>
      </pivotArea>
    </format>
    <format dxfId="4068">
      <pivotArea dataOnly="0" labelOnly="1" outline="0" fieldPosition="0">
        <references count="2">
          <reference field="0" count="1" selected="0">
            <x v="60"/>
          </reference>
          <reference field="1" count="1">
            <x v="34"/>
          </reference>
        </references>
      </pivotArea>
    </format>
    <format dxfId="4067">
      <pivotArea dataOnly="0" labelOnly="1" outline="0" fieldPosition="0">
        <references count="2">
          <reference field="0" count="1" selected="0">
            <x v="61"/>
          </reference>
          <reference field="1" count="1">
            <x v="59"/>
          </reference>
        </references>
      </pivotArea>
    </format>
    <format dxfId="4066">
      <pivotArea dataOnly="0" labelOnly="1" outline="0" fieldPosition="0">
        <references count="2">
          <reference field="0" count="1" selected="0">
            <x v="62"/>
          </reference>
          <reference field="1" count="1">
            <x v="10"/>
          </reference>
        </references>
      </pivotArea>
    </format>
    <format dxfId="4065">
      <pivotArea dataOnly="0" labelOnly="1" outline="0" fieldPosition="0">
        <references count="2">
          <reference field="0" count="1" selected="0">
            <x v="63"/>
          </reference>
          <reference field="1" count="1">
            <x v="16"/>
          </reference>
        </references>
      </pivotArea>
    </format>
    <format dxfId="4064">
      <pivotArea dataOnly="0" labelOnly="1" outline="0" fieldPosition="0">
        <references count="2">
          <reference field="0" count="1" selected="0">
            <x v="64"/>
          </reference>
          <reference field="1" count="1">
            <x v="4"/>
          </reference>
        </references>
      </pivotArea>
    </format>
    <format dxfId="4063">
      <pivotArea dataOnly="0" labelOnly="1" outline="0" fieldPosition="0">
        <references count="2">
          <reference field="0" count="1" selected="0">
            <x v="65"/>
          </reference>
          <reference field="1" count="1">
            <x v="9"/>
          </reference>
        </references>
      </pivotArea>
    </format>
    <format dxfId="4062">
      <pivotArea dataOnly="0" labelOnly="1" outline="0" fieldPosition="0">
        <references count="2">
          <reference field="0" count="1" selected="0">
            <x v="66"/>
          </reference>
          <reference field="1" count="1">
            <x v="43"/>
          </reference>
        </references>
      </pivotArea>
    </format>
    <format dxfId="4061">
      <pivotArea dataOnly="0" labelOnly="1" outline="0" fieldPosition="0">
        <references count="2">
          <reference field="0" count="1" selected="0">
            <x v="67"/>
          </reference>
          <reference field="1" count="1">
            <x v="44"/>
          </reference>
        </references>
      </pivotArea>
    </format>
    <format dxfId="4060">
      <pivotArea dataOnly="0" labelOnly="1" outline="0" fieldPosition="0">
        <references count="2">
          <reference field="0" count="1" selected="0">
            <x v="68"/>
          </reference>
          <reference field="1" count="1">
            <x v="1"/>
          </reference>
        </references>
      </pivotArea>
    </format>
    <format dxfId="4059">
      <pivotArea dataOnly="0" labelOnly="1" outline="0" fieldPosition="0">
        <references count="2">
          <reference field="0" count="1" selected="0">
            <x v="69"/>
          </reference>
          <reference field="1" count="1">
            <x v="20"/>
          </reference>
        </references>
      </pivotArea>
    </format>
    <format dxfId="4058">
      <pivotArea dataOnly="0" labelOnly="1" outline="0" fieldPosition="0">
        <references count="2">
          <reference field="0" count="1" selected="0">
            <x v="70"/>
          </reference>
          <reference field="1" count="1">
            <x v="1"/>
          </reference>
        </references>
      </pivotArea>
    </format>
    <format dxfId="4057">
      <pivotArea dataOnly="0" labelOnly="1" outline="0" fieldPosition="0">
        <references count="2">
          <reference field="0" count="1" selected="0">
            <x v="71"/>
          </reference>
          <reference field="1" count="1">
            <x v="30"/>
          </reference>
        </references>
      </pivotArea>
    </format>
    <format dxfId="4056">
      <pivotArea dataOnly="0" labelOnly="1" outline="0" fieldPosition="0">
        <references count="2">
          <reference field="0" count="1" selected="0">
            <x v="72"/>
          </reference>
          <reference field="1" count="1">
            <x v="33"/>
          </reference>
        </references>
      </pivotArea>
    </format>
    <format dxfId="4055">
      <pivotArea dataOnly="0" labelOnly="1" outline="0" fieldPosition="0">
        <references count="2">
          <reference field="0" count="1" selected="0">
            <x v="73"/>
          </reference>
          <reference field="1" count="1">
            <x v="44"/>
          </reference>
        </references>
      </pivotArea>
    </format>
    <format dxfId="4054">
      <pivotArea dataOnly="0" labelOnly="1" outline="0" fieldPosition="0">
        <references count="2">
          <reference field="0" count="1" selected="0">
            <x v="74"/>
          </reference>
          <reference field="1" count="1">
            <x v="59"/>
          </reference>
        </references>
      </pivotArea>
    </format>
    <format dxfId="4053">
      <pivotArea dataOnly="0" labelOnly="1" outline="0" fieldPosition="0">
        <references count="2">
          <reference field="0" count="1" selected="0">
            <x v="75"/>
          </reference>
          <reference field="1" count="1">
            <x v="5"/>
          </reference>
        </references>
      </pivotArea>
    </format>
    <format dxfId="4052">
      <pivotArea dataOnly="0" labelOnly="1" outline="0" fieldPosition="0">
        <references count="2">
          <reference field="0" count="1" selected="0">
            <x v="76"/>
          </reference>
          <reference field="1" count="1">
            <x v="55"/>
          </reference>
        </references>
      </pivotArea>
    </format>
    <format dxfId="4051">
      <pivotArea dataOnly="0" labelOnly="1" outline="0" fieldPosition="0">
        <references count="2">
          <reference field="0" count="1" selected="0">
            <x v="77"/>
          </reference>
          <reference field="1" count="1">
            <x v="59"/>
          </reference>
        </references>
      </pivotArea>
    </format>
    <format dxfId="4050">
      <pivotArea dataOnly="0" labelOnly="1" outline="0" fieldPosition="0">
        <references count="2">
          <reference field="0" count="1" selected="0">
            <x v="78"/>
          </reference>
          <reference field="1" count="1">
            <x v="4"/>
          </reference>
        </references>
      </pivotArea>
    </format>
    <format dxfId="4049">
      <pivotArea dataOnly="0" labelOnly="1" outline="0" fieldPosition="0">
        <references count="2">
          <reference field="0" count="1" selected="0">
            <x v="79"/>
          </reference>
          <reference field="1" count="1">
            <x v="9"/>
          </reference>
        </references>
      </pivotArea>
    </format>
    <format dxfId="4048">
      <pivotArea dataOnly="0" labelOnly="1" outline="0" fieldPosition="0">
        <references count="2">
          <reference field="0" count="1" selected="0">
            <x v="80"/>
          </reference>
          <reference field="1" count="1">
            <x v="48"/>
          </reference>
        </references>
      </pivotArea>
    </format>
    <format dxfId="4047">
      <pivotArea dataOnly="0" labelOnly="1" outline="0" fieldPosition="0">
        <references count="2">
          <reference field="0" count="1" selected="0">
            <x v="81"/>
          </reference>
          <reference field="1" count="1">
            <x v="54"/>
          </reference>
        </references>
      </pivotArea>
    </format>
    <format dxfId="4046">
      <pivotArea dataOnly="0" labelOnly="1" outline="0" fieldPosition="0">
        <references count="2">
          <reference field="0" count="1" selected="0">
            <x v="82"/>
          </reference>
          <reference field="1" count="1">
            <x v="52"/>
          </reference>
        </references>
      </pivotArea>
    </format>
    <format dxfId="4045">
      <pivotArea dataOnly="0" labelOnly="1" outline="0" fieldPosition="0">
        <references count="2">
          <reference field="0" count="1" selected="0">
            <x v="83"/>
          </reference>
          <reference field="1" count="1">
            <x v="46"/>
          </reference>
        </references>
      </pivotArea>
    </format>
    <format dxfId="4044">
      <pivotArea dataOnly="0" labelOnly="1" outline="0" fieldPosition="0">
        <references count="2">
          <reference field="0" count="1" selected="0">
            <x v="84"/>
          </reference>
          <reference field="1" count="1">
            <x v="39"/>
          </reference>
        </references>
      </pivotArea>
    </format>
    <format dxfId="4043">
      <pivotArea dataOnly="0" labelOnly="1" outline="0" fieldPosition="0">
        <references count="2">
          <reference field="0" count="1" selected="0">
            <x v="85"/>
          </reference>
          <reference field="1" count="1">
            <x v="10"/>
          </reference>
        </references>
      </pivotArea>
    </format>
    <format dxfId="4042">
      <pivotArea dataOnly="0" labelOnly="1" outline="0" fieldPosition="0">
        <references count="2">
          <reference field="0" count="1" selected="0">
            <x v="86"/>
          </reference>
          <reference field="1" count="1">
            <x v="29"/>
          </reference>
        </references>
      </pivotArea>
    </format>
    <format dxfId="4041">
      <pivotArea dataOnly="0" labelOnly="1" outline="0" fieldPosition="0">
        <references count="2">
          <reference field="0" count="1" selected="0">
            <x v="87"/>
          </reference>
          <reference field="1" count="1">
            <x v="4"/>
          </reference>
        </references>
      </pivotArea>
    </format>
    <format dxfId="4040">
      <pivotArea dataOnly="0" labelOnly="1" outline="0" fieldPosition="0">
        <references count="2">
          <reference field="0" count="1" selected="0">
            <x v="88"/>
          </reference>
          <reference field="1" count="1">
            <x v="2"/>
          </reference>
        </references>
      </pivotArea>
    </format>
    <format dxfId="4039">
      <pivotArea dataOnly="0" labelOnly="1" outline="0" fieldPosition="0">
        <references count="2">
          <reference field="0" count="1" selected="0">
            <x v="89"/>
          </reference>
          <reference field="1" count="1">
            <x v="52"/>
          </reference>
        </references>
      </pivotArea>
    </format>
    <format dxfId="4038">
      <pivotArea dataOnly="0" labelOnly="1" outline="0" fieldPosition="0">
        <references count="2">
          <reference field="0" count="1" selected="0">
            <x v="90"/>
          </reference>
          <reference field="1" count="1">
            <x v="37"/>
          </reference>
        </references>
      </pivotArea>
    </format>
    <format dxfId="4037">
      <pivotArea dataOnly="0" labelOnly="1" outline="0" fieldPosition="0">
        <references count="2">
          <reference field="0" count="1" selected="0">
            <x v="91"/>
          </reference>
          <reference field="1" count="1">
            <x v="51"/>
          </reference>
        </references>
      </pivotArea>
    </format>
    <format dxfId="4036">
      <pivotArea dataOnly="0" labelOnly="1" outline="0" fieldPosition="0">
        <references count="2">
          <reference field="0" count="1" selected="0">
            <x v="92"/>
          </reference>
          <reference field="1" count="1">
            <x v="5"/>
          </reference>
        </references>
      </pivotArea>
    </format>
    <format dxfId="4035">
      <pivotArea dataOnly="0" labelOnly="1" outline="0" fieldPosition="0">
        <references count="2">
          <reference field="0" count="1" selected="0">
            <x v="94"/>
          </reference>
          <reference field="1" count="1">
            <x v="42"/>
          </reference>
        </references>
      </pivotArea>
    </format>
    <format dxfId="4034">
      <pivotArea dataOnly="0" labelOnly="1" outline="0" fieldPosition="0">
        <references count="2">
          <reference field="0" count="1" selected="0">
            <x v="95"/>
          </reference>
          <reference field="1" count="1">
            <x v="51"/>
          </reference>
        </references>
      </pivotArea>
    </format>
    <format dxfId="4033">
      <pivotArea dataOnly="0" labelOnly="1" outline="0" fieldPosition="0">
        <references count="2">
          <reference field="0" count="1" selected="0">
            <x v="96"/>
          </reference>
          <reference field="1" count="1">
            <x v="31"/>
          </reference>
        </references>
      </pivotArea>
    </format>
    <format dxfId="4032">
      <pivotArea dataOnly="0" labelOnly="1" outline="0" fieldPosition="0">
        <references count="2">
          <reference field="0" count="1" selected="0">
            <x v="97"/>
          </reference>
          <reference field="1" count="1">
            <x v="38"/>
          </reference>
        </references>
      </pivotArea>
    </format>
    <format dxfId="4031">
      <pivotArea dataOnly="0" labelOnly="1" outline="0" fieldPosition="0">
        <references count="2">
          <reference field="0" count="1" selected="0">
            <x v="98"/>
          </reference>
          <reference field="1" count="1">
            <x v="1"/>
          </reference>
        </references>
      </pivotArea>
    </format>
    <format dxfId="4030">
      <pivotArea dataOnly="0" labelOnly="1" outline="0" fieldPosition="0">
        <references count="2">
          <reference field="0" count="1" selected="0">
            <x v="99"/>
          </reference>
          <reference field="1" count="1">
            <x v="27"/>
          </reference>
        </references>
      </pivotArea>
    </format>
    <format dxfId="4029">
      <pivotArea dataOnly="0" labelOnly="1" outline="0" fieldPosition="0">
        <references count="2">
          <reference field="0" count="1" selected="0">
            <x v="100"/>
          </reference>
          <reference field="1" count="1">
            <x v="5"/>
          </reference>
        </references>
      </pivotArea>
    </format>
    <format dxfId="4028">
      <pivotArea dataOnly="0" labelOnly="1" outline="0" fieldPosition="0">
        <references count="2">
          <reference field="0" count="1" selected="0">
            <x v="101"/>
          </reference>
          <reference field="1" count="1">
            <x v="49"/>
          </reference>
        </references>
      </pivotArea>
    </format>
    <format dxfId="4027">
      <pivotArea dataOnly="0" labelOnly="1" outline="0" fieldPosition="0">
        <references count="2">
          <reference field="0" count="1" selected="0">
            <x v="102"/>
          </reference>
          <reference field="1" count="1">
            <x v="35"/>
          </reference>
        </references>
      </pivotArea>
    </format>
    <format dxfId="4026">
      <pivotArea dataOnly="0" labelOnly="1" outline="0" fieldPosition="0">
        <references count="2">
          <reference field="0" count="1" selected="0">
            <x v="103"/>
          </reference>
          <reference field="1" count="1">
            <x v="42"/>
          </reference>
        </references>
      </pivotArea>
    </format>
    <format dxfId="4025">
      <pivotArea dataOnly="0" labelOnly="1" outline="0" fieldPosition="0">
        <references count="2">
          <reference field="0" count="1" selected="0">
            <x v="104"/>
          </reference>
          <reference field="1" count="1">
            <x v="25"/>
          </reference>
        </references>
      </pivotArea>
    </format>
    <format dxfId="4024">
      <pivotArea dataOnly="0" labelOnly="1" outline="0" fieldPosition="0">
        <references count="2">
          <reference field="0" count="1" selected="0">
            <x v="105"/>
          </reference>
          <reference field="1" count="1">
            <x v="26"/>
          </reference>
        </references>
      </pivotArea>
    </format>
    <format dxfId="4023">
      <pivotArea dataOnly="0" labelOnly="1" outline="0" fieldPosition="0">
        <references count="2">
          <reference field="0" count="1" selected="0">
            <x v="106"/>
          </reference>
          <reference field="1" count="1">
            <x v="6"/>
          </reference>
        </references>
      </pivotArea>
    </format>
    <format dxfId="4022">
      <pivotArea dataOnly="0" labelOnly="1" outline="0" fieldPosition="0">
        <references count="2">
          <reference field="0" count="1" selected="0">
            <x v="107"/>
          </reference>
          <reference field="1" count="1">
            <x v="0"/>
          </reference>
        </references>
      </pivotArea>
    </format>
    <format dxfId="4021">
      <pivotArea dataOnly="0" labelOnly="1" outline="0" fieldPosition="0">
        <references count="2">
          <reference field="0" count="1" selected="0">
            <x v="108"/>
          </reference>
          <reference field="1" count="1">
            <x v="44"/>
          </reference>
        </references>
      </pivotArea>
    </format>
    <format dxfId="4020">
      <pivotArea dataOnly="0" labelOnly="1" outline="0" fieldPosition="0">
        <references count="2">
          <reference field="0" count="1" selected="0">
            <x v="109"/>
          </reference>
          <reference field="1" count="1">
            <x v="8"/>
          </reference>
        </references>
      </pivotArea>
    </format>
    <format dxfId="4019">
      <pivotArea dataOnly="0" labelOnly="1" outline="0" fieldPosition="0">
        <references count="2">
          <reference field="0" count="1" selected="0">
            <x v="110"/>
          </reference>
          <reference field="1" count="1">
            <x v="44"/>
          </reference>
        </references>
      </pivotArea>
    </format>
    <format dxfId="4018">
      <pivotArea dataOnly="0" labelOnly="1" outline="0" fieldPosition="0">
        <references count="2">
          <reference field="0" count="1" selected="0">
            <x v="111"/>
          </reference>
          <reference field="1" count="1">
            <x v="49"/>
          </reference>
        </references>
      </pivotArea>
    </format>
    <format dxfId="4017">
      <pivotArea dataOnly="0" labelOnly="1" outline="0" fieldPosition="0">
        <references count="2">
          <reference field="0" count="1" selected="0">
            <x v="112"/>
          </reference>
          <reference field="1" count="1">
            <x v="57"/>
          </reference>
        </references>
      </pivotArea>
    </format>
    <format dxfId="4016">
      <pivotArea dataOnly="0" labelOnly="1" outline="0" fieldPosition="0">
        <references count="2">
          <reference field="0" count="1" selected="0">
            <x v="113"/>
          </reference>
          <reference field="1" count="1">
            <x v="21"/>
          </reference>
        </references>
      </pivotArea>
    </format>
    <format dxfId="4015">
      <pivotArea dataOnly="0" labelOnly="1" outline="0" fieldPosition="0">
        <references count="2">
          <reference field="0" count="1" selected="0">
            <x v="114"/>
          </reference>
          <reference field="1" count="1">
            <x v="54"/>
          </reference>
        </references>
      </pivotArea>
    </format>
    <format dxfId="4014">
      <pivotArea dataOnly="0" labelOnly="1" outline="0" fieldPosition="0">
        <references count="2">
          <reference field="0" count="1" selected="0">
            <x v="115"/>
          </reference>
          <reference field="1" count="1">
            <x v="1"/>
          </reference>
        </references>
      </pivotArea>
    </format>
    <format dxfId="4013">
      <pivotArea dataOnly="0" labelOnly="1" outline="0" fieldPosition="0">
        <references count="2">
          <reference field="0" count="1" selected="0">
            <x v="116"/>
          </reference>
          <reference field="1" count="1">
            <x v="37"/>
          </reference>
        </references>
      </pivotArea>
    </format>
    <format dxfId="4012">
      <pivotArea dataOnly="0" labelOnly="1" outline="0" fieldPosition="0">
        <references count="2">
          <reference field="0" count="1" selected="0">
            <x v="117"/>
          </reference>
          <reference field="1" count="1">
            <x v="39"/>
          </reference>
        </references>
      </pivotArea>
    </format>
    <format dxfId="4011">
      <pivotArea dataOnly="0" labelOnly="1" outline="0" fieldPosition="0">
        <references count="2">
          <reference field="0" count="1" selected="0">
            <x v="118"/>
          </reference>
          <reference field="1" count="1">
            <x v="7"/>
          </reference>
        </references>
      </pivotArea>
    </format>
    <format dxfId="4010">
      <pivotArea dataOnly="0" labelOnly="1" outline="0" fieldPosition="0">
        <references count="2">
          <reference field="0" count="1" selected="0">
            <x v="119"/>
          </reference>
          <reference field="1" count="1">
            <x v="44"/>
          </reference>
        </references>
      </pivotArea>
    </format>
    <format dxfId="4009">
      <pivotArea dataOnly="0" labelOnly="1" outline="0" fieldPosition="0">
        <references count="2">
          <reference field="0" count="1" selected="0">
            <x v="120"/>
          </reference>
          <reference field="1" count="1">
            <x v="8"/>
          </reference>
        </references>
      </pivotArea>
    </format>
    <format dxfId="4008">
      <pivotArea dataOnly="0" labelOnly="1" outline="0" fieldPosition="0">
        <references count="2">
          <reference field="0" count="1" selected="0">
            <x v="121"/>
          </reference>
          <reference field="1" count="1">
            <x v="50"/>
          </reference>
        </references>
      </pivotArea>
    </format>
    <format dxfId="4007">
      <pivotArea dataOnly="0" labelOnly="1" outline="0" fieldPosition="0">
        <references count="2">
          <reference field="0" count="1" selected="0">
            <x v="122"/>
          </reference>
          <reference field="1" count="1">
            <x v="21"/>
          </reference>
        </references>
      </pivotArea>
    </format>
    <format dxfId="4006">
      <pivotArea dataOnly="0" labelOnly="1" outline="0" fieldPosition="0">
        <references count="2">
          <reference field="0" count="1" selected="0">
            <x v="123"/>
          </reference>
          <reference field="1" count="1">
            <x v="39"/>
          </reference>
        </references>
      </pivotArea>
    </format>
    <format dxfId="4005">
      <pivotArea dataOnly="0" labelOnly="1" outline="0" fieldPosition="0">
        <references count="2">
          <reference field="0" count="1" selected="0">
            <x v="124"/>
          </reference>
          <reference field="1" count="1">
            <x v="36"/>
          </reference>
        </references>
      </pivotArea>
    </format>
    <format dxfId="4004">
      <pivotArea dataOnly="0" labelOnly="1" outline="0" fieldPosition="0">
        <references count="2">
          <reference field="0" count="1" selected="0">
            <x v="125"/>
          </reference>
          <reference field="1" count="1">
            <x v="2"/>
          </reference>
        </references>
      </pivotArea>
    </format>
    <format dxfId="4003">
      <pivotArea dataOnly="0" labelOnly="1" outline="0" fieldPosition="0">
        <references count="2">
          <reference field="0" count="1" selected="0">
            <x v="127"/>
          </reference>
          <reference field="1" count="1">
            <x v="35"/>
          </reference>
        </references>
      </pivotArea>
    </format>
    <format dxfId="4002">
      <pivotArea dataOnly="0" labelOnly="1" outline="0" fieldPosition="0">
        <references count="2">
          <reference field="0" count="1" selected="0">
            <x v="128"/>
          </reference>
          <reference field="1" count="1">
            <x v="12"/>
          </reference>
        </references>
      </pivotArea>
    </format>
    <format dxfId="4001">
      <pivotArea dataOnly="0" labelOnly="1" outline="0" fieldPosition="0">
        <references count="2">
          <reference field="0" count="1" selected="0">
            <x v="129"/>
          </reference>
          <reference field="1" count="1">
            <x v="1"/>
          </reference>
        </references>
      </pivotArea>
    </format>
    <format dxfId="4000">
      <pivotArea dataOnly="0" labelOnly="1" outline="0" fieldPosition="0">
        <references count="2">
          <reference field="0" count="1" selected="0">
            <x v="130"/>
          </reference>
          <reference field="1" count="1">
            <x v="41"/>
          </reference>
        </references>
      </pivotArea>
    </format>
    <format dxfId="3999">
      <pivotArea dataOnly="0" labelOnly="1" outline="0" fieldPosition="0">
        <references count="2">
          <reference field="0" count="1" selected="0">
            <x v="131"/>
          </reference>
          <reference field="1" count="1">
            <x v="40"/>
          </reference>
        </references>
      </pivotArea>
    </format>
    <format dxfId="3998">
      <pivotArea dataOnly="0" labelOnly="1" outline="0" fieldPosition="0">
        <references count="2">
          <reference field="0" count="1" selected="0">
            <x v="132"/>
          </reference>
          <reference field="1" count="1">
            <x v="14"/>
          </reference>
        </references>
      </pivotArea>
    </format>
    <format dxfId="3997">
      <pivotArea dataOnly="0" labelOnly="1" outline="0" fieldPosition="0">
        <references count="2">
          <reference field="0" count="1" selected="0">
            <x v="133"/>
          </reference>
          <reference field="1" count="1">
            <x v="24"/>
          </reference>
        </references>
      </pivotArea>
    </format>
    <format dxfId="3996">
      <pivotArea dataOnly="0" labelOnly="1" outline="0" fieldPosition="0">
        <references count="2">
          <reference field="0" count="1" selected="0">
            <x v="134"/>
          </reference>
          <reference field="1" count="1">
            <x v="13"/>
          </reference>
        </references>
      </pivotArea>
    </format>
    <format dxfId="3995">
      <pivotArea dataOnly="0" labelOnly="1" outline="0" fieldPosition="0">
        <references count="2">
          <reference field="0" count="1" selected="0">
            <x v="135"/>
          </reference>
          <reference field="1" count="1">
            <x v="42"/>
          </reference>
        </references>
      </pivotArea>
    </format>
    <format dxfId="3994">
      <pivotArea dataOnly="0" labelOnly="1" outline="0" fieldPosition="0">
        <references count="2">
          <reference field="0" count="1" selected="0">
            <x v="136"/>
          </reference>
          <reference field="1" count="1">
            <x v="52"/>
          </reference>
        </references>
      </pivotArea>
    </format>
    <format dxfId="3993">
      <pivotArea dataOnly="0" labelOnly="1" outline="0" fieldPosition="0">
        <references count="2">
          <reference field="0" count="1" selected="0">
            <x v="137"/>
          </reference>
          <reference field="1" count="1">
            <x v="39"/>
          </reference>
        </references>
      </pivotArea>
    </format>
    <format dxfId="3992">
      <pivotArea dataOnly="0" labelOnly="1" outline="0" fieldPosition="0">
        <references count="2">
          <reference field="0" count="1" selected="0">
            <x v="138"/>
          </reference>
          <reference field="1" count="1">
            <x v="45"/>
          </reference>
        </references>
      </pivotArea>
    </format>
    <format dxfId="3991">
      <pivotArea dataOnly="0" labelOnly="1" outline="0" fieldPosition="0">
        <references count="2">
          <reference field="0" count="1" selected="0">
            <x v="139"/>
          </reference>
          <reference field="1" count="1">
            <x v="8"/>
          </reference>
        </references>
      </pivotArea>
    </format>
    <format dxfId="3990">
      <pivotArea dataOnly="0" labelOnly="1" outline="0" fieldPosition="0">
        <references count="2">
          <reference field="0" count="1" selected="0">
            <x v="140"/>
          </reference>
          <reference field="1" count="1">
            <x v="40"/>
          </reference>
        </references>
      </pivotArea>
    </format>
    <format dxfId="3989">
      <pivotArea dataOnly="0" labelOnly="1" outline="0" fieldPosition="0">
        <references count="2">
          <reference field="0" count="1" selected="0">
            <x v="141"/>
          </reference>
          <reference field="1" count="1">
            <x v="1"/>
          </reference>
        </references>
      </pivotArea>
    </format>
    <format dxfId="3988">
      <pivotArea dataOnly="0" labelOnly="1" outline="0" fieldPosition="0">
        <references count="2">
          <reference field="0" count="1" selected="0">
            <x v="142"/>
          </reference>
          <reference field="1" count="1">
            <x v="34"/>
          </reference>
        </references>
      </pivotArea>
    </format>
    <format dxfId="3987">
      <pivotArea dataOnly="0" labelOnly="1" outline="0" fieldPosition="0">
        <references count="2">
          <reference field="0" count="1" selected="0">
            <x v="143"/>
          </reference>
          <reference field="1" count="1">
            <x v="25"/>
          </reference>
        </references>
      </pivotArea>
    </format>
    <format dxfId="3986">
      <pivotArea dataOnly="0" labelOnly="1" outline="0" fieldPosition="0">
        <references count="2">
          <reference field="0" count="1" selected="0">
            <x v="144"/>
          </reference>
          <reference field="1" count="1">
            <x v="58"/>
          </reference>
        </references>
      </pivotArea>
    </format>
    <format dxfId="3985">
      <pivotArea dataOnly="0" labelOnly="1" outline="0" fieldPosition="0">
        <references count="2">
          <reference field="0" count="1" selected="0">
            <x v="146"/>
          </reference>
          <reference field="1" count="1">
            <x v="4"/>
          </reference>
        </references>
      </pivotArea>
    </format>
    <format dxfId="3984">
      <pivotArea dataOnly="0" labelOnly="1" outline="0" fieldPosition="0">
        <references count="2">
          <reference field="0" count="1" selected="0">
            <x v="147"/>
          </reference>
          <reference field="1" count="1">
            <x v="42"/>
          </reference>
        </references>
      </pivotArea>
    </format>
    <format dxfId="3983">
      <pivotArea dataOnly="0" labelOnly="1" outline="0" fieldPosition="0">
        <references count="2">
          <reference field="0" count="1" selected="0">
            <x v="148"/>
          </reference>
          <reference field="1" count="1">
            <x v="19"/>
          </reference>
        </references>
      </pivotArea>
    </format>
    <format dxfId="3982">
      <pivotArea dataOnly="0" labelOnly="1" outline="0" fieldPosition="0">
        <references count="2">
          <reference field="0" count="1" selected="0">
            <x v="149"/>
          </reference>
          <reference field="1" count="1">
            <x v="6"/>
          </reference>
        </references>
      </pivotArea>
    </format>
    <format dxfId="3981">
      <pivotArea dataOnly="0" labelOnly="1" outline="0" fieldPosition="0">
        <references count="2">
          <reference field="0" count="1" selected="0">
            <x v="150"/>
          </reference>
          <reference field="1" count="1">
            <x v="55"/>
          </reference>
        </references>
      </pivotArea>
    </format>
    <format dxfId="3980">
      <pivotArea dataOnly="0" labelOnly="1" outline="0" fieldPosition="0">
        <references count="2">
          <reference field="0" count="1" selected="0">
            <x v="151"/>
          </reference>
          <reference field="1" count="1">
            <x v="18"/>
          </reference>
        </references>
      </pivotArea>
    </format>
    <format dxfId="3979">
      <pivotArea dataOnly="0" labelOnly="1" outline="0" fieldPosition="0">
        <references count="2">
          <reference field="0" count="1" selected="0">
            <x v="152"/>
          </reference>
          <reference field="1" count="1">
            <x v="25"/>
          </reference>
        </references>
      </pivotArea>
    </format>
    <format dxfId="3978">
      <pivotArea dataOnly="0" labelOnly="1" outline="0" fieldPosition="0">
        <references count="2">
          <reference field="0" count="1" selected="0">
            <x v="153"/>
          </reference>
          <reference field="1" count="1">
            <x v="1"/>
          </reference>
        </references>
      </pivotArea>
    </format>
    <format dxfId="3977">
      <pivotArea dataOnly="0" labelOnly="1" outline="0" fieldPosition="0">
        <references count="2">
          <reference field="0" count="1" selected="0">
            <x v="154"/>
          </reference>
          <reference field="1" count="1">
            <x v="44"/>
          </reference>
        </references>
      </pivotArea>
    </format>
    <format dxfId="3976">
      <pivotArea dataOnly="0" labelOnly="1" outline="0" fieldPosition="0">
        <references count="2">
          <reference field="0" count="1" selected="0">
            <x v="155"/>
          </reference>
          <reference field="1" count="1">
            <x v="34"/>
          </reference>
        </references>
      </pivotArea>
    </format>
    <format dxfId="3975">
      <pivotArea dataOnly="0" labelOnly="1" outline="0" fieldPosition="0">
        <references count="2">
          <reference field="0" count="1" selected="0">
            <x v="156"/>
          </reference>
          <reference field="1" count="1">
            <x v="29"/>
          </reference>
        </references>
      </pivotArea>
    </format>
    <format dxfId="3974">
      <pivotArea dataOnly="0" labelOnly="1" outline="0" fieldPosition="0">
        <references count="2">
          <reference field="0" count="1" selected="0">
            <x v="157"/>
          </reference>
          <reference field="1" count="1">
            <x v="38"/>
          </reference>
        </references>
      </pivotArea>
    </format>
    <format dxfId="3973">
      <pivotArea dataOnly="0" labelOnly="1" outline="0" fieldPosition="0">
        <references count="2">
          <reference field="0" count="1" selected="0">
            <x v="158"/>
          </reference>
          <reference field="1" count="1">
            <x v="29"/>
          </reference>
        </references>
      </pivotArea>
    </format>
    <format dxfId="3972">
      <pivotArea dataOnly="0" labelOnly="1" outline="0" fieldPosition="0">
        <references count="2">
          <reference field="0" count="1" selected="0">
            <x v="159"/>
          </reference>
          <reference field="1" count="1">
            <x v="57"/>
          </reference>
        </references>
      </pivotArea>
    </format>
    <format dxfId="3971">
      <pivotArea dataOnly="0" labelOnly="1" outline="0" fieldPosition="0">
        <references count="2">
          <reference field="0" count="1" selected="0">
            <x v="160"/>
          </reference>
          <reference field="1" count="1">
            <x v="27"/>
          </reference>
        </references>
      </pivotArea>
    </format>
    <format dxfId="3970">
      <pivotArea dataOnly="0" labelOnly="1" outline="0" fieldPosition="0">
        <references count="2">
          <reference field="0" count="1" selected="0">
            <x v="161"/>
          </reference>
          <reference field="1" count="1">
            <x v="23"/>
          </reference>
        </references>
      </pivotArea>
    </format>
    <format dxfId="3969">
      <pivotArea dataOnly="0" labelOnly="1" outline="0" fieldPosition="0">
        <references count="2">
          <reference field="0" count="1" selected="0">
            <x v="162"/>
          </reference>
          <reference field="1" count="1">
            <x v="13"/>
          </reference>
        </references>
      </pivotArea>
    </format>
    <format dxfId="3968">
      <pivotArea dataOnly="0" labelOnly="1" outline="0" fieldPosition="0">
        <references count="2">
          <reference field="0" count="1" selected="0">
            <x v="163"/>
          </reference>
          <reference field="1" count="1">
            <x v="29"/>
          </reference>
        </references>
      </pivotArea>
    </format>
    <format dxfId="3967">
      <pivotArea dataOnly="0" labelOnly="1" outline="0" fieldPosition="0">
        <references count="2">
          <reference field="0" count="1" selected="0">
            <x v="164"/>
          </reference>
          <reference field="1" count="1">
            <x v="50"/>
          </reference>
        </references>
      </pivotArea>
    </format>
    <format dxfId="3966">
      <pivotArea dataOnly="0" labelOnly="1" outline="0" fieldPosition="0">
        <references count="2">
          <reference field="0" count="1" selected="0">
            <x v="165"/>
          </reference>
          <reference field="1" count="1">
            <x v="48"/>
          </reference>
        </references>
      </pivotArea>
    </format>
    <format dxfId="3965">
      <pivotArea dataOnly="0" labelOnly="1" outline="0" fieldPosition="0">
        <references count="2">
          <reference field="0" count="1" selected="0">
            <x v="166"/>
          </reference>
          <reference field="1" count="1">
            <x v="40"/>
          </reference>
        </references>
      </pivotArea>
    </format>
    <format dxfId="3964">
      <pivotArea dataOnly="0" labelOnly="1" outline="0" fieldPosition="0">
        <references count="2">
          <reference field="0" count="1" selected="0">
            <x v="167"/>
          </reference>
          <reference field="1" count="1">
            <x v="58"/>
          </reference>
        </references>
      </pivotArea>
    </format>
    <format dxfId="3963">
      <pivotArea dataOnly="0" labelOnly="1" outline="0" fieldPosition="0">
        <references count="2">
          <reference field="0" count="1" selected="0">
            <x v="168"/>
          </reference>
          <reference field="1" count="1">
            <x v="11"/>
          </reference>
        </references>
      </pivotArea>
    </format>
    <format dxfId="3962">
      <pivotArea dataOnly="0" labelOnly="1" outline="0" fieldPosition="0">
        <references count="2">
          <reference field="0" count="1" selected="0">
            <x v="169"/>
          </reference>
          <reference field="1" count="1">
            <x v="40"/>
          </reference>
        </references>
      </pivotArea>
    </format>
    <format dxfId="3961">
      <pivotArea dataOnly="0" labelOnly="1" outline="0" fieldPosition="0">
        <references count="2">
          <reference field="0" count="1" selected="0">
            <x v="170"/>
          </reference>
          <reference field="1" count="1">
            <x v="33"/>
          </reference>
        </references>
      </pivotArea>
    </format>
    <format dxfId="3960">
      <pivotArea dataOnly="0" labelOnly="1" outline="0" fieldPosition="0">
        <references count="2">
          <reference field="0" count="1" selected="0">
            <x v="171"/>
          </reference>
          <reference field="1" count="1">
            <x v="7"/>
          </reference>
        </references>
      </pivotArea>
    </format>
    <format dxfId="3959">
      <pivotArea dataOnly="0" labelOnly="1" outline="0" fieldPosition="0">
        <references count="2">
          <reference field="0" count="1" selected="0">
            <x v="172"/>
          </reference>
          <reference field="1" count="1">
            <x v="3"/>
          </reference>
        </references>
      </pivotArea>
    </format>
    <format dxfId="3958">
      <pivotArea dataOnly="0" labelOnly="1" outline="0" fieldPosition="0">
        <references count="2">
          <reference field="0" count="1" selected="0">
            <x v="173"/>
          </reference>
          <reference field="1" count="1">
            <x v="48"/>
          </reference>
        </references>
      </pivotArea>
    </format>
    <format dxfId="3957">
      <pivotArea dataOnly="0" labelOnly="1" outline="0" fieldPosition="0">
        <references count="2">
          <reference field="0" count="1" selected="0">
            <x v="174"/>
          </reference>
          <reference field="1" count="1">
            <x v="23"/>
          </reference>
        </references>
      </pivotArea>
    </format>
    <format dxfId="3956">
      <pivotArea dataOnly="0" labelOnly="1" outline="0" fieldPosition="0">
        <references count="2">
          <reference field="0" count="1" selected="0">
            <x v="175"/>
          </reference>
          <reference field="1" count="1">
            <x v="2"/>
          </reference>
        </references>
      </pivotArea>
    </format>
    <format dxfId="3955">
      <pivotArea dataOnly="0" labelOnly="1" outline="0" fieldPosition="0">
        <references count="2">
          <reference field="0" count="1" selected="0">
            <x v="176"/>
          </reference>
          <reference field="1" count="1">
            <x v="58"/>
          </reference>
        </references>
      </pivotArea>
    </format>
    <format dxfId="3954">
      <pivotArea dataOnly="0" labelOnly="1" outline="0" fieldPosition="0">
        <references count="2">
          <reference field="0" count="1" selected="0">
            <x v="177"/>
          </reference>
          <reference field="1" count="1">
            <x v="42"/>
          </reference>
        </references>
      </pivotArea>
    </format>
    <format dxfId="3953">
      <pivotArea dataOnly="0" labelOnly="1" outline="0" fieldPosition="0">
        <references count="2">
          <reference field="0" count="1" selected="0">
            <x v="178"/>
          </reference>
          <reference field="1" count="1">
            <x v="44"/>
          </reference>
        </references>
      </pivotArea>
    </format>
    <format dxfId="3952">
      <pivotArea dataOnly="0" labelOnly="1" outline="0" fieldPosition="0">
        <references count="2">
          <reference field="0" count="1" selected="0">
            <x v="179"/>
          </reference>
          <reference field="1" count="1">
            <x v="8"/>
          </reference>
        </references>
      </pivotArea>
    </format>
    <format dxfId="3951">
      <pivotArea dataOnly="0" labelOnly="1" outline="0" fieldPosition="0">
        <references count="2">
          <reference field="0" count="1" selected="0">
            <x v="180"/>
          </reference>
          <reference field="1" count="1">
            <x v="37"/>
          </reference>
        </references>
      </pivotArea>
    </format>
    <format dxfId="3950">
      <pivotArea dataOnly="0" labelOnly="1" outline="0" fieldPosition="0">
        <references count="2">
          <reference field="0" count="1" selected="0">
            <x v="181"/>
          </reference>
          <reference field="1" count="1">
            <x v="51"/>
          </reference>
        </references>
      </pivotArea>
    </format>
    <format dxfId="3949">
      <pivotArea dataOnly="0" labelOnly="1" outline="0" fieldPosition="0">
        <references count="2">
          <reference field="0" count="1" selected="0">
            <x v="182"/>
          </reference>
          <reference field="1" count="1">
            <x v="48"/>
          </reference>
        </references>
      </pivotArea>
    </format>
    <format dxfId="3948">
      <pivotArea dataOnly="0" labelOnly="1" outline="0" fieldPosition="0">
        <references count="2">
          <reference field="0" count="1" selected="0">
            <x v="183"/>
          </reference>
          <reference field="1" count="1">
            <x v="41"/>
          </reference>
        </references>
      </pivotArea>
    </format>
    <format dxfId="3947">
      <pivotArea dataOnly="0" labelOnly="1" outline="0" fieldPosition="0">
        <references count="2">
          <reference field="0" count="1" selected="0">
            <x v="184"/>
          </reference>
          <reference field="1" count="1">
            <x v="26"/>
          </reference>
        </references>
      </pivotArea>
    </format>
    <format dxfId="3946">
      <pivotArea dataOnly="0" labelOnly="1" outline="0" fieldPosition="0">
        <references count="2">
          <reference field="0" count="1" selected="0">
            <x v="185"/>
          </reference>
          <reference field="1" count="1">
            <x v="54"/>
          </reference>
        </references>
      </pivotArea>
    </format>
    <format dxfId="3945">
      <pivotArea dataOnly="0" labelOnly="1" outline="0" fieldPosition="0">
        <references count="2">
          <reference field="0" count="1" selected="0">
            <x v="186"/>
          </reference>
          <reference field="1" count="1">
            <x v="53"/>
          </reference>
        </references>
      </pivotArea>
    </format>
    <format dxfId="3944">
      <pivotArea dataOnly="0" labelOnly="1" outline="0" fieldPosition="0">
        <references count="2">
          <reference field="0" count="1" selected="0">
            <x v="187"/>
          </reference>
          <reference field="1" count="1">
            <x v="12"/>
          </reference>
        </references>
      </pivotArea>
    </format>
    <format dxfId="3943">
      <pivotArea dataOnly="0" labelOnly="1" outline="0" fieldPosition="0">
        <references count="2">
          <reference field="0" count="1" selected="0">
            <x v="188"/>
          </reference>
          <reference field="1" count="1">
            <x v="28"/>
          </reference>
        </references>
      </pivotArea>
    </format>
    <format dxfId="3942">
      <pivotArea dataOnly="0" labelOnly="1" outline="0" fieldPosition="0">
        <references count="2">
          <reference field="0" count="1" selected="0">
            <x v="189"/>
          </reference>
          <reference field="1" count="1">
            <x v="52"/>
          </reference>
        </references>
      </pivotArea>
    </format>
    <format dxfId="3941">
      <pivotArea dataOnly="0" labelOnly="1" outline="0" fieldPosition="0">
        <references count="2">
          <reference field="0" count="1" selected="0">
            <x v="190"/>
          </reference>
          <reference field="1" count="1">
            <x v="20"/>
          </reference>
        </references>
      </pivotArea>
    </format>
    <format dxfId="3940">
      <pivotArea dataOnly="0" labelOnly="1" outline="0" fieldPosition="0">
        <references count="2">
          <reference field="0" count="1" selected="0">
            <x v="191"/>
          </reference>
          <reference field="1" count="1">
            <x v="8"/>
          </reference>
        </references>
      </pivotArea>
    </format>
    <format dxfId="3939">
      <pivotArea dataOnly="0" labelOnly="1" outline="0" fieldPosition="0">
        <references count="2">
          <reference field="0" count="1" selected="0">
            <x v="192"/>
          </reference>
          <reference field="1" count="1">
            <x v="46"/>
          </reference>
        </references>
      </pivotArea>
    </format>
    <format dxfId="3938">
      <pivotArea dataOnly="0" labelOnly="1" outline="0" fieldPosition="0">
        <references count="2">
          <reference field="0" count="1" selected="0">
            <x v="193"/>
          </reference>
          <reference field="1" count="1">
            <x v="24"/>
          </reference>
        </references>
      </pivotArea>
    </format>
    <format dxfId="3937">
      <pivotArea dataOnly="0" labelOnly="1" outline="0" fieldPosition="0">
        <references count="2">
          <reference field="0" count="1" selected="0">
            <x v="194"/>
          </reference>
          <reference field="1" count="1">
            <x v="4"/>
          </reference>
        </references>
      </pivotArea>
    </format>
    <format dxfId="3936">
      <pivotArea dataOnly="0" labelOnly="1" outline="0" fieldPosition="0">
        <references count="2">
          <reference field="0" count="1" selected="0">
            <x v="195"/>
          </reference>
          <reference field="1" count="1">
            <x v="24"/>
          </reference>
        </references>
      </pivotArea>
    </format>
    <format dxfId="3935">
      <pivotArea dataOnly="0" labelOnly="1" outline="0" fieldPosition="0">
        <references count="2">
          <reference field="0" count="1" selected="0">
            <x v="196"/>
          </reference>
          <reference field="1" count="1">
            <x v="18"/>
          </reference>
        </references>
      </pivotArea>
    </format>
    <format dxfId="3934">
      <pivotArea dataOnly="0" labelOnly="1" outline="0" fieldPosition="0">
        <references count="2">
          <reference field="0" count="1" selected="0">
            <x v="197"/>
          </reference>
          <reference field="1" count="1">
            <x v="50"/>
          </reference>
        </references>
      </pivotArea>
    </format>
    <format dxfId="3933">
      <pivotArea dataOnly="0" labelOnly="1" outline="0" fieldPosition="0">
        <references count="2">
          <reference field="0" count="1" selected="0">
            <x v="198"/>
          </reference>
          <reference field="1" count="1">
            <x v="17"/>
          </reference>
        </references>
      </pivotArea>
    </format>
    <format dxfId="3932">
      <pivotArea dataOnly="0" labelOnly="1" outline="0" fieldPosition="0">
        <references count="2">
          <reference field="0" count="1" selected="0">
            <x v="199"/>
          </reference>
          <reference field="1" count="1">
            <x v="30"/>
          </reference>
        </references>
      </pivotArea>
    </format>
    <format dxfId="3931">
      <pivotArea dataOnly="0" labelOnly="1" outline="0" fieldPosition="0">
        <references count="2">
          <reference field="0" count="1" selected="0">
            <x v="200"/>
          </reference>
          <reference field="1" count="1">
            <x v="52"/>
          </reference>
        </references>
      </pivotArea>
    </format>
    <format dxfId="3930">
      <pivotArea dataOnly="0" labelOnly="1" outline="0" fieldPosition="0">
        <references count="2">
          <reference field="0" count="1" selected="0">
            <x v="201"/>
          </reference>
          <reference field="1" count="1">
            <x v="14"/>
          </reference>
        </references>
      </pivotArea>
    </format>
    <format dxfId="3929">
      <pivotArea dataOnly="0" labelOnly="1" outline="0" fieldPosition="0">
        <references count="2">
          <reference field="0" count="1" selected="0">
            <x v="202"/>
          </reference>
          <reference field="1" count="1">
            <x v="3"/>
          </reference>
        </references>
      </pivotArea>
    </format>
    <format dxfId="3928">
      <pivotArea dataOnly="0" labelOnly="1" outline="0" fieldPosition="0">
        <references count="2">
          <reference field="0" count="1" selected="0">
            <x v="203"/>
          </reference>
          <reference field="1" count="1">
            <x v="11"/>
          </reference>
        </references>
      </pivotArea>
    </format>
    <format dxfId="3927">
      <pivotArea dataOnly="0" labelOnly="1" outline="0" fieldPosition="0">
        <references count="2">
          <reference field="0" count="1" selected="0">
            <x v="204"/>
          </reference>
          <reference field="1" count="1">
            <x v="59"/>
          </reference>
        </references>
      </pivotArea>
    </format>
    <format dxfId="3926">
      <pivotArea dataOnly="0" labelOnly="1" outline="0" fieldPosition="0">
        <references count="2">
          <reference field="0" count="1" selected="0">
            <x v="205"/>
          </reference>
          <reference field="1" count="1">
            <x v="12"/>
          </reference>
        </references>
      </pivotArea>
    </format>
    <format dxfId="3925">
      <pivotArea dataOnly="0" labelOnly="1" outline="0" fieldPosition="0">
        <references count="2">
          <reference field="0" count="1" selected="0">
            <x v="206"/>
          </reference>
          <reference field="1" count="1">
            <x v="42"/>
          </reference>
        </references>
      </pivotArea>
    </format>
    <format dxfId="3924">
      <pivotArea dataOnly="0" labelOnly="1" outline="0" fieldPosition="0">
        <references count="2">
          <reference field="0" count="1" selected="0">
            <x v="207"/>
          </reference>
          <reference field="1" count="1">
            <x v="47"/>
          </reference>
        </references>
      </pivotArea>
    </format>
    <format dxfId="3923">
      <pivotArea dataOnly="0" labelOnly="1" outline="0" fieldPosition="0">
        <references count="2">
          <reference field="0" count="1" selected="0">
            <x v="208"/>
          </reference>
          <reference field="1" count="1">
            <x v="16"/>
          </reference>
        </references>
      </pivotArea>
    </format>
    <format dxfId="3922">
      <pivotArea dataOnly="0" labelOnly="1" outline="0" fieldPosition="0">
        <references count="2">
          <reference field="0" count="1" selected="0">
            <x v="209"/>
          </reference>
          <reference field="1" count="1">
            <x v="39"/>
          </reference>
        </references>
      </pivotArea>
    </format>
    <format dxfId="3921">
      <pivotArea dataOnly="0" labelOnly="1" outline="0" fieldPosition="0">
        <references count="2">
          <reference field="0" count="1" selected="0">
            <x v="210"/>
          </reference>
          <reference field="1" count="1">
            <x v="1"/>
          </reference>
        </references>
      </pivotArea>
    </format>
    <format dxfId="3920">
      <pivotArea dataOnly="0" labelOnly="1" outline="0" fieldPosition="0">
        <references count="2">
          <reference field="0" count="1" selected="0">
            <x v="211"/>
          </reference>
          <reference field="1" count="1">
            <x v="4"/>
          </reference>
        </references>
      </pivotArea>
    </format>
    <format dxfId="3919">
      <pivotArea dataOnly="0" labelOnly="1" outline="0" fieldPosition="0">
        <references count="2">
          <reference field="0" count="1" selected="0">
            <x v="212"/>
          </reference>
          <reference field="1" count="1">
            <x v="13"/>
          </reference>
        </references>
      </pivotArea>
    </format>
    <format dxfId="3918">
      <pivotArea dataOnly="0" labelOnly="1" outline="0" fieldPosition="0">
        <references count="2">
          <reference field="0" count="1" selected="0">
            <x v="213"/>
          </reference>
          <reference field="1" count="1">
            <x v="19"/>
          </reference>
        </references>
      </pivotArea>
    </format>
    <format dxfId="3917">
      <pivotArea dataOnly="0" labelOnly="1" outline="0" fieldPosition="0">
        <references count="2">
          <reference field="0" count="1" selected="0">
            <x v="214"/>
          </reference>
          <reference field="1" count="1">
            <x v="38"/>
          </reference>
        </references>
      </pivotArea>
    </format>
    <format dxfId="3916">
      <pivotArea dataOnly="0" labelOnly="1" outline="0" fieldPosition="0">
        <references count="2">
          <reference field="0" count="1" selected="0">
            <x v="215"/>
          </reference>
          <reference field="1" count="1">
            <x v="26"/>
          </reference>
        </references>
      </pivotArea>
    </format>
    <format dxfId="3915">
      <pivotArea dataOnly="0" labelOnly="1" outline="0" fieldPosition="0">
        <references count="2">
          <reference field="0" count="1" selected="0">
            <x v="216"/>
          </reference>
          <reference field="1" count="1">
            <x v="57"/>
          </reference>
        </references>
      </pivotArea>
    </format>
    <format dxfId="3914">
      <pivotArea dataOnly="0" labelOnly="1" outline="0" fieldPosition="0">
        <references count="2">
          <reference field="0" count="1" selected="0">
            <x v="217"/>
          </reference>
          <reference field="1" count="1">
            <x v="59"/>
          </reference>
        </references>
      </pivotArea>
    </format>
    <format dxfId="3913">
      <pivotArea dataOnly="0" labelOnly="1" outline="0" fieldPosition="0">
        <references count="2">
          <reference field="0" count="1" selected="0">
            <x v="218"/>
          </reference>
          <reference field="1" count="1">
            <x v="18"/>
          </reference>
        </references>
      </pivotArea>
    </format>
    <format dxfId="3912">
      <pivotArea dataOnly="0" labelOnly="1" outline="0" fieldPosition="0">
        <references count="2">
          <reference field="0" count="1" selected="0">
            <x v="219"/>
          </reference>
          <reference field="1" count="1">
            <x v="39"/>
          </reference>
        </references>
      </pivotArea>
    </format>
    <format dxfId="3911">
      <pivotArea dataOnly="0" labelOnly="1" outline="0" fieldPosition="0">
        <references count="2">
          <reference field="0" count="1" selected="0">
            <x v="220"/>
          </reference>
          <reference field="1" count="1">
            <x v="53"/>
          </reference>
        </references>
      </pivotArea>
    </format>
    <format dxfId="3910">
      <pivotArea dataOnly="0" labelOnly="1" outline="0" fieldPosition="0">
        <references count="2">
          <reference field="0" count="1" selected="0">
            <x v="221"/>
          </reference>
          <reference field="1" count="1">
            <x v="12"/>
          </reference>
        </references>
      </pivotArea>
    </format>
    <format dxfId="3909">
      <pivotArea dataOnly="0" labelOnly="1" outline="0" fieldPosition="0">
        <references count="2">
          <reference field="0" count="1" selected="0">
            <x v="222"/>
          </reference>
          <reference field="1" count="1">
            <x v="36"/>
          </reference>
        </references>
      </pivotArea>
    </format>
    <format dxfId="3908">
      <pivotArea dataOnly="0" labelOnly="1" outline="0" fieldPosition="0">
        <references count="2">
          <reference field="0" count="1" selected="0">
            <x v="223"/>
          </reference>
          <reference field="1" count="1">
            <x v="15"/>
          </reference>
        </references>
      </pivotArea>
    </format>
    <format dxfId="3907">
      <pivotArea dataOnly="0" labelOnly="1" outline="0" fieldPosition="0">
        <references count="2">
          <reference field="0" count="1" selected="0">
            <x v="224"/>
          </reference>
          <reference field="1" count="1">
            <x v="59"/>
          </reference>
        </references>
      </pivotArea>
    </format>
    <format dxfId="3906">
      <pivotArea dataOnly="0" labelOnly="1" outline="0" fieldPosition="0">
        <references count="2">
          <reference field="0" count="1" selected="0">
            <x v="225"/>
          </reference>
          <reference field="1" count="1">
            <x v="26"/>
          </reference>
        </references>
      </pivotArea>
    </format>
    <format dxfId="3905">
      <pivotArea dataOnly="0" labelOnly="1" outline="0" fieldPosition="0">
        <references count="2">
          <reference field="0" count="1" selected="0">
            <x v="226"/>
          </reference>
          <reference field="1" count="1">
            <x v="42"/>
          </reference>
        </references>
      </pivotArea>
    </format>
    <format dxfId="3904">
      <pivotArea dataOnly="0" labelOnly="1" outline="0" fieldPosition="0">
        <references count="2">
          <reference field="0" count="1" selected="0">
            <x v="227"/>
          </reference>
          <reference field="1" count="1">
            <x v="52"/>
          </reference>
        </references>
      </pivotArea>
    </format>
    <format dxfId="3903">
      <pivotArea dataOnly="0" labelOnly="1" outline="0" fieldPosition="0">
        <references count="2">
          <reference field="0" count="1" selected="0">
            <x v="228"/>
          </reference>
          <reference field="1" count="1">
            <x v="54"/>
          </reference>
        </references>
      </pivotArea>
    </format>
    <format dxfId="3902">
      <pivotArea dataOnly="0" labelOnly="1" outline="0" fieldPosition="0">
        <references count="2">
          <reference field="0" count="1" selected="0">
            <x v="229"/>
          </reference>
          <reference field="1" count="1">
            <x v="53"/>
          </reference>
        </references>
      </pivotArea>
    </format>
    <format dxfId="3901">
      <pivotArea dataOnly="0" labelOnly="1" outline="0" fieldPosition="0">
        <references count="2">
          <reference field="0" count="1" selected="0">
            <x v="230"/>
          </reference>
          <reference field="1" count="1">
            <x v="21"/>
          </reference>
        </references>
      </pivotArea>
    </format>
    <format dxfId="3900">
      <pivotArea dataOnly="0" labelOnly="1" outline="0" fieldPosition="0">
        <references count="2">
          <reference field="0" count="1" selected="0">
            <x v="231"/>
          </reference>
          <reference field="1" count="1">
            <x v="52"/>
          </reference>
        </references>
      </pivotArea>
    </format>
    <format dxfId="3899">
      <pivotArea dataOnly="0" labelOnly="1" outline="0" fieldPosition="0">
        <references count="2">
          <reference field="0" count="1" selected="0">
            <x v="232"/>
          </reference>
          <reference field="1" count="1">
            <x v="47"/>
          </reference>
        </references>
      </pivotArea>
    </format>
    <format dxfId="3898">
      <pivotArea dataOnly="0" labelOnly="1" outline="0" fieldPosition="0">
        <references count="2">
          <reference field="0" count="1" selected="0">
            <x v="233"/>
          </reference>
          <reference field="1" count="1">
            <x v="33"/>
          </reference>
        </references>
      </pivotArea>
    </format>
    <format dxfId="3897">
      <pivotArea dataOnly="0" labelOnly="1" outline="0" fieldPosition="0">
        <references count="2">
          <reference field="0" count="1" selected="0">
            <x v="234"/>
          </reference>
          <reference field="1" count="1">
            <x v="34"/>
          </reference>
        </references>
      </pivotArea>
    </format>
    <format dxfId="3896">
      <pivotArea dataOnly="0" labelOnly="1" outline="0" fieldPosition="0">
        <references count="2">
          <reference field="0" count="1" selected="0">
            <x v="235"/>
          </reference>
          <reference field="1" count="1">
            <x v="38"/>
          </reference>
        </references>
      </pivotArea>
    </format>
    <format dxfId="3895">
      <pivotArea dataOnly="0" labelOnly="1" outline="0" fieldPosition="0">
        <references count="2">
          <reference field="0" count="1" selected="0">
            <x v="236"/>
          </reference>
          <reference field="1" count="1">
            <x v="7"/>
          </reference>
        </references>
      </pivotArea>
    </format>
    <format dxfId="3894">
      <pivotArea dataOnly="0" labelOnly="1" outline="0" fieldPosition="0">
        <references count="2">
          <reference field="0" count="1" selected="0">
            <x v="237"/>
          </reference>
          <reference field="1" count="1">
            <x v="55"/>
          </reference>
        </references>
      </pivotArea>
    </format>
    <format dxfId="3893">
      <pivotArea dataOnly="0" labelOnly="1" outline="0" fieldPosition="0">
        <references count="2">
          <reference field="0" count="1" selected="0">
            <x v="238"/>
          </reference>
          <reference field="1" count="1">
            <x v="9"/>
          </reference>
        </references>
      </pivotArea>
    </format>
    <format dxfId="3892">
      <pivotArea dataOnly="0" labelOnly="1" outline="0" fieldPosition="0">
        <references count="2">
          <reference field="0" count="1" selected="0">
            <x v="239"/>
          </reference>
          <reference field="1" count="1">
            <x v="3"/>
          </reference>
        </references>
      </pivotArea>
    </format>
    <format dxfId="3891">
      <pivotArea dataOnly="0" labelOnly="1" outline="0" fieldPosition="0">
        <references count="2">
          <reference field="0" count="1" selected="0">
            <x v="240"/>
          </reference>
          <reference field="1" count="1">
            <x v="27"/>
          </reference>
        </references>
      </pivotArea>
    </format>
    <format dxfId="3890">
      <pivotArea dataOnly="0" labelOnly="1" outline="0" fieldPosition="0">
        <references count="2">
          <reference field="0" count="1" selected="0">
            <x v="241"/>
          </reference>
          <reference field="1" count="1">
            <x v="58"/>
          </reference>
        </references>
      </pivotArea>
    </format>
    <format dxfId="3889">
      <pivotArea dataOnly="0" labelOnly="1" outline="0" fieldPosition="0">
        <references count="2">
          <reference field="0" count="1" selected="0">
            <x v="242"/>
          </reference>
          <reference field="1" count="1">
            <x v="12"/>
          </reference>
        </references>
      </pivotArea>
    </format>
    <format dxfId="3888">
      <pivotArea dataOnly="0" labelOnly="1" outline="0" fieldPosition="0">
        <references count="2">
          <reference field="0" count="1" selected="0">
            <x v="243"/>
          </reference>
          <reference field="1" count="1">
            <x v="19"/>
          </reference>
        </references>
      </pivotArea>
    </format>
    <format dxfId="3887">
      <pivotArea dataOnly="0" labelOnly="1" outline="0" fieldPosition="0">
        <references count="2">
          <reference field="0" count="1" selected="0">
            <x v="244"/>
          </reference>
          <reference field="1" count="1">
            <x v="34"/>
          </reference>
        </references>
      </pivotArea>
    </format>
    <format dxfId="3886">
      <pivotArea dataOnly="0" labelOnly="1" outline="0" fieldPosition="0">
        <references count="2">
          <reference field="0" count="1" selected="0">
            <x v="245"/>
          </reference>
          <reference field="1" count="1">
            <x v="40"/>
          </reference>
        </references>
      </pivotArea>
    </format>
    <format dxfId="3885">
      <pivotArea dataOnly="0" labelOnly="1" outline="0" fieldPosition="0">
        <references count="2">
          <reference field="0" count="1" selected="0">
            <x v="246"/>
          </reference>
          <reference field="1" count="1">
            <x v="37"/>
          </reference>
        </references>
      </pivotArea>
    </format>
    <format dxfId="3884">
      <pivotArea dataOnly="0" labelOnly="1" outline="0" fieldPosition="0">
        <references count="2">
          <reference field="0" count="1" selected="0">
            <x v="247"/>
          </reference>
          <reference field="1" count="1">
            <x v="40"/>
          </reference>
        </references>
      </pivotArea>
    </format>
    <format dxfId="3883">
      <pivotArea dataOnly="0" labelOnly="1" outline="0" fieldPosition="0">
        <references count="2">
          <reference field="0" count="1" selected="0">
            <x v="248"/>
          </reference>
          <reference field="1" count="1">
            <x v="39"/>
          </reference>
        </references>
      </pivotArea>
    </format>
    <format dxfId="3882">
      <pivotArea dataOnly="0" labelOnly="1" outline="0" fieldPosition="0">
        <references count="2">
          <reference field="0" count="1" selected="0">
            <x v="249"/>
          </reference>
          <reference field="1" count="1">
            <x v="43"/>
          </reference>
        </references>
      </pivotArea>
    </format>
    <format dxfId="3881">
      <pivotArea dataOnly="0" labelOnly="1" outline="0" fieldPosition="0">
        <references count="2">
          <reference field="0" count="1" selected="0">
            <x v="250"/>
          </reference>
          <reference field="1" count="1">
            <x v="39"/>
          </reference>
        </references>
      </pivotArea>
    </format>
    <format dxfId="3880">
      <pivotArea dataOnly="0" labelOnly="1" outline="0" fieldPosition="0">
        <references count="2">
          <reference field="0" count="1" selected="0">
            <x v="251"/>
          </reference>
          <reference field="1" count="1">
            <x v="35"/>
          </reference>
        </references>
      </pivotArea>
    </format>
    <format dxfId="3879">
      <pivotArea dataOnly="0" labelOnly="1" outline="0" fieldPosition="0">
        <references count="2">
          <reference field="0" count="1" selected="0">
            <x v="252"/>
          </reference>
          <reference field="1" count="1">
            <x v="12"/>
          </reference>
        </references>
      </pivotArea>
    </format>
    <format dxfId="3878">
      <pivotArea dataOnly="0" labelOnly="1" outline="0" fieldPosition="0">
        <references count="2">
          <reference field="0" count="1" selected="0">
            <x v="253"/>
          </reference>
          <reference field="1" count="1">
            <x v="28"/>
          </reference>
        </references>
      </pivotArea>
    </format>
    <format dxfId="3877">
      <pivotArea dataOnly="0" labelOnly="1" outline="0" fieldPosition="0">
        <references count="2">
          <reference field="0" count="1" selected="0">
            <x v="254"/>
          </reference>
          <reference field="1" count="1">
            <x v="48"/>
          </reference>
        </references>
      </pivotArea>
    </format>
    <format dxfId="3876">
      <pivotArea dataOnly="0" labelOnly="1" outline="0" fieldPosition="0">
        <references count="2">
          <reference field="0" count="1" selected="0">
            <x v="255"/>
          </reference>
          <reference field="1" count="1">
            <x v="20"/>
          </reference>
        </references>
      </pivotArea>
    </format>
    <format dxfId="3875">
      <pivotArea dataOnly="0" labelOnly="1" outline="0" fieldPosition="0">
        <references count="2">
          <reference field="0" count="1" selected="0">
            <x v="256"/>
          </reference>
          <reference field="1" count="1">
            <x v="24"/>
          </reference>
        </references>
      </pivotArea>
    </format>
    <format dxfId="3874">
      <pivotArea dataOnly="0" labelOnly="1" outline="0" fieldPosition="0">
        <references count="2">
          <reference field="0" count="1" selected="0">
            <x v="257"/>
          </reference>
          <reference field="1" count="1">
            <x v="8"/>
          </reference>
        </references>
      </pivotArea>
    </format>
    <format dxfId="3873">
      <pivotArea dataOnly="0" labelOnly="1" outline="0" fieldPosition="0">
        <references count="2">
          <reference field="0" count="1" selected="0">
            <x v="258"/>
          </reference>
          <reference field="1" count="1">
            <x v="52"/>
          </reference>
        </references>
      </pivotArea>
    </format>
    <format dxfId="3872">
      <pivotArea dataOnly="0" labelOnly="1" outline="0" fieldPosition="0">
        <references count="2">
          <reference field="0" count="1" selected="0">
            <x v="259"/>
          </reference>
          <reference field="1" count="1">
            <x v="54"/>
          </reference>
        </references>
      </pivotArea>
    </format>
    <format dxfId="3871">
      <pivotArea dataOnly="0" labelOnly="1" outline="0" fieldPosition="0">
        <references count="2">
          <reference field="0" count="1" selected="0">
            <x v="260"/>
          </reference>
          <reference field="1" count="1">
            <x v="8"/>
          </reference>
        </references>
      </pivotArea>
    </format>
    <format dxfId="3870">
      <pivotArea dataOnly="0" labelOnly="1" outline="0" fieldPosition="0">
        <references count="2">
          <reference field="0" count="1" selected="0">
            <x v="261"/>
          </reference>
          <reference field="1" count="1">
            <x v="11"/>
          </reference>
        </references>
      </pivotArea>
    </format>
    <format dxfId="3869">
      <pivotArea dataOnly="0" labelOnly="1" outline="0" fieldPosition="0">
        <references count="2">
          <reference field="0" count="1" selected="0">
            <x v="262"/>
          </reference>
          <reference field="1" count="1">
            <x v="51"/>
          </reference>
        </references>
      </pivotArea>
    </format>
    <format dxfId="3868">
      <pivotArea dataOnly="0" labelOnly="1" outline="0" fieldPosition="0">
        <references count="2">
          <reference field="0" count="1" selected="0">
            <x v="263"/>
          </reference>
          <reference field="1" count="1">
            <x v="50"/>
          </reference>
        </references>
      </pivotArea>
    </format>
    <format dxfId="3867">
      <pivotArea dataOnly="0" labelOnly="1" outline="0" fieldPosition="0">
        <references count="2">
          <reference field="0" count="1" selected="0">
            <x v="264"/>
          </reference>
          <reference field="1" count="1">
            <x v="36"/>
          </reference>
        </references>
      </pivotArea>
    </format>
    <format dxfId="3866">
      <pivotArea dataOnly="0" labelOnly="1" outline="0" fieldPosition="0">
        <references count="2">
          <reference field="0" count="1" selected="0">
            <x v="265"/>
          </reference>
          <reference field="1" count="1">
            <x v="18"/>
          </reference>
        </references>
      </pivotArea>
    </format>
    <format dxfId="3865">
      <pivotArea dataOnly="0" labelOnly="1" outline="0" fieldPosition="0">
        <references count="2">
          <reference field="0" count="1" selected="0">
            <x v="266"/>
          </reference>
          <reference field="1" count="1">
            <x v="49"/>
          </reference>
        </references>
      </pivotArea>
    </format>
    <format dxfId="3864">
      <pivotArea dataOnly="0" labelOnly="1" outline="0" fieldPosition="0">
        <references count="2">
          <reference field="0" count="1" selected="0">
            <x v="267"/>
          </reference>
          <reference field="1" count="1">
            <x v="32"/>
          </reference>
        </references>
      </pivotArea>
    </format>
    <format dxfId="3863">
      <pivotArea dataOnly="0" labelOnly="1" outline="0" fieldPosition="0">
        <references count="2">
          <reference field="0" count="1" selected="0">
            <x v="268"/>
          </reference>
          <reference field="1" count="1">
            <x v="18"/>
          </reference>
        </references>
      </pivotArea>
    </format>
    <format dxfId="3862">
      <pivotArea dataOnly="0" labelOnly="1" outline="0" fieldPosition="0">
        <references count="2">
          <reference field="0" count="1" selected="0">
            <x v="269"/>
          </reference>
          <reference field="1" count="1">
            <x v="26"/>
          </reference>
        </references>
      </pivotArea>
    </format>
    <format dxfId="3861">
      <pivotArea dataOnly="0" labelOnly="1" outline="0" fieldPosition="0">
        <references count="2">
          <reference field="0" count="1" selected="0">
            <x v="270"/>
          </reference>
          <reference field="1" count="1">
            <x v="5"/>
          </reference>
        </references>
      </pivotArea>
    </format>
    <format dxfId="3860">
      <pivotArea dataOnly="0" labelOnly="1" outline="0" fieldPosition="0">
        <references count="2">
          <reference field="0" count="1" selected="0">
            <x v="271"/>
          </reference>
          <reference field="1" count="1">
            <x v="30"/>
          </reference>
        </references>
      </pivotArea>
    </format>
    <format dxfId="3859">
      <pivotArea dataOnly="0" labelOnly="1" outline="0" fieldPosition="0">
        <references count="2">
          <reference field="0" count="1" selected="0">
            <x v="272"/>
          </reference>
          <reference field="1" count="1">
            <x v="40"/>
          </reference>
        </references>
      </pivotArea>
    </format>
    <format dxfId="3858">
      <pivotArea dataOnly="0" labelOnly="1" outline="0" fieldPosition="0">
        <references count="2">
          <reference field="0" count="1" selected="0">
            <x v="273"/>
          </reference>
          <reference field="1" count="1">
            <x v="54"/>
          </reference>
        </references>
      </pivotArea>
    </format>
    <format dxfId="3857">
      <pivotArea dataOnly="0" labelOnly="1" outline="0" fieldPosition="0">
        <references count="2">
          <reference field="0" count="1" selected="0">
            <x v="274"/>
          </reference>
          <reference field="1" count="1">
            <x v="32"/>
          </reference>
        </references>
      </pivotArea>
    </format>
    <format dxfId="3856">
      <pivotArea dataOnly="0" labelOnly="1" outline="0" fieldPosition="0">
        <references count="2">
          <reference field="0" count="1" selected="0">
            <x v="275"/>
          </reference>
          <reference field="1" count="1">
            <x v="47"/>
          </reference>
        </references>
      </pivotArea>
    </format>
    <format dxfId="3855">
      <pivotArea dataOnly="0" labelOnly="1" outline="0" fieldPosition="0">
        <references count="2">
          <reference field="0" count="1" selected="0">
            <x v="276"/>
          </reference>
          <reference field="1" count="1">
            <x v="58"/>
          </reference>
        </references>
      </pivotArea>
    </format>
    <format dxfId="3854">
      <pivotArea dataOnly="0" labelOnly="1" outline="0" fieldPosition="0">
        <references count="2">
          <reference field="0" count="1" selected="0">
            <x v="277"/>
          </reference>
          <reference field="1" count="1">
            <x v="9"/>
          </reference>
        </references>
      </pivotArea>
    </format>
    <format dxfId="3853">
      <pivotArea dataOnly="0" labelOnly="1" outline="0" fieldPosition="0">
        <references count="2">
          <reference field="0" count="1" selected="0">
            <x v="278"/>
          </reference>
          <reference field="1" count="1">
            <x v="12"/>
          </reference>
        </references>
      </pivotArea>
    </format>
    <format dxfId="3852">
      <pivotArea dataOnly="0" labelOnly="1" outline="0" fieldPosition="0">
        <references count="2">
          <reference field="0" count="1" selected="0">
            <x v="279"/>
          </reference>
          <reference field="1" count="1">
            <x v="28"/>
          </reference>
        </references>
      </pivotArea>
    </format>
    <format dxfId="3851">
      <pivotArea dataOnly="0" labelOnly="1" outline="0" fieldPosition="0">
        <references count="2">
          <reference field="0" count="1" selected="0">
            <x v="280"/>
          </reference>
          <reference field="1" count="1">
            <x v="39"/>
          </reference>
        </references>
      </pivotArea>
    </format>
    <format dxfId="3850">
      <pivotArea dataOnly="0" labelOnly="1" outline="0" fieldPosition="0">
        <references count="2">
          <reference field="0" count="1" selected="0">
            <x v="281"/>
          </reference>
          <reference field="1" count="1">
            <x v="51"/>
          </reference>
        </references>
      </pivotArea>
    </format>
    <format dxfId="3849">
      <pivotArea dataOnly="0" labelOnly="1" outline="0" fieldPosition="0">
        <references count="2">
          <reference field="0" count="1" selected="0">
            <x v="282"/>
          </reference>
          <reference field="1" count="1">
            <x v="1"/>
          </reference>
        </references>
      </pivotArea>
    </format>
    <format dxfId="3848">
      <pivotArea dataOnly="0" labelOnly="1" outline="0" fieldPosition="0">
        <references count="2">
          <reference field="0" count="1" selected="0">
            <x v="283"/>
          </reference>
          <reference field="1" count="1">
            <x v="18"/>
          </reference>
        </references>
      </pivotArea>
    </format>
    <format dxfId="3847">
      <pivotArea dataOnly="0" labelOnly="1" outline="0" fieldPosition="0">
        <references count="2">
          <reference field="0" count="1" selected="0">
            <x v="284"/>
          </reference>
          <reference field="1" count="1">
            <x v="34"/>
          </reference>
        </references>
      </pivotArea>
    </format>
    <format dxfId="3846">
      <pivotArea dataOnly="0" labelOnly="1" outline="0" fieldPosition="0">
        <references count="2">
          <reference field="0" count="1" selected="0">
            <x v="285"/>
          </reference>
          <reference field="1" count="1">
            <x v="58"/>
          </reference>
        </references>
      </pivotArea>
    </format>
    <format dxfId="3845">
      <pivotArea dataOnly="0" labelOnly="1" outline="0" fieldPosition="0">
        <references count="2">
          <reference field="0" count="1" selected="0">
            <x v="286"/>
          </reference>
          <reference field="1" count="1">
            <x v="47"/>
          </reference>
        </references>
      </pivotArea>
    </format>
    <format dxfId="3844">
      <pivotArea dataOnly="0" labelOnly="1" outline="0" fieldPosition="0">
        <references count="2">
          <reference field="0" count="1" selected="0">
            <x v="287"/>
          </reference>
          <reference field="1" count="1">
            <x v="27"/>
          </reference>
        </references>
      </pivotArea>
    </format>
    <format dxfId="3843">
      <pivotArea dataOnly="0" labelOnly="1" outline="0" fieldPosition="0">
        <references count="2">
          <reference field="0" count="1" selected="0">
            <x v="288"/>
          </reference>
          <reference field="1" count="1">
            <x v="46"/>
          </reference>
        </references>
      </pivotArea>
    </format>
    <format dxfId="3842">
      <pivotArea dataOnly="0" labelOnly="1" outline="0" fieldPosition="0">
        <references count="2">
          <reference field="0" count="1" selected="0">
            <x v="289"/>
          </reference>
          <reference field="1" count="1">
            <x v="53"/>
          </reference>
        </references>
      </pivotArea>
    </format>
    <format dxfId="3841">
      <pivotArea dataOnly="0" labelOnly="1" outline="0" fieldPosition="0">
        <references count="2">
          <reference field="0" count="1" selected="0">
            <x v="290"/>
          </reference>
          <reference field="1" count="1">
            <x v="41"/>
          </reference>
        </references>
      </pivotArea>
    </format>
    <format dxfId="3840">
      <pivotArea dataOnly="0" labelOnly="1" outline="0" fieldPosition="0">
        <references count="2">
          <reference field="0" count="1" selected="0">
            <x v="291"/>
          </reference>
          <reference field="1" count="1">
            <x v="3"/>
          </reference>
        </references>
      </pivotArea>
    </format>
    <format dxfId="3839">
      <pivotArea dataOnly="0" labelOnly="1" outline="0" fieldPosition="0">
        <references count="2">
          <reference field="0" count="1" selected="0">
            <x v="292"/>
          </reference>
          <reference field="1" count="1">
            <x v="56"/>
          </reference>
        </references>
      </pivotArea>
    </format>
    <format dxfId="3838">
      <pivotArea dataOnly="0" labelOnly="1" outline="0" fieldPosition="0">
        <references count="2">
          <reference field="0" count="1" selected="0">
            <x v="293"/>
          </reference>
          <reference field="1" count="1">
            <x v="25"/>
          </reference>
        </references>
      </pivotArea>
    </format>
    <format dxfId="3837">
      <pivotArea dataOnly="0" labelOnly="1" outline="0" fieldPosition="0">
        <references count="2">
          <reference field="0" count="1" selected="0">
            <x v="294"/>
          </reference>
          <reference field="1" count="1">
            <x v="14"/>
          </reference>
        </references>
      </pivotArea>
    </format>
    <format dxfId="3836">
      <pivotArea dataOnly="0" labelOnly="1" outline="0" fieldPosition="0">
        <references count="2">
          <reference field="0" count="1" selected="0">
            <x v="295"/>
          </reference>
          <reference field="1" count="1">
            <x v="5"/>
          </reference>
        </references>
      </pivotArea>
    </format>
    <format dxfId="3835">
      <pivotArea dataOnly="0" labelOnly="1" outline="0" fieldPosition="0">
        <references count="2">
          <reference field="0" count="1" selected="0">
            <x v="296"/>
          </reference>
          <reference field="1" count="1">
            <x v="28"/>
          </reference>
        </references>
      </pivotArea>
    </format>
    <format dxfId="3834">
      <pivotArea dataOnly="0" labelOnly="1" outline="0" fieldPosition="0">
        <references count="2">
          <reference field="0" count="1" selected="0">
            <x v="297"/>
          </reference>
          <reference field="1" count="1">
            <x v="20"/>
          </reference>
        </references>
      </pivotArea>
    </format>
    <format dxfId="3833">
      <pivotArea dataOnly="0" labelOnly="1" outline="0" fieldPosition="0">
        <references count="2">
          <reference field="0" count="1" selected="0">
            <x v="298"/>
          </reference>
          <reference field="1" count="1">
            <x v="42"/>
          </reference>
        </references>
      </pivotArea>
    </format>
    <format dxfId="3832">
      <pivotArea dataOnly="0" labelOnly="1" outline="0" fieldPosition="0">
        <references count="2">
          <reference field="0" count="1" selected="0">
            <x v="299"/>
          </reference>
          <reference field="1" count="1">
            <x v="39"/>
          </reference>
        </references>
      </pivotArea>
    </format>
    <format dxfId="3831">
      <pivotArea dataOnly="0" labelOnly="1" outline="0" fieldPosition="0">
        <references count="3">
          <reference field="0" count="1" selected="0">
            <x v="0"/>
          </reference>
          <reference field="1" count="1" selected="0">
            <x v="0"/>
          </reference>
          <reference field="2" count="1">
            <x v="0"/>
          </reference>
        </references>
      </pivotArea>
    </format>
    <format dxfId="3830">
      <pivotArea dataOnly="0" labelOnly="1" outline="0" fieldPosition="0">
        <references count="3">
          <reference field="0" count="1" selected="0">
            <x v="1"/>
          </reference>
          <reference field="1" count="1" selected="0">
            <x v="58"/>
          </reference>
          <reference field="2" count="1">
            <x v="1"/>
          </reference>
        </references>
      </pivotArea>
    </format>
    <format dxfId="3829">
      <pivotArea dataOnly="0" labelOnly="1" outline="0" fieldPosition="0">
        <references count="3">
          <reference field="0" count="1" selected="0">
            <x v="2"/>
          </reference>
          <reference field="1" count="1" selected="0">
            <x v="35"/>
          </reference>
          <reference field="2" count="1">
            <x v="4"/>
          </reference>
        </references>
      </pivotArea>
    </format>
    <format dxfId="3828">
      <pivotArea dataOnly="0" labelOnly="1" outline="0" fieldPosition="0">
        <references count="3">
          <reference field="0" count="1" selected="0">
            <x v="4"/>
          </reference>
          <reference field="1" count="1" selected="0">
            <x v="8"/>
          </reference>
          <reference field="2" count="1">
            <x v="5"/>
          </reference>
        </references>
      </pivotArea>
    </format>
    <format dxfId="3827">
      <pivotArea dataOnly="0" labelOnly="1" outline="0" fieldPosition="0">
        <references count="3">
          <reference field="0" count="1" selected="0">
            <x v="5"/>
          </reference>
          <reference field="1" count="1" selected="0">
            <x v="36"/>
          </reference>
          <reference field="2" count="1">
            <x v="1"/>
          </reference>
        </references>
      </pivotArea>
    </format>
    <format dxfId="3826">
      <pivotArea dataOnly="0" labelOnly="1" outline="0" fieldPosition="0">
        <references count="3">
          <reference field="0" count="1" selected="0">
            <x v="6"/>
          </reference>
          <reference field="1" count="1" selected="0">
            <x v="23"/>
          </reference>
          <reference field="2" count="1">
            <x v="2"/>
          </reference>
        </references>
      </pivotArea>
    </format>
    <format dxfId="3825">
      <pivotArea dataOnly="0" labelOnly="1" outline="0" fieldPosition="0">
        <references count="3">
          <reference field="0" count="1" selected="0">
            <x v="7"/>
          </reference>
          <reference field="1" count="1" selected="0">
            <x v="16"/>
          </reference>
          <reference field="2" count="1">
            <x v="5"/>
          </reference>
        </references>
      </pivotArea>
    </format>
    <format dxfId="3824">
      <pivotArea dataOnly="0" labelOnly="1" outline="0" fieldPosition="0">
        <references count="3">
          <reference field="0" count="1" selected="0">
            <x v="8"/>
          </reference>
          <reference field="1" count="1" selected="0">
            <x v="9"/>
          </reference>
          <reference field="2" count="1">
            <x v="3"/>
          </reference>
        </references>
      </pivotArea>
    </format>
    <format dxfId="3823">
      <pivotArea dataOnly="0" labelOnly="1" outline="0" fieldPosition="0">
        <references count="3">
          <reference field="0" count="1" selected="0">
            <x v="10"/>
          </reference>
          <reference field="1" count="1" selected="0">
            <x v="14"/>
          </reference>
          <reference field="2" count="1">
            <x v="4"/>
          </reference>
        </references>
      </pivotArea>
    </format>
    <format dxfId="3822">
      <pivotArea dataOnly="0" labelOnly="1" outline="0" fieldPosition="0">
        <references count="3">
          <reference field="0" count="1" selected="0">
            <x v="11"/>
          </reference>
          <reference field="1" count="1" selected="0">
            <x v="27"/>
          </reference>
          <reference field="2" count="1">
            <x v="0"/>
          </reference>
        </references>
      </pivotArea>
    </format>
    <format dxfId="3821">
      <pivotArea dataOnly="0" labelOnly="1" outline="0" fieldPosition="0">
        <references count="3">
          <reference field="0" count="1" selected="0">
            <x v="12"/>
          </reference>
          <reference field="1" count="1" selected="0">
            <x v="28"/>
          </reference>
          <reference field="2" count="1">
            <x v="3"/>
          </reference>
        </references>
      </pivotArea>
    </format>
    <format dxfId="3820">
      <pivotArea dataOnly="0" labelOnly="1" outline="0" fieldPosition="0">
        <references count="3">
          <reference field="0" count="1" selected="0">
            <x v="13"/>
          </reference>
          <reference field="1" count="1" selected="0">
            <x v="37"/>
          </reference>
          <reference field="2" count="1">
            <x v="1"/>
          </reference>
        </references>
      </pivotArea>
    </format>
    <format dxfId="3819">
      <pivotArea dataOnly="0" labelOnly="1" outline="0" fieldPosition="0">
        <references count="3">
          <reference field="0" count="1" selected="0">
            <x v="14"/>
          </reference>
          <reference field="1" count="1" selected="0">
            <x v="15"/>
          </reference>
          <reference field="2" count="1">
            <x v="2"/>
          </reference>
        </references>
      </pivotArea>
    </format>
    <format dxfId="3818">
      <pivotArea dataOnly="0" labelOnly="1" outline="0" fieldPosition="0">
        <references count="3">
          <reference field="0" count="1" selected="0">
            <x v="15"/>
          </reference>
          <reference field="1" count="1" selected="0">
            <x v="9"/>
          </reference>
          <reference field="2" count="1">
            <x v="3"/>
          </reference>
        </references>
      </pivotArea>
    </format>
    <format dxfId="3817">
      <pivotArea dataOnly="0" labelOnly="1" outline="0" fieldPosition="0">
        <references count="3">
          <reference field="0" count="1" selected="0">
            <x v="16"/>
          </reference>
          <reference field="1" count="1" selected="0">
            <x v="3"/>
          </reference>
          <reference field="2" count="1">
            <x v="4"/>
          </reference>
        </references>
      </pivotArea>
    </format>
    <format dxfId="3816">
      <pivotArea dataOnly="0" labelOnly="1" outline="0" fieldPosition="0">
        <references count="3">
          <reference field="0" count="1" selected="0">
            <x v="17"/>
          </reference>
          <reference field="1" count="1" selected="0">
            <x v="58"/>
          </reference>
          <reference field="2" count="1">
            <x v="1"/>
          </reference>
        </references>
      </pivotArea>
    </format>
    <format dxfId="3815">
      <pivotArea dataOnly="0" labelOnly="1" outline="0" fieldPosition="0">
        <references count="3">
          <reference field="0" count="1" selected="0">
            <x v="18"/>
          </reference>
          <reference field="1" count="1" selected="0">
            <x v="40"/>
          </reference>
          <reference field="2" count="1">
            <x v="2"/>
          </reference>
        </references>
      </pivotArea>
    </format>
    <format dxfId="3814">
      <pivotArea dataOnly="0" labelOnly="1" outline="0" fieldPosition="0">
        <references count="3">
          <reference field="0" count="1" selected="0">
            <x v="19"/>
          </reference>
          <reference field="1" count="1" selected="0">
            <x v="12"/>
          </reference>
          <reference field="2" count="1">
            <x v="4"/>
          </reference>
        </references>
      </pivotArea>
    </format>
    <format dxfId="3813">
      <pivotArea dataOnly="0" labelOnly="1" outline="0" fieldPosition="0">
        <references count="3">
          <reference field="0" count="1" selected="0">
            <x v="21"/>
          </reference>
          <reference field="1" count="1" selected="0">
            <x v="4"/>
          </reference>
          <reference field="2" count="1">
            <x v="0"/>
          </reference>
        </references>
      </pivotArea>
    </format>
    <format dxfId="3812">
      <pivotArea dataOnly="0" labelOnly="1" outline="0" fieldPosition="0">
        <references count="3">
          <reference field="0" count="1" selected="0">
            <x v="22"/>
          </reference>
          <reference field="1" count="1" selected="0">
            <x v="49"/>
          </reference>
          <reference field="2" count="1">
            <x v="3"/>
          </reference>
        </references>
      </pivotArea>
    </format>
    <format dxfId="3811">
      <pivotArea dataOnly="0" labelOnly="1" outline="0" fieldPosition="0">
        <references count="3">
          <reference field="0" count="1" selected="0">
            <x v="24"/>
          </reference>
          <reference field="1" count="1" selected="0">
            <x v="21"/>
          </reference>
          <reference field="2" count="1">
            <x v="2"/>
          </reference>
        </references>
      </pivotArea>
    </format>
    <format dxfId="3810">
      <pivotArea dataOnly="0" labelOnly="1" outline="0" fieldPosition="0">
        <references count="3">
          <reference field="0" count="1" selected="0">
            <x v="26"/>
          </reference>
          <reference field="1" count="1" selected="0">
            <x v="9"/>
          </reference>
          <reference field="2" count="1">
            <x v="3"/>
          </reference>
        </references>
      </pivotArea>
    </format>
    <format dxfId="3809">
      <pivotArea dataOnly="0" labelOnly="1" outline="0" fieldPosition="0">
        <references count="3">
          <reference field="0" count="1" selected="0">
            <x v="27"/>
          </reference>
          <reference field="1" count="1" selected="0">
            <x v="22"/>
          </reference>
          <reference field="2" count="1">
            <x v="2"/>
          </reference>
        </references>
      </pivotArea>
    </format>
    <format dxfId="3808">
      <pivotArea dataOnly="0" labelOnly="1" outline="0" fieldPosition="0">
        <references count="3">
          <reference field="0" count="1" selected="0">
            <x v="28"/>
          </reference>
          <reference field="1" count="1" selected="0">
            <x v="19"/>
          </reference>
          <reference field="2" count="1">
            <x v="5"/>
          </reference>
        </references>
      </pivotArea>
    </format>
    <format dxfId="3807">
      <pivotArea dataOnly="0" labelOnly="1" outline="0" fieldPosition="0">
        <references count="3">
          <reference field="0" count="1" selected="0">
            <x v="29"/>
          </reference>
          <reference field="1" count="1" selected="0">
            <x v="4"/>
          </reference>
          <reference field="2" count="1">
            <x v="0"/>
          </reference>
        </references>
      </pivotArea>
    </format>
    <format dxfId="3806">
      <pivotArea dataOnly="0" labelOnly="1" outline="0" fieldPosition="0">
        <references count="3">
          <reference field="0" count="1" selected="0">
            <x v="30"/>
          </reference>
          <reference field="1" count="1" selected="0">
            <x v="23"/>
          </reference>
          <reference field="2" count="1">
            <x v="2"/>
          </reference>
        </references>
      </pivotArea>
    </format>
    <format dxfId="3805">
      <pivotArea dataOnly="0" labelOnly="1" outline="0" fieldPosition="0">
        <references count="3">
          <reference field="0" count="1" selected="0">
            <x v="31"/>
          </reference>
          <reference field="1" count="1" selected="0">
            <x v="34"/>
          </reference>
          <reference field="2" count="1">
            <x v="5"/>
          </reference>
        </references>
      </pivotArea>
    </format>
    <format dxfId="3804">
      <pivotArea dataOnly="0" labelOnly="1" outline="0" fieldPosition="0">
        <references count="3">
          <reference field="0" count="1" selected="0">
            <x v="32"/>
          </reference>
          <reference field="1" count="1" selected="0">
            <x v="53"/>
          </reference>
          <reference field="2" count="1">
            <x v="1"/>
          </reference>
        </references>
      </pivotArea>
    </format>
    <format dxfId="3803">
      <pivotArea dataOnly="0" labelOnly="1" outline="0" fieldPosition="0">
        <references count="3">
          <reference field="0" count="1" selected="0">
            <x v="33"/>
          </reference>
          <reference field="1" count="1" selected="0">
            <x v="45"/>
          </reference>
          <reference field="2" count="1">
            <x v="5"/>
          </reference>
        </references>
      </pivotArea>
    </format>
    <format dxfId="3802">
      <pivotArea dataOnly="0" labelOnly="1" outline="0" fieldPosition="0">
        <references count="3">
          <reference field="0" count="1" selected="0">
            <x v="34"/>
          </reference>
          <reference field="1" count="1" selected="0">
            <x v="49"/>
          </reference>
          <reference field="2" count="1">
            <x v="3"/>
          </reference>
        </references>
      </pivotArea>
    </format>
    <format dxfId="3801">
      <pivotArea dataOnly="0" labelOnly="1" outline="0" fieldPosition="0">
        <references count="3">
          <reference field="0" count="1" selected="0">
            <x v="35"/>
          </reference>
          <reference field="1" count="1" selected="0">
            <x v="0"/>
          </reference>
          <reference field="2" count="1">
            <x v="0"/>
          </reference>
        </references>
      </pivotArea>
    </format>
    <format dxfId="3800">
      <pivotArea dataOnly="0" labelOnly="1" outline="0" fieldPosition="0">
        <references count="3">
          <reference field="0" count="1" selected="0">
            <x v="36"/>
          </reference>
          <reference field="1" count="1" selected="0">
            <x v="6"/>
          </reference>
          <reference field="2" count="1">
            <x v="3"/>
          </reference>
        </references>
      </pivotArea>
    </format>
    <format dxfId="3799">
      <pivotArea dataOnly="0" labelOnly="1" outline="0" fieldPosition="0">
        <references count="3">
          <reference field="0" count="1" selected="0">
            <x v="37"/>
          </reference>
          <reference field="1" count="1" selected="0">
            <x v="4"/>
          </reference>
          <reference field="2" count="1">
            <x v="0"/>
          </reference>
        </references>
      </pivotArea>
    </format>
    <format dxfId="3798">
      <pivotArea dataOnly="0" labelOnly="1" outline="0" fieldPosition="0">
        <references count="3">
          <reference field="0" count="1" selected="0">
            <x v="38"/>
          </reference>
          <reference field="1" count="1" selected="0">
            <x v="35"/>
          </reference>
          <reference field="2" count="1">
            <x v="4"/>
          </reference>
        </references>
      </pivotArea>
    </format>
    <format dxfId="3797">
      <pivotArea dataOnly="0" labelOnly="1" outline="0" fieldPosition="0">
        <references count="3">
          <reference field="0" count="1" selected="0">
            <x v="39"/>
          </reference>
          <reference field="1" count="1" selected="0">
            <x v="41"/>
          </reference>
          <reference field="2" count="1">
            <x v="0"/>
          </reference>
        </references>
      </pivotArea>
    </format>
    <format dxfId="3796">
      <pivotArea dataOnly="0" labelOnly="1" outline="0" fieldPosition="0">
        <references count="3">
          <reference field="0" count="1" selected="0">
            <x v="41"/>
          </reference>
          <reference field="1" count="1" selected="0">
            <x v="22"/>
          </reference>
          <reference field="2" count="1">
            <x v="2"/>
          </reference>
        </references>
      </pivotArea>
    </format>
    <format dxfId="3795">
      <pivotArea dataOnly="0" labelOnly="1" outline="0" fieldPosition="0">
        <references count="3">
          <reference field="0" count="1" selected="0">
            <x v="42"/>
          </reference>
          <reference field="1" count="1" selected="0">
            <x v="12"/>
          </reference>
          <reference field="2" count="1">
            <x v="4"/>
          </reference>
        </references>
      </pivotArea>
    </format>
    <format dxfId="3794">
      <pivotArea dataOnly="0" labelOnly="1" outline="0" fieldPosition="0">
        <references count="3">
          <reference field="0" count="1" selected="0">
            <x v="43"/>
          </reference>
          <reference field="1" count="1" selected="0">
            <x v="30"/>
          </reference>
          <reference field="2" count="1">
            <x v="1"/>
          </reference>
        </references>
      </pivotArea>
    </format>
    <format dxfId="3793">
      <pivotArea dataOnly="0" labelOnly="1" outline="0" fieldPosition="0">
        <references count="3">
          <reference field="0" count="1" selected="0">
            <x v="44"/>
          </reference>
          <reference field="1" count="1" selected="0">
            <x v="14"/>
          </reference>
          <reference field="2" count="1">
            <x v="4"/>
          </reference>
        </references>
      </pivotArea>
    </format>
    <format dxfId="3792">
      <pivotArea dataOnly="0" labelOnly="1" outline="0" fieldPosition="0">
        <references count="3">
          <reference field="0" count="1" selected="0">
            <x v="45"/>
          </reference>
          <reference field="1" count="1" selected="0">
            <x v="50"/>
          </reference>
          <reference field="2" count="1">
            <x v="3"/>
          </reference>
        </references>
      </pivotArea>
    </format>
    <format dxfId="3791">
      <pivotArea dataOnly="0" labelOnly="1" outline="0" fieldPosition="0">
        <references count="3">
          <reference field="0" count="1" selected="0">
            <x v="46"/>
          </reference>
          <reference field="1" count="1" selected="0">
            <x v="42"/>
          </reference>
          <reference field="2" count="1">
            <x v="2"/>
          </reference>
        </references>
      </pivotArea>
    </format>
    <format dxfId="3790">
      <pivotArea dataOnly="0" labelOnly="1" outline="0" fieldPosition="0">
        <references count="3">
          <reference field="0" count="1" selected="0">
            <x v="47"/>
          </reference>
          <reference field="1" count="1" selected="0">
            <x v="9"/>
          </reference>
          <reference field="2" count="1">
            <x v="3"/>
          </reference>
        </references>
      </pivotArea>
    </format>
    <format dxfId="3789">
      <pivotArea dataOnly="0" labelOnly="1" outline="0" fieldPosition="0">
        <references count="3">
          <reference field="0" count="1" selected="0">
            <x v="49"/>
          </reference>
          <reference field="1" count="1" selected="0">
            <x v="14"/>
          </reference>
          <reference field="2" count="1">
            <x v="4"/>
          </reference>
        </references>
      </pivotArea>
    </format>
    <format dxfId="3788">
      <pivotArea dataOnly="0" labelOnly="1" outline="0" fieldPosition="0">
        <references count="3">
          <reference field="0" count="1" selected="0">
            <x v="50"/>
          </reference>
          <reference field="1" count="1" selected="0">
            <x v="23"/>
          </reference>
          <reference field="2" count="1">
            <x v="2"/>
          </reference>
        </references>
      </pivotArea>
    </format>
    <format dxfId="3787">
      <pivotArea dataOnly="0" labelOnly="1" outline="0" fieldPosition="0">
        <references count="3">
          <reference field="0" count="1" selected="0">
            <x v="51"/>
          </reference>
          <reference field="1" count="1" selected="0">
            <x v="17"/>
          </reference>
          <reference field="2" count="1">
            <x v="4"/>
          </reference>
        </references>
      </pivotArea>
    </format>
    <format dxfId="3786">
      <pivotArea dataOnly="0" labelOnly="1" outline="0" fieldPosition="0">
        <references count="3">
          <reference field="0" count="1" selected="0">
            <x v="52"/>
          </reference>
          <reference field="1" count="1" selected="0">
            <x v="16"/>
          </reference>
          <reference field="2" count="1">
            <x v="5"/>
          </reference>
        </references>
      </pivotArea>
    </format>
    <format dxfId="3785">
      <pivotArea dataOnly="0" labelOnly="1" outline="0" fieldPosition="0">
        <references count="3">
          <reference field="0" count="1" selected="0">
            <x v="53"/>
          </reference>
          <reference field="1" count="1" selected="0">
            <x v="10"/>
          </reference>
          <reference field="2" count="1">
            <x v="4"/>
          </reference>
        </references>
      </pivotArea>
    </format>
    <format dxfId="3784">
      <pivotArea dataOnly="0" labelOnly="1" outline="0" fieldPosition="0">
        <references count="3">
          <reference field="0" count="1" selected="0">
            <x v="54"/>
          </reference>
          <reference field="1" count="1" selected="0">
            <x v="40"/>
          </reference>
          <reference field="2" count="1">
            <x v="2"/>
          </reference>
        </references>
      </pivotArea>
    </format>
    <format dxfId="3783">
      <pivotArea dataOnly="0" labelOnly="1" outline="0" fieldPosition="0">
        <references count="3">
          <reference field="0" count="1" selected="0">
            <x v="55"/>
          </reference>
          <reference field="1" count="1" selected="0">
            <x v="13"/>
          </reference>
          <reference field="2" count="1">
            <x v="3"/>
          </reference>
        </references>
      </pivotArea>
    </format>
    <format dxfId="3782">
      <pivotArea dataOnly="0" labelOnly="1" outline="0" fieldPosition="0">
        <references count="3">
          <reference field="0" count="1" selected="0">
            <x v="56"/>
          </reference>
          <reference field="1" count="1" selected="0">
            <x v="37"/>
          </reference>
          <reference field="2" count="1">
            <x v="1"/>
          </reference>
        </references>
      </pivotArea>
    </format>
    <format dxfId="3781">
      <pivotArea dataOnly="0" labelOnly="1" outline="0" fieldPosition="0">
        <references count="3">
          <reference field="0" count="1" selected="0">
            <x v="57"/>
          </reference>
          <reference field="1" count="1" selected="0">
            <x v="48"/>
          </reference>
          <reference field="2" count="1">
            <x v="5"/>
          </reference>
        </references>
      </pivotArea>
    </format>
    <format dxfId="3780">
      <pivotArea dataOnly="0" labelOnly="1" outline="0" fieldPosition="0">
        <references count="3">
          <reference field="0" count="1" selected="0">
            <x v="59"/>
          </reference>
          <reference field="1" count="1" selected="0">
            <x v="24"/>
          </reference>
          <reference field="2" count="1">
            <x v="0"/>
          </reference>
        </references>
      </pivotArea>
    </format>
    <format dxfId="3779">
      <pivotArea dataOnly="0" labelOnly="1" outline="0" fieldPosition="0">
        <references count="3">
          <reference field="0" count="1" selected="0">
            <x v="60"/>
          </reference>
          <reference field="1" count="1" selected="0">
            <x v="34"/>
          </reference>
          <reference field="2" count="1">
            <x v="5"/>
          </reference>
        </references>
      </pivotArea>
    </format>
    <format dxfId="3778">
      <pivotArea dataOnly="0" labelOnly="1" outline="0" fieldPosition="0">
        <references count="3">
          <reference field="0" count="1" selected="0">
            <x v="61"/>
          </reference>
          <reference field="1" count="1" selected="0">
            <x v="59"/>
          </reference>
          <reference field="2" count="1">
            <x v="2"/>
          </reference>
        </references>
      </pivotArea>
    </format>
    <format dxfId="3777">
      <pivotArea dataOnly="0" labelOnly="1" outline="0" fieldPosition="0">
        <references count="3">
          <reference field="0" count="1" selected="0">
            <x v="62"/>
          </reference>
          <reference field="1" count="1" selected="0">
            <x v="10"/>
          </reference>
          <reference field="2" count="1">
            <x v="4"/>
          </reference>
        </references>
      </pivotArea>
    </format>
    <format dxfId="3776">
      <pivotArea dataOnly="0" labelOnly="1" outline="0" fieldPosition="0">
        <references count="3">
          <reference field="0" count="1" selected="0">
            <x v="63"/>
          </reference>
          <reference field="1" count="1" selected="0">
            <x v="16"/>
          </reference>
          <reference field="2" count="1">
            <x v="5"/>
          </reference>
        </references>
      </pivotArea>
    </format>
    <format dxfId="3775">
      <pivotArea dataOnly="0" labelOnly="1" outline="0" fieldPosition="0">
        <references count="3">
          <reference field="0" count="1" selected="0">
            <x v="64"/>
          </reference>
          <reference field="1" count="1" selected="0">
            <x v="4"/>
          </reference>
          <reference field="2" count="1">
            <x v="0"/>
          </reference>
        </references>
      </pivotArea>
    </format>
    <format dxfId="3774">
      <pivotArea dataOnly="0" labelOnly="1" outline="0" fieldPosition="0">
        <references count="3">
          <reference field="0" count="1" selected="0">
            <x v="65"/>
          </reference>
          <reference field="1" count="1" selected="0">
            <x v="9"/>
          </reference>
          <reference field="2" count="1">
            <x v="3"/>
          </reference>
        </references>
      </pivotArea>
    </format>
    <format dxfId="3773">
      <pivotArea dataOnly="0" labelOnly="1" outline="0" fieldPosition="0">
        <references count="3">
          <reference field="0" count="1" selected="0">
            <x v="66"/>
          </reference>
          <reference field="1" count="1" selected="0">
            <x v="43"/>
          </reference>
          <reference field="2" count="1">
            <x v="0"/>
          </reference>
        </references>
      </pivotArea>
    </format>
    <format dxfId="3772">
      <pivotArea dataOnly="0" labelOnly="1" outline="0" fieldPosition="0">
        <references count="3">
          <reference field="0" count="1" selected="0">
            <x v="67"/>
          </reference>
          <reference field="1" count="1" selected="0">
            <x v="44"/>
          </reference>
          <reference field="2" count="1">
            <x v="5"/>
          </reference>
        </references>
      </pivotArea>
    </format>
    <format dxfId="3771">
      <pivotArea dataOnly="0" labelOnly="1" outline="0" fieldPosition="0">
        <references count="3">
          <reference field="0" count="1" selected="0">
            <x v="69"/>
          </reference>
          <reference field="1" count="1" selected="0">
            <x v="20"/>
          </reference>
          <reference field="2" count="1">
            <x v="4"/>
          </reference>
        </references>
      </pivotArea>
    </format>
    <format dxfId="3770">
      <pivotArea dataOnly="0" labelOnly="1" outline="0" fieldPosition="0">
        <references count="3">
          <reference field="0" count="1" selected="0">
            <x v="70"/>
          </reference>
          <reference field="1" count="1" selected="0">
            <x v="1"/>
          </reference>
          <reference field="2" count="1">
            <x v="5"/>
          </reference>
        </references>
      </pivotArea>
    </format>
    <format dxfId="3769">
      <pivotArea dataOnly="0" labelOnly="1" outline="0" fieldPosition="0">
        <references count="3">
          <reference field="0" count="1" selected="0">
            <x v="71"/>
          </reference>
          <reference field="1" count="1" selected="0">
            <x v="30"/>
          </reference>
          <reference field="2" count="1">
            <x v="1"/>
          </reference>
        </references>
      </pivotArea>
    </format>
    <format dxfId="3768">
      <pivotArea dataOnly="0" labelOnly="1" outline="0" fieldPosition="0">
        <references count="3">
          <reference field="0" count="1" selected="0">
            <x v="72"/>
          </reference>
          <reference field="1" count="1" selected="0">
            <x v="33"/>
          </reference>
          <reference field="2" count="1">
            <x v="4"/>
          </reference>
        </references>
      </pivotArea>
    </format>
    <format dxfId="3767">
      <pivotArea dataOnly="0" labelOnly="1" outline="0" fieldPosition="0">
        <references count="3">
          <reference field="0" count="1" selected="0">
            <x v="73"/>
          </reference>
          <reference field="1" count="1" selected="0">
            <x v="44"/>
          </reference>
          <reference field="2" count="1">
            <x v="5"/>
          </reference>
        </references>
      </pivotArea>
    </format>
    <format dxfId="3766">
      <pivotArea dataOnly="0" labelOnly="1" outline="0" fieldPosition="0">
        <references count="3">
          <reference field="0" count="1" selected="0">
            <x v="74"/>
          </reference>
          <reference field="1" count="1" selected="0">
            <x v="59"/>
          </reference>
          <reference field="2" count="1">
            <x v="2"/>
          </reference>
        </references>
      </pivotArea>
    </format>
    <format dxfId="3765">
      <pivotArea dataOnly="0" labelOnly="1" outline="0" fieldPosition="0">
        <references count="3">
          <reference field="0" count="1" selected="0">
            <x v="75"/>
          </reference>
          <reference field="1" count="1" selected="0">
            <x v="5"/>
          </reference>
          <reference field="2" count="1">
            <x v="0"/>
          </reference>
        </references>
      </pivotArea>
    </format>
    <format dxfId="3764">
      <pivotArea dataOnly="0" labelOnly="1" outline="0" fieldPosition="0">
        <references count="3">
          <reference field="0" count="1" selected="0">
            <x v="76"/>
          </reference>
          <reference field="1" count="1" selected="0">
            <x v="55"/>
          </reference>
          <reference field="2" count="1">
            <x v="1"/>
          </reference>
        </references>
      </pivotArea>
    </format>
    <format dxfId="3763">
      <pivotArea dataOnly="0" labelOnly="1" outline="0" fieldPosition="0">
        <references count="3">
          <reference field="0" count="1" selected="0">
            <x v="77"/>
          </reference>
          <reference field="1" count="1" selected="0">
            <x v="59"/>
          </reference>
          <reference field="2" count="1">
            <x v="2"/>
          </reference>
        </references>
      </pivotArea>
    </format>
    <format dxfId="3762">
      <pivotArea dataOnly="0" labelOnly="1" outline="0" fieldPosition="0">
        <references count="3">
          <reference field="0" count="1" selected="0">
            <x v="78"/>
          </reference>
          <reference field="1" count="1" selected="0">
            <x v="4"/>
          </reference>
          <reference field="2" count="1">
            <x v="0"/>
          </reference>
        </references>
      </pivotArea>
    </format>
    <format dxfId="3761">
      <pivotArea dataOnly="0" labelOnly="1" outline="0" fieldPosition="0">
        <references count="3">
          <reference field="0" count="1" selected="0">
            <x v="79"/>
          </reference>
          <reference field="1" count="1" selected="0">
            <x v="9"/>
          </reference>
          <reference field="2" count="1">
            <x v="3"/>
          </reference>
        </references>
      </pivotArea>
    </format>
    <format dxfId="3760">
      <pivotArea dataOnly="0" labelOnly="1" outline="0" fieldPosition="0">
        <references count="3">
          <reference field="0" count="1" selected="0">
            <x v="80"/>
          </reference>
          <reference field="1" count="1" selected="0">
            <x v="48"/>
          </reference>
          <reference field="2" count="1">
            <x v="5"/>
          </reference>
        </references>
      </pivotArea>
    </format>
    <format dxfId="3759">
      <pivotArea dataOnly="0" labelOnly="1" outline="0" fieldPosition="0">
        <references count="3">
          <reference field="0" count="1" selected="0">
            <x v="81"/>
          </reference>
          <reference field="1" count="1" selected="0">
            <x v="54"/>
          </reference>
          <reference field="2" count="1">
            <x v="2"/>
          </reference>
        </references>
      </pivotArea>
    </format>
    <format dxfId="3758">
      <pivotArea dataOnly="0" labelOnly="1" outline="0" fieldPosition="0">
        <references count="3">
          <reference field="0" count="1" selected="0">
            <x v="82"/>
          </reference>
          <reference field="1" count="1" selected="0">
            <x v="52"/>
          </reference>
          <reference field="2" count="1">
            <x v="1"/>
          </reference>
        </references>
      </pivotArea>
    </format>
    <format dxfId="3757">
      <pivotArea dataOnly="0" labelOnly="1" outline="0" fieldPosition="0">
        <references count="3">
          <reference field="0" count="1" selected="0">
            <x v="83"/>
          </reference>
          <reference field="1" count="1" selected="0">
            <x v="46"/>
          </reference>
          <reference field="2" count="1">
            <x v="3"/>
          </reference>
        </references>
      </pivotArea>
    </format>
    <format dxfId="3756">
      <pivotArea dataOnly="0" labelOnly="1" outline="0" fieldPosition="0">
        <references count="3">
          <reference field="0" count="1" selected="0">
            <x v="84"/>
          </reference>
          <reference field="1" count="1" selected="0">
            <x v="39"/>
          </reference>
          <reference field="2" count="1">
            <x v="2"/>
          </reference>
        </references>
      </pivotArea>
    </format>
    <format dxfId="3755">
      <pivotArea dataOnly="0" labelOnly="1" outline="0" fieldPosition="0">
        <references count="3">
          <reference field="0" count="1" selected="0">
            <x v="85"/>
          </reference>
          <reference field="1" count="1" selected="0">
            <x v="10"/>
          </reference>
          <reference field="2" count="1">
            <x v="4"/>
          </reference>
        </references>
      </pivotArea>
    </format>
    <format dxfId="3754">
      <pivotArea dataOnly="0" labelOnly="1" outline="0" fieldPosition="0">
        <references count="3">
          <reference field="0" count="1" selected="0">
            <x v="86"/>
          </reference>
          <reference field="1" count="1" selected="0">
            <x v="29"/>
          </reference>
          <reference field="2" count="1">
            <x v="1"/>
          </reference>
        </references>
      </pivotArea>
    </format>
    <format dxfId="3753">
      <pivotArea dataOnly="0" labelOnly="1" outline="0" fieldPosition="0">
        <references count="3">
          <reference field="0" count="1" selected="0">
            <x v="87"/>
          </reference>
          <reference field="1" count="1" selected="0">
            <x v="4"/>
          </reference>
          <reference field="2" count="1">
            <x v="0"/>
          </reference>
        </references>
      </pivotArea>
    </format>
    <format dxfId="3752">
      <pivotArea dataOnly="0" labelOnly="1" outline="0" fieldPosition="0">
        <references count="3">
          <reference field="0" count="1" selected="0">
            <x v="88"/>
          </reference>
          <reference field="1" count="1" selected="0">
            <x v="2"/>
          </reference>
          <reference field="2" count="1">
            <x v="3"/>
          </reference>
        </references>
      </pivotArea>
    </format>
    <format dxfId="3751">
      <pivotArea dataOnly="0" labelOnly="1" outline="0" fieldPosition="0">
        <references count="3">
          <reference field="0" count="1" selected="0">
            <x v="89"/>
          </reference>
          <reference field="1" count="1" selected="0">
            <x v="52"/>
          </reference>
          <reference field="2" count="1">
            <x v="1"/>
          </reference>
        </references>
      </pivotArea>
    </format>
    <format dxfId="3750">
      <pivotArea dataOnly="0" labelOnly="1" outline="0" fieldPosition="0">
        <references count="3">
          <reference field="0" count="1" selected="0">
            <x v="91"/>
          </reference>
          <reference field="1" count="1" selected="0">
            <x v="51"/>
          </reference>
          <reference field="2" count="1">
            <x v="0"/>
          </reference>
        </references>
      </pivotArea>
    </format>
    <format dxfId="3749">
      <pivotArea dataOnly="0" labelOnly="1" outline="0" fieldPosition="0">
        <references count="3">
          <reference field="0" count="1" selected="0">
            <x v="94"/>
          </reference>
          <reference field="1" count="1" selected="0">
            <x v="42"/>
          </reference>
          <reference field="2" count="1">
            <x v="2"/>
          </reference>
        </references>
      </pivotArea>
    </format>
    <format dxfId="3748">
      <pivotArea dataOnly="0" labelOnly="1" outline="0" fieldPosition="0">
        <references count="3">
          <reference field="0" count="1" selected="0">
            <x v="95"/>
          </reference>
          <reference field="1" count="1" selected="0">
            <x v="51"/>
          </reference>
          <reference field="2" count="1">
            <x v="0"/>
          </reference>
        </references>
      </pivotArea>
    </format>
    <format dxfId="3747">
      <pivotArea dataOnly="0" labelOnly="1" outline="0" fieldPosition="0">
        <references count="3">
          <reference field="0" count="1" selected="0">
            <x v="96"/>
          </reference>
          <reference field="1" count="1" selected="0">
            <x v="31"/>
          </reference>
          <reference field="2" count="1">
            <x v="3"/>
          </reference>
        </references>
      </pivotArea>
    </format>
    <format dxfId="3746">
      <pivotArea dataOnly="0" labelOnly="1" outline="0" fieldPosition="0">
        <references count="3">
          <reference field="0" count="1" selected="0">
            <x v="97"/>
          </reference>
          <reference field="1" count="1" selected="0">
            <x v="38"/>
          </reference>
          <reference field="2" count="1">
            <x v="5"/>
          </reference>
        </references>
      </pivotArea>
    </format>
    <format dxfId="3745">
      <pivotArea dataOnly="0" labelOnly="1" outline="0" fieldPosition="0">
        <references count="3">
          <reference field="0" count="1" selected="0">
            <x v="99"/>
          </reference>
          <reference field="1" count="1" selected="0">
            <x v="27"/>
          </reference>
          <reference field="2" count="1">
            <x v="0"/>
          </reference>
        </references>
      </pivotArea>
    </format>
    <format dxfId="3744">
      <pivotArea dataOnly="0" labelOnly="1" outline="0" fieldPosition="0">
        <references count="3">
          <reference field="0" count="1" selected="0">
            <x v="101"/>
          </reference>
          <reference field="1" count="1" selected="0">
            <x v="49"/>
          </reference>
          <reference field="2" count="1">
            <x v="3"/>
          </reference>
        </references>
      </pivotArea>
    </format>
    <format dxfId="3743">
      <pivotArea dataOnly="0" labelOnly="1" outline="0" fieldPosition="0">
        <references count="3">
          <reference field="0" count="1" selected="0">
            <x v="102"/>
          </reference>
          <reference field="1" count="1" selected="0">
            <x v="35"/>
          </reference>
          <reference field="2" count="1">
            <x v="4"/>
          </reference>
        </references>
      </pivotArea>
    </format>
    <format dxfId="3742">
      <pivotArea dataOnly="0" labelOnly="1" outline="0" fieldPosition="0">
        <references count="3">
          <reference field="0" count="1" selected="0">
            <x v="103"/>
          </reference>
          <reference field="1" count="1" selected="0">
            <x v="42"/>
          </reference>
          <reference field="2" count="1">
            <x v="2"/>
          </reference>
        </references>
      </pivotArea>
    </format>
    <format dxfId="3741">
      <pivotArea dataOnly="0" labelOnly="1" outline="0" fieldPosition="0">
        <references count="3">
          <reference field="0" count="1" selected="0">
            <x v="104"/>
          </reference>
          <reference field="1" count="1" selected="0">
            <x v="25"/>
          </reference>
          <reference field="2" count="1">
            <x v="1"/>
          </reference>
        </references>
      </pivotArea>
    </format>
    <format dxfId="3740">
      <pivotArea dataOnly="0" labelOnly="1" outline="0" fieldPosition="0">
        <references count="3">
          <reference field="0" count="1" selected="0">
            <x v="105"/>
          </reference>
          <reference field="1" count="1" selected="0">
            <x v="26"/>
          </reference>
          <reference field="2" count="1">
            <x v="5"/>
          </reference>
        </references>
      </pivotArea>
    </format>
    <format dxfId="3739">
      <pivotArea dataOnly="0" labelOnly="1" outline="0" fieldPosition="0">
        <references count="3">
          <reference field="0" count="1" selected="0">
            <x v="106"/>
          </reference>
          <reference field="1" count="1" selected="0">
            <x v="6"/>
          </reference>
          <reference field="2" count="1">
            <x v="3"/>
          </reference>
        </references>
      </pivotArea>
    </format>
    <format dxfId="3738">
      <pivotArea dataOnly="0" labelOnly="1" outline="0" fieldPosition="0">
        <references count="3">
          <reference field="0" count="1" selected="0">
            <x v="107"/>
          </reference>
          <reference field="1" count="1" selected="0">
            <x v="0"/>
          </reference>
          <reference field="2" count="1">
            <x v="0"/>
          </reference>
        </references>
      </pivotArea>
    </format>
    <format dxfId="3737">
      <pivotArea dataOnly="0" labelOnly="1" outline="0" fieldPosition="0">
        <references count="3">
          <reference field="0" count="1" selected="0">
            <x v="108"/>
          </reference>
          <reference field="1" count="1" selected="0">
            <x v="44"/>
          </reference>
          <reference field="2" count="1">
            <x v="5"/>
          </reference>
        </references>
      </pivotArea>
    </format>
    <format dxfId="3736">
      <pivotArea dataOnly="0" labelOnly="1" outline="0" fieldPosition="0">
        <references count="3">
          <reference field="0" count="1" selected="0">
            <x v="111"/>
          </reference>
          <reference field="1" count="1" selected="0">
            <x v="49"/>
          </reference>
          <reference field="2" count="1">
            <x v="3"/>
          </reference>
        </references>
      </pivotArea>
    </format>
    <format dxfId="3735">
      <pivotArea dataOnly="0" labelOnly="1" outline="0" fieldPosition="0">
        <references count="3">
          <reference field="0" count="1" selected="0">
            <x v="112"/>
          </reference>
          <reference field="1" count="1" selected="0">
            <x v="57"/>
          </reference>
          <reference field="2" count="1">
            <x v="0"/>
          </reference>
        </references>
      </pivotArea>
    </format>
    <format dxfId="3734">
      <pivotArea dataOnly="0" labelOnly="1" outline="0" fieldPosition="0">
        <references count="3">
          <reference field="0" count="1" selected="0">
            <x v="113"/>
          </reference>
          <reference field="1" count="1" selected="0">
            <x v="21"/>
          </reference>
          <reference field="2" count="1">
            <x v="2"/>
          </reference>
        </references>
      </pivotArea>
    </format>
    <format dxfId="3733">
      <pivotArea dataOnly="0" labelOnly="1" outline="0" fieldPosition="0">
        <references count="3">
          <reference field="0" count="1" selected="0">
            <x v="115"/>
          </reference>
          <reference field="1" count="1" selected="0">
            <x v="1"/>
          </reference>
          <reference field="2" count="1">
            <x v="5"/>
          </reference>
        </references>
      </pivotArea>
    </format>
    <format dxfId="3732">
      <pivotArea dataOnly="0" labelOnly="1" outline="0" fieldPosition="0">
        <references count="3">
          <reference field="0" count="1" selected="0">
            <x v="116"/>
          </reference>
          <reference field="1" count="1" selected="0">
            <x v="37"/>
          </reference>
          <reference field="2" count="1">
            <x v="1"/>
          </reference>
        </references>
      </pivotArea>
    </format>
    <format dxfId="3731">
      <pivotArea dataOnly="0" labelOnly="1" outline="0" fieldPosition="0">
        <references count="3">
          <reference field="0" count="1" selected="0">
            <x v="117"/>
          </reference>
          <reference field="1" count="1" selected="0">
            <x v="39"/>
          </reference>
          <reference field="2" count="1">
            <x v="2"/>
          </reference>
        </references>
      </pivotArea>
    </format>
    <format dxfId="3730">
      <pivotArea dataOnly="0" labelOnly="1" outline="0" fieldPosition="0">
        <references count="3">
          <reference field="0" count="1" selected="0">
            <x v="118"/>
          </reference>
          <reference field="1" count="1" selected="0">
            <x v="7"/>
          </reference>
          <reference field="2" count="1">
            <x v="3"/>
          </reference>
        </references>
      </pivotArea>
    </format>
    <format dxfId="3729">
      <pivotArea dataOnly="0" labelOnly="1" outline="0" fieldPosition="0">
        <references count="3">
          <reference field="0" count="1" selected="0">
            <x v="119"/>
          </reference>
          <reference field="1" count="1" selected="0">
            <x v="44"/>
          </reference>
          <reference field="2" count="1">
            <x v="5"/>
          </reference>
        </references>
      </pivotArea>
    </format>
    <format dxfId="3728">
      <pivotArea dataOnly="0" labelOnly="1" outline="0" fieldPosition="0">
        <references count="3">
          <reference field="0" count="1" selected="0">
            <x v="121"/>
          </reference>
          <reference field="1" count="1" selected="0">
            <x v="50"/>
          </reference>
          <reference field="2" count="1">
            <x v="3"/>
          </reference>
        </references>
      </pivotArea>
    </format>
    <format dxfId="3727">
      <pivotArea dataOnly="0" labelOnly="1" outline="0" fieldPosition="0">
        <references count="3">
          <reference field="0" count="1" selected="0">
            <x v="122"/>
          </reference>
          <reference field="1" count="1" selected="0">
            <x v="21"/>
          </reference>
          <reference field="2" count="1">
            <x v="2"/>
          </reference>
        </references>
      </pivotArea>
    </format>
    <format dxfId="3726">
      <pivotArea dataOnly="0" labelOnly="1" outline="0" fieldPosition="0">
        <references count="3">
          <reference field="0" count="1" selected="0">
            <x v="124"/>
          </reference>
          <reference field="1" count="1" selected="0">
            <x v="36"/>
          </reference>
          <reference field="2" count="1">
            <x v="1"/>
          </reference>
        </references>
      </pivotArea>
    </format>
    <format dxfId="3725">
      <pivotArea dataOnly="0" labelOnly="1" outline="0" fieldPosition="0">
        <references count="3">
          <reference field="0" count="1" selected="0">
            <x v="125"/>
          </reference>
          <reference field="1" count="1" selected="0">
            <x v="2"/>
          </reference>
          <reference field="2" count="1">
            <x v="3"/>
          </reference>
        </references>
      </pivotArea>
    </format>
    <format dxfId="3724">
      <pivotArea dataOnly="0" labelOnly="1" outline="0" fieldPosition="0">
        <references count="3">
          <reference field="0" count="1" selected="0">
            <x v="127"/>
          </reference>
          <reference field="1" count="1" selected="0">
            <x v="35"/>
          </reference>
          <reference field="2" count="1">
            <x v="4"/>
          </reference>
        </references>
      </pivotArea>
    </format>
    <format dxfId="3723">
      <pivotArea dataOnly="0" labelOnly="1" outline="0" fieldPosition="0">
        <references count="3">
          <reference field="0" count="1" selected="0">
            <x v="129"/>
          </reference>
          <reference field="1" count="1" selected="0">
            <x v="1"/>
          </reference>
          <reference field="2" count="1">
            <x v="5"/>
          </reference>
        </references>
      </pivotArea>
    </format>
    <format dxfId="3722">
      <pivotArea dataOnly="0" labelOnly="1" outline="0" fieldPosition="0">
        <references count="3">
          <reference field="0" count="1" selected="0">
            <x v="130"/>
          </reference>
          <reference field="1" count="1" selected="0">
            <x v="41"/>
          </reference>
          <reference field="2" count="1">
            <x v="0"/>
          </reference>
        </references>
      </pivotArea>
    </format>
    <format dxfId="3721">
      <pivotArea dataOnly="0" labelOnly="1" outline="0" fieldPosition="0">
        <references count="3">
          <reference field="0" count="1" selected="0">
            <x v="131"/>
          </reference>
          <reference field="1" count="1" selected="0">
            <x v="40"/>
          </reference>
          <reference field="2" count="1">
            <x v="2"/>
          </reference>
        </references>
      </pivotArea>
    </format>
    <format dxfId="3720">
      <pivotArea dataOnly="0" labelOnly="1" outline="0" fieldPosition="0">
        <references count="3">
          <reference field="0" count="1" selected="0">
            <x v="132"/>
          </reference>
          <reference field="1" count="1" selected="0">
            <x v="14"/>
          </reference>
          <reference field="2" count="1">
            <x v="4"/>
          </reference>
        </references>
      </pivotArea>
    </format>
    <format dxfId="3719">
      <pivotArea dataOnly="0" labelOnly="1" outline="0" fieldPosition="0">
        <references count="3">
          <reference field="0" count="1" selected="0">
            <x v="133"/>
          </reference>
          <reference field="1" count="1" selected="0">
            <x v="24"/>
          </reference>
          <reference field="2" count="1">
            <x v="0"/>
          </reference>
        </references>
      </pivotArea>
    </format>
    <format dxfId="3718">
      <pivotArea dataOnly="0" labelOnly="1" outline="0" fieldPosition="0">
        <references count="3">
          <reference field="0" count="1" selected="0">
            <x v="134"/>
          </reference>
          <reference field="1" count="1" selected="0">
            <x v="13"/>
          </reference>
          <reference field="2" count="1">
            <x v="3"/>
          </reference>
        </references>
      </pivotArea>
    </format>
    <format dxfId="3717">
      <pivotArea dataOnly="0" labelOnly="1" outline="0" fieldPosition="0">
        <references count="3">
          <reference field="0" count="1" selected="0">
            <x v="135"/>
          </reference>
          <reference field="1" count="1" selected="0">
            <x v="42"/>
          </reference>
          <reference field="2" count="1">
            <x v="2"/>
          </reference>
        </references>
      </pivotArea>
    </format>
    <format dxfId="3716">
      <pivotArea dataOnly="0" labelOnly="1" outline="0" fieldPosition="0">
        <references count="3">
          <reference field="0" count="1" selected="0">
            <x v="136"/>
          </reference>
          <reference field="1" count="1" selected="0">
            <x v="52"/>
          </reference>
          <reference field="2" count="1">
            <x v="1"/>
          </reference>
        </references>
      </pivotArea>
    </format>
    <format dxfId="3715">
      <pivotArea dataOnly="0" labelOnly="1" outline="0" fieldPosition="0">
        <references count="3">
          <reference field="0" count="1" selected="0">
            <x v="137"/>
          </reference>
          <reference field="1" count="1" selected="0">
            <x v="39"/>
          </reference>
          <reference field="2" count="1">
            <x v="2"/>
          </reference>
        </references>
      </pivotArea>
    </format>
    <format dxfId="3714">
      <pivotArea dataOnly="0" labelOnly="1" outline="0" fieldPosition="0">
        <references count="3">
          <reference field="0" count="1" selected="0">
            <x v="138"/>
          </reference>
          <reference field="1" count="1" selected="0">
            <x v="45"/>
          </reference>
          <reference field="2" count="1">
            <x v="5"/>
          </reference>
        </references>
      </pivotArea>
    </format>
    <format dxfId="3713">
      <pivotArea dataOnly="0" labelOnly="1" outline="0" fieldPosition="0">
        <references count="3">
          <reference field="0" count="1" selected="0">
            <x v="140"/>
          </reference>
          <reference field="1" count="1" selected="0">
            <x v="40"/>
          </reference>
          <reference field="2" count="1">
            <x v="2"/>
          </reference>
        </references>
      </pivotArea>
    </format>
    <format dxfId="3712">
      <pivotArea dataOnly="0" labelOnly="1" outline="0" fieldPosition="0">
        <references count="3">
          <reference field="0" count="1" selected="0">
            <x v="141"/>
          </reference>
          <reference field="1" count="1" selected="0">
            <x v="1"/>
          </reference>
          <reference field="2" count="1">
            <x v="5"/>
          </reference>
        </references>
      </pivotArea>
    </format>
    <format dxfId="3711">
      <pivotArea dataOnly="0" labelOnly="1" outline="0" fieldPosition="0">
        <references count="3">
          <reference field="0" count="1" selected="0">
            <x v="143"/>
          </reference>
          <reference field="1" count="1" selected="0">
            <x v="25"/>
          </reference>
          <reference field="2" count="1">
            <x v="1"/>
          </reference>
        </references>
      </pivotArea>
    </format>
    <format dxfId="3710">
      <pivotArea dataOnly="0" labelOnly="1" outline="0" fieldPosition="0">
        <references count="3">
          <reference field="0" count="1" selected="0">
            <x v="146"/>
          </reference>
          <reference field="1" count="1" selected="0">
            <x v="4"/>
          </reference>
          <reference field="2" count="1">
            <x v="0"/>
          </reference>
        </references>
      </pivotArea>
    </format>
    <format dxfId="3709">
      <pivotArea dataOnly="0" labelOnly="1" outline="0" fieldPosition="0">
        <references count="3">
          <reference field="0" count="1" selected="0">
            <x v="147"/>
          </reference>
          <reference field="1" count="1" selected="0">
            <x v="42"/>
          </reference>
          <reference field="2" count="1">
            <x v="2"/>
          </reference>
        </references>
      </pivotArea>
    </format>
    <format dxfId="3708">
      <pivotArea dataOnly="0" labelOnly="1" outline="0" fieldPosition="0">
        <references count="3">
          <reference field="0" count="1" selected="0">
            <x v="148"/>
          </reference>
          <reference field="1" count="1" selected="0">
            <x v="19"/>
          </reference>
          <reference field="2" count="1">
            <x v="5"/>
          </reference>
        </references>
      </pivotArea>
    </format>
    <format dxfId="3707">
      <pivotArea dataOnly="0" labelOnly="1" outline="0" fieldPosition="0">
        <references count="3">
          <reference field="0" count="1" selected="0">
            <x v="149"/>
          </reference>
          <reference field="1" count="1" selected="0">
            <x v="6"/>
          </reference>
          <reference field="2" count="1">
            <x v="3"/>
          </reference>
        </references>
      </pivotArea>
    </format>
    <format dxfId="3706">
      <pivotArea dataOnly="0" labelOnly="1" outline="0" fieldPosition="0">
        <references count="3">
          <reference field="0" count="1" selected="0">
            <x v="150"/>
          </reference>
          <reference field="1" count="1" selected="0">
            <x v="55"/>
          </reference>
          <reference field="2" count="1">
            <x v="1"/>
          </reference>
        </references>
      </pivotArea>
    </format>
    <format dxfId="3705">
      <pivotArea dataOnly="0" labelOnly="1" outline="0" fieldPosition="0">
        <references count="3">
          <reference field="0" count="1" selected="0">
            <x v="151"/>
          </reference>
          <reference field="1" count="1" selected="0">
            <x v="18"/>
          </reference>
          <reference field="2" count="1">
            <x v="2"/>
          </reference>
        </references>
      </pivotArea>
    </format>
    <format dxfId="3704">
      <pivotArea dataOnly="0" labelOnly="1" outline="0" fieldPosition="0">
        <references count="3">
          <reference field="0" count="1" selected="0">
            <x v="152"/>
          </reference>
          <reference field="1" count="1" selected="0">
            <x v="25"/>
          </reference>
          <reference field="2" count="1">
            <x v="1"/>
          </reference>
        </references>
      </pivotArea>
    </format>
    <format dxfId="3703">
      <pivotArea dataOnly="0" labelOnly="1" outline="0" fieldPosition="0">
        <references count="3">
          <reference field="0" count="1" selected="0">
            <x v="153"/>
          </reference>
          <reference field="1" count="1" selected="0">
            <x v="1"/>
          </reference>
          <reference field="2" count="1">
            <x v="5"/>
          </reference>
        </references>
      </pivotArea>
    </format>
    <format dxfId="3702">
      <pivotArea dataOnly="0" labelOnly="1" outline="0" fieldPosition="0">
        <references count="3">
          <reference field="0" count="1" selected="0">
            <x v="156"/>
          </reference>
          <reference field="1" count="1" selected="0">
            <x v="29"/>
          </reference>
          <reference field="2" count="1">
            <x v="1"/>
          </reference>
        </references>
      </pivotArea>
    </format>
    <format dxfId="3701">
      <pivotArea dataOnly="0" labelOnly="1" outline="0" fieldPosition="0">
        <references count="3">
          <reference field="0" count="1" selected="0">
            <x v="157"/>
          </reference>
          <reference field="1" count="1" selected="0">
            <x v="38"/>
          </reference>
          <reference field="2" count="1">
            <x v="5"/>
          </reference>
        </references>
      </pivotArea>
    </format>
    <format dxfId="3700">
      <pivotArea dataOnly="0" labelOnly="1" outline="0" fieldPosition="0">
        <references count="3">
          <reference field="0" count="1" selected="0">
            <x v="158"/>
          </reference>
          <reference field="1" count="1" selected="0">
            <x v="29"/>
          </reference>
          <reference field="2" count="1">
            <x v="1"/>
          </reference>
        </references>
      </pivotArea>
    </format>
    <format dxfId="3699">
      <pivotArea dataOnly="0" labelOnly="1" outline="0" fieldPosition="0">
        <references count="3">
          <reference field="0" count="1" selected="0">
            <x v="159"/>
          </reference>
          <reference field="1" count="1" selected="0">
            <x v="57"/>
          </reference>
          <reference field="2" count="1">
            <x v="0"/>
          </reference>
        </references>
      </pivotArea>
    </format>
    <format dxfId="3698">
      <pivotArea dataOnly="0" labelOnly="1" outline="0" fieldPosition="0">
        <references count="3">
          <reference field="0" count="1" selected="0">
            <x v="161"/>
          </reference>
          <reference field="1" count="1" selected="0">
            <x v="23"/>
          </reference>
          <reference field="2" count="1">
            <x v="2"/>
          </reference>
        </references>
      </pivotArea>
    </format>
    <format dxfId="3697">
      <pivotArea dataOnly="0" labelOnly="1" outline="0" fieldPosition="0">
        <references count="3">
          <reference field="0" count="1" selected="0">
            <x v="162"/>
          </reference>
          <reference field="1" count="1" selected="0">
            <x v="13"/>
          </reference>
          <reference field="2" count="1">
            <x v="3"/>
          </reference>
        </references>
      </pivotArea>
    </format>
    <format dxfId="3696">
      <pivotArea dataOnly="0" labelOnly="1" outline="0" fieldPosition="0">
        <references count="3">
          <reference field="0" count="1" selected="0">
            <x v="163"/>
          </reference>
          <reference field="1" count="1" selected="0">
            <x v="29"/>
          </reference>
          <reference field="2" count="1">
            <x v="1"/>
          </reference>
        </references>
      </pivotArea>
    </format>
    <format dxfId="3695">
      <pivotArea dataOnly="0" labelOnly="1" outline="0" fieldPosition="0">
        <references count="3">
          <reference field="0" count="1" selected="0">
            <x v="164"/>
          </reference>
          <reference field="1" count="1" selected="0">
            <x v="50"/>
          </reference>
          <reference field="2" count="1">
            <x v="3"/>
          </reference>
        </references>
      </pivotArea>
    </format>
    <format dxfId="3694">
      <pivotArea dataOnly="0" labelOnly="1" outline="0" fieldPosition="0">
        <references count="3">
          <reference field="0" count="1" selected="0">
            <x v="165"/>
          </reference>
          <reference field="1" count="1" selected="0">
            <x v="48"/>
          </reference>
          <reference field="2" count="1">
            <x v="5"/>
          </reference>
        </references>
      </pivotArea>
    </format>
    <format dxfId="3693">
      <pivotArea dataOnly="0" labelOnly="1" outline="0" fieldPosition="0">
        <references count="3">
          <reference field="0" count="1" selected="0">
            <x v="166"/>
          </reference>
          <reference field="1" count="1" selected="0">
            <x v="40"/>
          </reference>
          <reference field="2" count="1">
            <x v="2"/>
          </reference>
        </references>
      </pivotArea>
    </format>
    <format dxfId="3692">
      <pivotArea dataOnly="0" labelOnly="1" outline="0" fieldPosition="0">
        <references count="3">
          <reference field="0" count="1" selected="0">
            <x v="167"/>
          </reference>
          <reference field="1" count="1" selected="0">
            <x v="58"/>
          </reference>
          <reference field="2" count="1">
            <x v="1"/>
          </reference>
        </references>
      </pivotArea>
    </format>
    <format dxfId="3691">
      <pivotArea dataOnly="0" labelOnly="1" outline="0" fieldPosition="0">
        <references count="3">
          <reference field="0" count="1" selected="0">
            <x v="168"/>
          </reference>
          <reference field="1" count="1" selected="0">
            <x v="11"/>
          </reference>
          <reference field="2" count="1">
            <x v="4"/>
          </reference>
        </references>
      </pivotArea>
    </format>
    <format dxfId="3690">
      <pivotArea dataOnly="0" labelOnly="1" outline="0" fieldPosition="0">
        <references count="3">
          <reference field="0" count="1" selected="0">
            <x v="169"/>
          </reference>
          <reference field="1" count="1" selected="0">
            <x v="40"/>
          </reference>
          <reference field="2" count="1">
            <x v="2"/>
          </reference>
        </references>
      </pivotArea>
    </format>
    <format dxfId="3689">
      <pivotArea dataOnly="0" labelOnly="1" outline="0" fieldPosition="0">
        <references count="3">
          <reference field="0" count="1" selected="0">
            <x v="170"/>
          </reference>
          <reference field="1" count="1" selected="0">
            <x v="33"/>
          </reference>
          <reference field="2" count="1">
            <x v="4"/>
          </reference>
        </references>
      </pivotArea>
    </format>
    <format dxfId="3688">
      <pivotArea dataOnly="0" labelOnly="1" outline="0" fieldPosition="0">
        <references count="3">
          <reference field="0" count="1" selected="0">
            <x v="171"/>
          </reference>
          <reference field="1" count="1" selected="0">
            <x v="7"/>
          </reference>
          <reference field="2" count="1">
            <x v="3"/>
          </reference>
        </references>
      </pivotArea>
    </format>
    <format dxfId="3687">
      <pivotArea dataOnly="0" labelOnly="1" outline="0" fieldPosition="0">
        <references count="3">
          <reference field="0" count="1" selected="0">
            <x v="172"/>
          </reference>
          <reference field="1" count="1" selected="0">
            <x v="3"/>
          </reference>
          <reference field="2" count="1">
            <x v="4"/>
          </reference>
        </references>
      </pivotArea>
    </format>
    <format dxfId="3686">
      <pivotArea dataOnly="0" labelOnly="1" outline="0" fieldPosition="0">
        <references count="3">
          <reference field="0" count="1" selected="0">
            <x v="173"/>
          </reference>
          <reference field="1" count="1" selected="0">
            <x v="48"/>
          </reference>
          <reference field="2" count="1">
            <x v="5"/>
          </reference>
        </references>
      </pivotArea>
    </format>
    <format dxfId="3685">
      <pivotArea dataOnly="0" labelOnly="1" outline="0" fieldPosition="0">
        <references count="3">
          <reference field="0" count="1" selected="0">
            <x v="174"/>
          </reference>
          <reference field="1" count="1" selected="0">
            <x v="23"/>
          </reference>
          <reference field="2" count="1">
            <x v="2"/>
          </reference>
        </references>
      </pivotArea>
    </format>
    <format dxfId="3684">
      <pivotArea dataOnly="0" labelOnly="1" outline="0" fieldPosition="0">
        <references count="3">
          <reference field="0" count="1" selected="0">
            <x v="175"/>
          </reference>
          <reference field="1" count="1" selected="0">
            <x v="2"/>
          </reference>
          <reference field="2" count="1">
            <x v="3"/>
          </reference>
        </references>
      </pivotArea>
    </format>
    <format dxfId="3683">
      <pivotArea dataOnly="0" labelOnly="1" outline="0" fieldPosition="0">
        <references count="3">
          <reference field="0" count="1" selected="0">
            <x v="176"/>
          </reference>
          <reference field="1" count="1" selected="0">
            <x v="58"/>
          </reference>
          <reference field="2" count="1">
            <x v="1"/>
          </reference>
        </references>
      </pivotArea>
    </format>
    <format dxfId="3682">
      <pivotArea dataOnly="0" labelOnly="1" outline="0" fieldPosition="0">
        <references count="3">
          <reference field="0" count="1" selected="0">
            <x v="177"/>
          </reference>
          <reference field="1" count="1" selected="0">
            <x v="42"/>
          </reference>
          <reference field="2" count="1">
            <x v="2"/>
          </reference>
        </references>
      </pivotArea>
    </format>
    <format dxfId="3681">
      <pivotArea dataOnly="0" labelOnly="1" outline="0" fieldPosition="0">
        <references count="3">
          <reference field="0" count="1" selected="0">
            <x v="178"/>
          </reference>
          <reference field="1" count="1" selected="0">
            <x v="44"/>
          </reference>
          <reference field="2" count="1">
            <x v="5"/>
          </reference>
        </references>
      </pivotArea>
    </format>
    <format dxfId="3680">
      <pivotArea dataOnly="0" labelOnly="1" outline="0" fieldPosition="0">
        <references count="3">
          <reference field="0" count="1" selected="0">
            <x v="180"/>
          </reference>
          <reference field="1" count="1" selected="0">
            <x v="37"/>
          </reference>
          <reference field="2" count="1">
            <x v="1"/>
          </reference>
        </references>
      </pivotArea>
    </format>
    <format dxfId="3679">
      <pivotArea dataOnly="0" labelOnly="1" outline="0" fieldPosition="0">
        <references count="3">
          <reference field="0" count="1" selected="0">
            <x v="181"/>
          </reference>
          <reference field="1" count="1" selected="0">
            <x v="51"/>
          </reference>
          <reference field="2" count="1">
            <x v="0"/>
          </reference>
        </references>
      </pivotArea>
    </format>
    <format dxfId="3678">
      <pivotArea dataOnly="0" labelOnly="1" outline="0" fieldPosition="0">
        <references count="3">
          <reference field="0" count="1" selected="0">
            <x v="182"/>
          </reference>
          <reference field="1" count="1" selected="0">
            <x v="48"/>
          </reference>
          <reference field="2" count="1">
            <x v="5"/>
          </reference>
        </references>
      </pivotArea>
    </format>
    <format dxfId="3677">
      <pivotArea dataOnly="0" labelOnly="1" outline="0" fieldPosition="0">
        <references count="3">
          <reference field="0" count="1" selected="0">
            <x v="183"/>
          </reference>
          <reference field="1" count="1" selected="0">
            <x v="41"/>
          </reference>
          <reference field="2" count="1">
            <x v="0"/>
          </reference>
        </references>
      </pivotArea>
    </format>
    <format dxfId="3676">
      <pivotArea dataOnly="0" labelOnly="1" outline="0" fieldPosition="0">
        <references count="3">
          <reference field="0" count="1" selected="0">
            <x v="184"/>
          </reference>
          <reference field="1" count="1" selected="0">
            <x v="26"/>
          </reference>
          <reference field="2" count="1">
            <x v="5"/>
          </reference>
        </references>
      </pivotArea>
    </format>
    <format dxfId="3675">
      <pivotArea dataOnly="0" labelOnly="1" outline="0" fieldPosition="0">
        <references count="3">
          <reference field="0" count="1" selected="0">
            <x v="185"/>
          </reference>
          <reference field="1" count="1" selected="0">
            <x v="54"/>
          </reference>
          <reference field="2" count="1">
            <x v="2"/>
          </reference>
        </references>
      </pivotArea>
    </format>
    <format dxfId="3674">
      <pivotArea dataOnly="0" labelOnly="1" outline="0" fieldPosition="0">
        <references count="3">
          <reference field="0" count="1" selected="0">
            <x v="186"/>
          </reference>
          <reference field="1" count="1" selected="0">
            <x v="53"/>
          </reference>
          <reference field="2" count="1">
            <x v="1"/>
          </reference>
        </references>
      </pivotArea>
    </format>
    <format dxfId="3673">
      <pivotArea dataOnly="0" labelOnly="1" outline="0" fieldPosition="0">
        <references count="3">
          <reference field="0" count="1" selected="0">
            <x v="187"/>
          </reference>
          <reference field="1" count="1" selected="0">
            <x v="12"/>
          </reference>
          <reference field="2" count="1">
            <x v="4"/>
          </reference>
        </references>
      </pivotArea>
    </format>
    <format dxfId="3672">
      <pivotArea dataOnly="0" labelOnly="1" outline="0" fieldPosition="0">
        <references count="3">
          <reference field="0" count="1" selected="0">
            <x v="188"/>
          </reference>
          <reference field="1" count="1" selected="0">
            <x v="28"/>
          </reference>
          <reference field="2" count="1">
            <x v="3"/>
          </reference>
        </references>
      </pivotArea>
    </format>
    <format dxfId="3671">
      <pivotArea dataOnly="0" labelOnly="1" outline="0" fieldPosition="0">
        <references count="3">
          <reference field="0" count="1" selected="0">
            <x v="189"/>
          </reference>
          <reference field="1" count="1" selected="0">
            <x v="52"/>
          </reference>
          <reference field="2" count="1">
            <x v="1"/>
          </reference>
        </references>
      </pivotArea>
    </format>
    <format dxfId="3670">
      <pivotArea dataOnly="0" labelOnly="1" outline="0" fieldPosition="0">
        <references count="3">
          <reference field="0" count="1" selected="0">
            <x v="190"/>
          </reference>
          <reference field="1" count="1" selected="0">
            <x v="20"/>
          </reference>
          <reference field="2" count="1">
            <x v="4"/>
          </reference>
        </references>
      </pivotArea>
    </format>
    <format dxfId="3669">
      <pivotArea dataOnly="0" labelOnly="1" outline="0" fieldPosition="0">
        <references count="3">
          <reference field="0" count="1" selected="0">
            <x v="191"/>
          </reference>
          <reference field="1" count="1" selected="0">
            <x v="8"/>
          </reference>
          <reference field="2" count="1">
            <x v="5"/>
          </reference>
        </references>
      </pivotArea>
    </format>
    <format dxfId="3668">
      <pivotArea dataOnly="0" labelOnly="1" outline="0" fieldPosition="0">
        <references count="3">
          <reference field="0" count="1" selected="0">
            <x v="192"/>
          </reference>
          <reference field="1" count="1" selected="0">
            <x v="46"/>
          </reference>
          <reference field="2" count="1">
            <x v="3"/>
          </reference>
        </references>
      </pivotArea>
    </format>
    <format dxfId="3667">
      <pivotArea dataOnly="0" labelOnly="1" outline="0" fieldPosition="0">
        <references count="3">
          <reference field="0" count="1" selected="0">
            <x v="193"/>
          </reference>
          <reference field="1" count="1" selected="0">
            <x v="24"/>
          </reference>
          <reference field="2" count="1">
            <x v="0"/>
          </reference>
        </references>
      </pivotArea>
    </format>
    <format dxfId="3666">
      <pivotArea dataOnly="0" labelOnly="1" outline="0" fieldPosition="0">
        <references count="3">
          <reference field="0" count="1" selected="0">
            <x v="196"/>
          </reference>
          <reference field="1" count="1" selected="0">
            <x v="18"/>
          </reference>
          <reference field="2" count="1">
            <x v="2"/>
          </reference>
        </references>
      </pivotArea>
    </format>
    <format dxfId="3665">
      <pivotArea dataOnly="0" labelOnly="1" outline="0" fieldPosition="0">
        <references count="3">
          <reference field="0" count="1" selected="0">
            <x v="197"/>
          </reference>
          <reference field="1" count="1" selected="0">
            <x v="50"/>
          </reference>
          <reference field="2" count="1">
            <x v="3"/>
          </reference>
        </references>
      </pivotArea>
    </format>
    <format dxfId="3664">
      <pivotArea dataOnly="0" labelOnly="1" outline="0" fieldPosition="0">
        <references count="3">
          <reference field="0" count="1" selected="0">
            <x v="198"/>
          </reference>
          <reference field="1" count="1" selected="0">
            <x v="17"/>
          </reference>
          <reference field="2" count="1">
            <x v="4"/>
          </reference>
        </references>
      </pivotArea>
    </format>
    <format dxfId="3663">
      <pivotArea dataOnly="0" labelOnly="1" outline="0" fieldPosition="0">
        <references count="3">
          <reference field="0" count="1" selected="0">
            <x v="199"/>
          </reference>
          <reference field="1" count="1" selected="0">
            <x v="30"/>
          </reference>
          <reference field="2" count="1">
            <x v="1"/>
          </reference>
        </references>
      </pivotArea>
    </format>
    <format dxfId="3662">
      <pivotArea dataOnly="0" labelOnly="1" outline="0" fieldPosition="0">
        <references count="3">
          <reference field="0" count="1" selected="0">
            <x v="201"/>
          </reference>
          <reference field="1" count="1" selected="0">
            <x v="14"/>
          </reference>
          <reference field="2" count="1">
            <x v="4"/>
          </reference>
        </references>
      </pivotArea>
    </format>
    <format dxfId="3661">
      <pivotArea dataOnly="0" labelOnly="1" outline="0" fieldPosition="0">
        <references count="3">
          <reference field="0" count="1" selected="0">
            <x v="204"/>
          </reference>
          <reference field="1" count="1" selected="0">
            <x v="59"/>
          </reference>
          <reference field="2" count="1">
            <x v="2"/>
          </reference>
        </references>
      </pivotArea>
    </format>
    <format dxfId="3660">
      <pivotArea dataOnly="0" labelOnly="1" outline="0" fieldPosition="0">
        <references count="3">
          <reference field="0" count="1" selected="0">
            <x v="205"/>
          </reference>
          <reference field="1" count="1" selected="0">
            <x v="12"/>
          </reference>
          <reference field="2" count="1">
            <x v="4"/>
          </reference>
        </references>
      </pivotArea>
    </format>
    <format dxfId="3659">
      <pivotArea dataOnly="0" labelOnly="1" outline="0" fieldPosition="0">
        <references count="3">
          <reference field="0" count="1" selected="0">
            <x v="206"/>
          </reference>
          <reference field="1" count="1" selected="0">
            <x v="42"/>
          </reference>
          <reference field="2" count="1">
            <x v="2"/>
          </reference>
        </references>
      </pivotArea>
    </format>
    <format dxfId="3658">
      <pivotArea dataOnly="0" labelOnly="1" outline="0" fieldPosition="0">
        <references count="3">
          <reference field="0" count="1" selected="0">
            <x v="207"/>
          </reference>
          <reference field="1" count="1" selected="0">
            <x v="47"/>
          </reference>
          <reference field="2" count="1">
            <x v="0"/>
          </reference>
        </references>
      </pivotArea>
    </format>
    <format dxfId="3657">
      <pivotArea dataOnly="0" labelOnly="1" outline="0" fieldPosition="0">
        <references count="3">
          <reference field="0" count="1" selected="0">
            <x v="208"/>
          </reference>
          <reference field="1" count="1" selected="0">
            <x v="16"/>
          </reference>
          <reference field="2" count="1">
            <x v="5"/>
          </reference>
        </references>
      </pivotArea>
    </format>
    <format dxfId="3656">
      <pivotArea dataOnly="0" labelOnly="1" outline="0" fieldPosition="0">
        <references count="3">
          <reference field="0" count="1" selected="0">
            <x v="209"/>
          </reference>
          <reference field="1" count="1" selected="0">
            <x v="39"/>
          </reference>
          <reference field="2" count="1">
            <x v="2"/>
          </reference>
        </references>
      </pivotArea>
    </format>
    <format dxfId="3655">
      <pivotArea dataOnly="0" labelOnly="1" outline="0" fieldPosition="0">
        <references count="3">
          <reference field="0" count="1" selected="0">
            <x v="210"/>
          </reference>
          <reference field="1" count="1" selected="0">
            <x v="1"/>
          </reference>
          <reference field="2" count="1">
            <x v="5"/>
          </reference>
        </references>
      </pivotArea>
    </format>
    <format dxfId="3654">
      <pivotArea dataOnly="0" labelOnly="1" outline="0" fieldPosition="0">
        <references count="3">
          <reference field="0" count="1" selected="0">
            <x v="211"/>
          </reference>
          <reference field="1" count="1" selected="0">
            <x v="4"/>
          </reference>
          <reference field="2" count="1">
            <x v="0"/>
          </reference>
        </references>
      </pivotArea>
    </format>
    <format dxfId="3653">
      <pivotArea dataOnly="0" labelOnly="1" outline="0" fieldPosition="0">
        <references count="3">
          <reference field="0" count="1" selected="0">
            <x v="212"/>
          </reference>
          <reference field="1" count="1" selected="0">
            <x v="13"/>
          </reference>
          <reference field="2" count="1">
            <x v="3"/>
          </reference>
        </references>
      </pivotArea>
    </format>
    <format dxfId="3652">
      <pivotArea dataOnly="0" labelOnly="1" outline="0" fieldPosition="0">
        <references count="3">
          <reference field="0" count="1" selected="0">
            <x v="213"/>
          </reference>
          <reference field="1" count="1" selected="0">
            <x v="19"/>
          </reference>
          <reference field="2" count="1">
            <x v="5"/>
          </reference>
        </references>
      </pivotArea>
    </format>
    <format dxfId="3651">
      <pivotArea dataOnly="0" labelOnly="1" outline="0" fieldPosition="0">
        <references count="3">
          <reference field="0" count="1" selected="0">
            <x v="216"/>
          </reference>
          <reference field="1" count="1" selected="0">
            <x v="57"/>
          </reference>
          <reference field="2" count="1">
            <x v="0"/>
          </reference>
        </references>
      </pivotArea>
    </format>
    <format dxfId="3650">
      <pivotArea dataOnly="0" labelOnly="1" outline="0" fieldPosition="0">
        <references count="3">
          <reference field="0" count="1" selected="0">
            <x v="217"/>
          </reference>
          <reference field="1" count="1" selected="0">
            <x v="59"/>
          </reference>
          <reference field="2" count="1">
            <x v="2"/>
          </reference>
        </references>
      </pivotArea>
    </format>
    <format dxfId="3649">
      <pivotArea dataOnly="0" labelOnly="1" outline="0" fieldPosition="0">
        <references count="3">
          <reference field="0" count="1" selected="0">
            <x v="220"/>
          </reference>
          <reference field="1" count="1" selected="0">
            <x v="53"/>
          </reference>
          <reference field="2" count="1">
            <x v="1"/>
          </reference>
        </references>
      </pivotArea>
    </format>
    <format dxfId="3648">
      <pivotArea dataOnly="0" labelOnly="1" outline="0" fieldPosition="0">
        <references count="3">
          <reference field="0" count="1" selected="0">
            <x v="221"/>
          </reference>
          <reference field="1" count="1" selected="0">
            <x v="12"/>
          </reference>
          <reference field="2" count="1">
            <x v="4"/>
          </reference>
        </references>
      </pivotArea>
    </format>
    <format dxfId="3647">
      <pivotArea dataOnly="0" labelOnly="1" outline="0" fieldPosition="0">
        <references count="3">
          <reference field="0" count="1" selected="0">
            <x v="222"/>
          </reference>
          <reference field="1" count="1" selected="0">
            <x v="36"/>
          </reference>
          <reference field="2" count="1">
            <x v="1"/>
          </reference>
        </references>
      </pivotArea>
    </format>
    <format dxfId="3646">
      <pivotArea dataOnly="0" labelOnly="1" outline="0" fieldPosition="0">
        <references count="3">
          <reference field="0" count="1" selected="0">
            <x v="223"/>
          </reference>
          <reference field="1" count="1" selected="0">
            <x v="15"/>
          </reference>
          <reference field="2" count="1">
            <x v="2"/>
          </reference>
        </references>
      </pivotArea>
    </format>
    <format dxfId="3645">
      <pivotArea dataOnly="0" labelOnly="1" outline="0" fieldPosition="0">
        <references count="3">
          <reference field="0" count="1" selected="0">
            <x v="225"/>
          </reference>
          <reference field="1" count="1" selected="0">
            <x v="26"/>
          </reference>
          <reference field="2" count="1">
            <x v="5"/>
          </reference>
        </references>
      </pivotArea>
    </format>
    <format dxfId="3644">
      <pivotArea dataOnly="0" labelOnly="1" outline="0" fieldPosition="0">
        <references count="3">
          <reference field="0" count="1" selected="0">
            <x v="226"/>
          </reference>
          <reference field="1" count="1" selected="0">
            <x v="42"/>
          </reference>
          <reference field="2" count="1">
            <x v="2"/>
          </reference>
        </references>
      </pivotArea>
    </format>
    <format dxfId="3643">
      <pivotArea dataOnly="0" labelOnly="1" outline="0" fieldPosition="0">
        <references count="3">
          <reference field="0" count="1" selected="0">
            <x v="227"/>
          </reference>
          <reference field="1" count="1" selected="0">
            <x v="52"/>
          </reference>
          <reference field="2" count="1">
            <x v="1"/>
          </reference>
        </references>
      </pivotArea>
    </format>
    <format dxfId="3642">
      <pivotArea dataOnly="0" labelOnly="1" outline="0" fieldPosition="0">
        <references count="3">
          <reference field="0" count="1" selected="0">
            <x v="228"/>
          </reference>
          <reference field="1" count="1" selected="0">
            <x v="54"/>
          </reference>
          <reference field="2" count="1">
            <x v="2"/>
          </reference>
        </references>
      </pivotArea>
    </format>
    <format dxfId="3641">
      <pivotArea dataOnly="0" labelOnly="1" outline="0" fieldPosition="0">
        <references count="3">
          <reference field="0" count="1" selected="0">
            <x v="229"/>
          </reference>
          <reference field="1" count="1" selected="0">
            <x v="53"/>
          </reference>
          <reference field="2" count="1">
            <x v="1"/>
          </reference>
        </references>
      </pivotArea>
    </format>
    <format dxfId="3640">
      <pivotArea dataOnly="0" labelOnly="1" outline="0" fieldPosition="0">
        <references count="3">
          <reference field="0" count="1" selected="0">
            <x v="230"/>
          </reference>
          <reference field="1" count="1" selected="0">
            <x v="21"/>
          </reference>
          <reference field="2" count="1">
            <x v="2"/>
          </reference>
        </references>
      </pivotArea>
    </format>
    <format dxfId="3639">
      <pivotArea dataOnly="0" labelOnly="1" outline="0" fieldPosition="0">
        <references count="3">
          <reference field="0" count="1" selected="0">
            <x v="231"/>
          </reference>
          <reference field="1" count="1" selected="0">
            <x v="52"/>
          </reference>
          <reference field="2" count="1">
            <x v="1"/>
          </reference>
        </references>
      </pivotArea>
    </format>
    <format dxfId="3638">
      <pivotArea dataOnly="0" labelOnly="1" outline="0" fieldPosition="0">
        <references count="3">
          <reference field="0" count="1" selected="0">
            <x v="232"/>
          </reference>
          <reference field="1" count="1" selected="0">
            <x v="47"/>
          </reference>
          <reference field="2" count="1">
            <x v="0"/>
          </reference>
        </references>
      </pivotArea>
    </format>
    <format dxfId="3637">
      <pivotArea dataOnly="0" labelOnly="1" outline="0" fieldPosition="0">
        <references count="3">
          <reference field="0" count="1" selected="0">
            <x v="233"/>
          </reference>
          <reference field="1" count="1" selected="0">
            <x v="33"/>
          </reference>
          <reference field="2" count="1">
            <x v="4"/>
          </reference>
        </references>
      </pivotArea>
    </format>
    <format dxfId="3636">
      <pivotArea dataOnly="0" labelOnly="1" outline="0" fieldPosition="0">
        <references count="3">
          <reference field="0" count="1" selected="0">
            <x v="234"/>
          </reference>
          <reference field="1" count="1" selected="0">
            <x v="34"/>
          </reference>
          <reference field="2" count="1">
            <x v="5"/>
          </reference>
        </references>
      </pivotArea>
    </format>
    <format dxfId="3635">
      <pivotArea dataOnly="0" labelOnly="1" outline="0" fieldPosition="0">
        <references count="3">
          <reference field="0" count="1" selected="0">
            <x v="236"/>
          </reference>
          <reference field="1" count="1" selected="0">
            <x v="7"/>
          </reference>
          <reference field="2" count="1">
            <x v="3"/>
          </reference>
        </references>
      </pivotArea>
    </format>
    <format dxfId="3634">
      <pivotArea dataOnly="0" labelOnly="1" outline="0" fieldPosition="0">
        <references count="3">
          <reference field="0" count="1" selected="0">
            <x v="237"/>
          </reference>
          <reference field="1" count="1" selected="0">
            <x v="55"/>
          </reference>
          <reference field="2" count="1">
            <x v="1"/>
          </reference>
        </references>
      </pivotArea>
    </format>
    <format dxfId="3633">
      <pivotArea dataOnly="0" labelOnly="1" outline="0" fieldPosition="0">
        <references count="3">
          <reference field="0" count="1" selected="0">
            <x v="238"/>
          </reference>
          <reference field="1" count="1" selected="0">
            <x v="9"/>
          </reference>
          <reference field="2" count="1">
            <x v="3"/>
          </reference>
        </references>
      </pivotArea>
    </format>
    <format dxfId="3632">
      <pivotArea dataOnly="0" labelOnly="1" outline="0" fieldPosition="0">
        <references count="3">
          <reference field="0" count="1" selected="0">
            <x v="239"/>
          </reference>
          <reference field="1" count="1" selected="0">
            <x v="3"/>
          </reference>
          <reference field="2" count="1">
            <x v="4"/>
          </reference>
        </references>
      </pivotArea>
    </format>
    <format dxfId="3631">
      <pivotArea dataOnly="0" labelOnly="1" outline="0" fieldPosition="0">
        <references count="3">
          <reference field="0" count="1" selected="0">
            <x v="240"/>
          </reference>
          <reference field="1" count="1" selected="0">
            <x v="27"/>
          </reference>
          <reference field="2" count="1">
            <x v="0"/>
          </reference>
        </references>
      </pivotArea>
    </format>
    <format dxfId="3630">
      <pivotArea dataOnly="0" labelOnly="1" outline="0" fieldPosition="0">
        <references count="3">
          <reference field="0" count="1" selected="0">
            <x v="241"/>
          </reference>
          <reference field="1" count="1" selected="0">
            <x v="58"/>
          </reference>
          <reference field="2" count="1">
            <x v="1"/>
          </reference>
        </references>
      </pivotArea>
    </format>
    <format dxfId="3629">
      <pivotArea dataOnly="0" labelOnly="1" outline="0" fieldPosition="0">
        <references count="3">
          <reference field="0" count="1" selected="0">
            <x v="242"/>
          </reference>
          <reference field="1" count="1" selected="0">
            <x v="12"/>
          </reference>
          <reference field="2" count="1">
            <x v="4"/>
          </reference>
        </references>
      </pivotArea>
    </format>
    <format dxfId="3628">
      <pivotArea dataOnly="0" labelOnly="1" outline="0" fieldPosition="0">
        <references count="3">
          <reference field="0" count="1" selected="0">
            <x v="243"/>
          </reference>
          <reference field="1" count="1" selected="0">
            <x v="19"/>
          </reference>
          <reference field="2" count="1">
            <x v="5"/>
          </reference>
        </references>
      </pivotArea>
    </format>
    <format dxfId="3627">
      <pivotArea dataOnly="0" labelOnly="1" outline="0" fieldPosition="0">
        <references count="3">
          <reference field="0" count="1" selected="0">
            <x v="245"/>
          </reference>
          <reference field="1" count="1" selected="0">
            <x v="40"/>
          </reference>
          <reference field="2" count="1">
            <x v="2"/>
          </reference>
        </references>
      </pivotArea>
    </format>
    <format dxfId="3626">
      <pivotArea dataOnly="0" labelOnly="1" outline="0" fieldPosition="0">
        <references count="3">
          <reference field="0" count="1" selected="0">
            <x v="246"/>
          </reference>
          <reference field="1" count="1" selected="0">
            <x v="37"/>
          </reference>
          <reference field="2" count="1">
            <x v="1"/>
          </reference>
        </references>
      </pivotArea>
    </format>
    <format dxfId="3625">
      <pivotArea dataOnly="0" labelOnly="1" outline="0" fieldPosition="0">
        <references count="3">
          <reference field="0" count="1" selected="0">
            <x v="247"/>
          </reference>
          <reference field="1" count="1" selected="0">
            <x v="40"/>
          </reference>
          <reference field="2" count="1">
            <x v="2"/>
          </reference>
        </references>
      </pivotArea>
    </format>
    <format dxfId="3624">
      <pivotArea dataOnly="0" labelOnly="1" outline="0" fieldPosition="0">
        <references count="3">
          <reference field="0" count="1" selected="0">
            <x v="249"/>
          </reference>
          <reference field="1" count="1" selected="0">
            <x v="43"/>
          </reference>
          <reference field="2" count="1">
            <x v="0"/>
          </reference>
        </references>
      </pivotArea>
    </format>
    <format dxfId="3623">
      <pivotArea dataOnly="0" labelOnly="1" outline="0" fieldPosition="0">
        <references count="3">
          <reference field="0" count="1" selected="0">
            <x v="250"/>
          </reference>
          <reference field="1" count="1" selected="0">
            <x v="39"/>
          </reference>
          <reference field="2" count="1">
            <x v="2"/>
          </reference>
        </references>
      </pivotArea>
    </format>
    <format dxfId="3622">
      <pivotArea dataOnly="0" labelOnly="1" outline="0" fieldPosition="0">
        <references count="3">
          <reference field="0" count="1" selected="0">
            <x v="251"/>
          </reference>
          <reference field="1" count="1" selected="0">
            <x v="35"/>
          </reference>
          <reference field="2" count="1">
            <x v="4"/>
          </reference>
        </references>
      </pivotArea>
    </format>
    <format dxfId="3621">
      <pivotArea dataOnly="0" labelOnly="1" outline="0" fieldPosition="0">
        <references count="3">
          <reference field="0" count="1" selected="0">
            <x v="253"/>
          </reference>
          <reference field="1" count="1" selected="0">
            <x v="28"/>
          </reference>
          <reference field="2" count="1">
            <x v="3"/>
          </reference>
        </references>
      </pivotArea>
    </format>
    <format dxfId="3620">
      <pivotArea dataOnly="0" labelOnly="1" outline="0" fieldPosition="0">
        <references count="3">
          <reference field="0" count="1" selected="0">
            <x v="254"/>
          </reference>
          <reference field="1" count="1" selected="0">
            <x v="48"/>
          </reference>
          <reference field="2" count="1">
            <x v="5"/>
          </reference>
        </references>
      </pivotArea>
    </format>
    <format dxfId="3619">
      <pivotArea dataOnly="0" labelOnly="1" outline="0" fieldPosition="0">
        <references count="3">
          <reference field="0" count="1" selected="0">
            <x v="255"/>
          </reference>
          <reference field="1" count="1" selected="0">
            <x v="20"/>
          </reference>
          <reference field="2" count="1">
            <x v="4"/>
          </reference>
        </references>
      </pivotArea>
    </format>
    <format dxfId="3618">
      <pivotArea dataOnly="0" labelOnly="1" outline="0" fieldPosition="0">
        <references count="3">
          <reference field="0" count="1" selected="0">
            <x v="256"/>
          </reference>
          <reference field="1" count="1" selected="0">
            <x v="24"/>
          </reference>
          <reference field="2" count="1">
            <x v="0"/>
          </reference>
        </references>
      </pivotArea>
    </format>
    <format dxfId="3617">
      <pivotArea dataOnly="0" labelOnly="1" outline="0" fieldPosition="0">
        <references count="3">
          <reference field="0" count="1" selected="0">
            <x v="257"/>
          </reference>
          <reference field="1" count="1" selected="0">
            <x v="8"/>
          </reference>
          <reference field="2" count="1">
            <x v="5"/>
          </reference>
        </references>
      </pivotArea>
    </format>
    <format dxfId="3616">
      <pivotArea dataOnly="0" labelOnly="1" outline="0" fieldPosition="0">
        <references count="3">
          <reference field="0" count="1" selected="0">
            <x v="258"/>
          </reference>
          <reference field="1" count="1" selected="0">
            <x v="52"/>
          </reference>
          <reference field="2" count="1">
            <x v="1"/>
          </reference>
        </references>
      </pivotArea>
    </format>
    <format dxfId="3615">
      <pivotArea dataOnly="0" labelOnly="1" outline="0" fieldPosition="0">
        <references count="3">
          <reference field="0" count="1" selected="0">
            <x v="259"/>
          </reference>
          <reference field="1" count="1" selected="0">
            <x v="54"/>
          </reference>
          <reference field="2" count="1">
            <x v="2"/>
          </reference>
        </references>
      </pivotArea>
    </format>
    <format dxfId="3614">
      <pivotArea dataOnly="0" labelOnly="1" outline="0" fieldPosition="0">
        <references count="3">
          <reference field="0" count="1" selected="0">
            <x v="260"/>
          </reference>
          <reference field="1" count="1" selected="0">
            <x v="8"/>
          </reference>
          <reference field="2" count="1">
            <x v="5"/>
          </reference>
        </references>
      </pivotArea>
    </format>
    <format dxfId="3613">
      <pivotArea dataOnly="0" labelOnly="1" outline="0" fieldPosition="0">
        <references count="3">
          <reference field="0" count="1" selected="0">
            <x v="261"/>
          </reference>
          <reference field="1" count="1" selected="0">
            <x v="11"/>
          </reference>
          <reference field="2" count="1">
            <x v="4"/>
          </reference>
        </references>
      </pivotArea>
    </format>
    <format dxfId="3612">
      <pivotArea dataOnly="0" labelOnly="1" outline="0" fieldPosition="0">
        <references count="3">
          <reference field="0" count="1" selected="0">
            <x v="262"/>
          </reference>
          <reference field="1" count="1" selected="0">
            <x v="51"/>
          </reference>
          <reference field="2" count="1">
            <x v="0"/>
          </reference>
        </references>
      </pivotArea>
    </format>
    <format dxfId="3611">
      <pivotArea dataOnly="0" labelOnly="1" outline="0" fieldPosition="0">
        <references count="3">
          <reference field="0" count="1" selected="0">
            <x v="263"/>
          </reference>
          <reference field="1" count="1" selected="0">
            <x v="50"/>
          </reference>
          <reference field="2" count="1">
            <x v="3"/>
          </reference>
        </references>
      </pivotArea>
    </format>
    <format dxfId="3610">
      <pivotArea dataOnly="0" labelOnly="1" outline="0" fieldPosition="0">
        <references count="3">
          <reference field="0" count="1" selected="0">
            <x v="264"/>
          </reference>
          <reference field="1" count="1" selected="0">
            <x v="36"/>
          </reference>
          <reference field="2" count="1">
            <x v="1"/>
          </reference>
        </references>
      </pivotArea>
    </format>
    <format dxfId="3609">
      <pivotArea dataOnly="0" labelOnly="1" outline="0" fieldPosition="0">
        <references count="3">
          <reference field="0" count="1" selected="0">
            <x v="265"/>
          </reference>
          <reference field="1" count="1" selected="0">
            <x v="18"/>
          </reference>
          <reference field="2" count="1">
            <x v="2"/>
          </reference>
        </references>
      </pivotArea>
    </format>
    <format dxfId="3608">
      <pivotArea dataOnly="0" labelOnly="1" outline="0" fieldPosition="0">
        <references count="3">
          <reference field="0" count="1" selected="0">
            <x v="266"/>
          </reference>
          <reference field="1" count="1" selected="0">
            <x v="49"/>
          </reference>
          <reference field="2" count="1">
            <x v="3"/>
          </reference>
        </references>
      </pivotArea>
    </format>
    <format dxfId="3607">
      <pivotArea dataOnly="0" labelOnly="1" outline="0" fieldPosition="0">
        <references count="3">
          <reference field="0" count="1" selected="0">
            <x v="267"/>
          </reference>
          <reference field="1" count="1" selected="0">
            <x v="32"/>
          </reference>
          <reference field="2" count="1">
            <x v="1"/>
          </reference>
        </references>
      </pivotArea>
    </format>
    <format dxfId="3606">
      <pivotArea dataOnly="0" labelOnly="1" outline="0" fieldPosition="0">
        <references count="3">
          <reference field="0" count="1" selected="0">
            <x v="268"/>
          </reference>
          <reference field="1" count="1" selected="0">
            <x v="18"/>
          </reference>
          <reference field="2" count="1">
            <x v="2"/>
          </reference>
        </references>
      </pivotArea>
    </format>
    <format dxfId="3605">
      <pivotArea dataOnly="0" labelOnly="1" outline="0" fieldPosition="0">
        <references count="3">
          <reference field="0" count="1" selected="0">
            <x v="269"/>
          </reference>
          <reference field="1" count="1" selected="0">
            <x v="26"/>
          </reference>
          <reference field="2" count="1">
            <x v="5"/>
          </reference>
        </references>
      </pivotArea>
    </format>
    <format dxfId="3604">
      <pivotArea dataOnly="0" labelOnly="1" outline="0" fieldPosition="0">
        <references count="3">
          <reference field="0" count="1" selected="0">
            <x v="270"/>
          </reference>
          <reference field="1" count="1" selected="0">
            <x v="5"/>
          </reference>
          <reference field="2" count="1">
            <x v="0"/>
          </reference>
        </references>
      </pivotArea>
    </format>
    <format dxfId="3603">
      <pivotArea dataOnly="0" labelOnly="1" outline="0" fieldPosition="0">
        <references count="3">
          <reference field="0" count="1" selected="0">
            <x v="271"/>
          </reference>
          <reference field="1" count="1" selected="0">
            <x v="30"/>
          </reference>
          <reference field="2" count="1">
            <x v="1"/>
          </reference>
        </references>
      </pivotArea>
    </format>
    <format dxfId="3602">
      <pivotArea dataOnly="0" labelOnly="1" outline="0" fieldPosition="0">
        <references count="3">
          <reference field="0" count="1" selected="0">
            <x v="272"/>
          </reference>
          <reference field="1" count="1" selected="0">
            <x v="40"/>
          </reference>
          <reference field="2" count="1">
            <x v="2"/>
          </reference>
        </references>
      </pivotArea>
    </format>
    <format dxfId="3601">
      <pivotArea dataOnly="0" labelOnly="1" outline="0" fieldPosition="0">
        <references count="3">
          <reference field="0" count="1" selected="0">
            <x v="274"/>
          </reference>
          <reference field="1" count="1" selected="0">
            <x v="32"/>
          </reference>
          <reference field="2" count="1">
            <x v="1"/>
          </reference>
        </references>
      </pivotArea>
    </format>
    <format dxfId="3600">
      <pivotArea dataOnly="0" labelOnly="1" outline="0" fieldPosition="0">
        <references count="3">
          <reference field="0" count="1" selected="0">
            <x v="275"/>
          </reference>
          <reference field="1" count="1" selected="0">
            <x v="47"/>
          </reference>
          <reference field="2" count="1">
            <x v="0"/>
          </reference>
        </references>
      </pivotArea>
    </format>
    <format dxfId="3599">
      <pivotArea dataOnly="0" labelOnly="1" outline="0" fieldPosition="0">
        <references count="3">
          <reference field="0" count="1" selected="0">
            <x v="276"/>
          </reference>
          <reference field="1" count="1" selected="0">
            <x v="58"/>
          </reference>
          <reference field="2" count="1">
            <x v="1"/>
          </reference>
        </references>
      </pivotArea>
    </format>
    <format dxfId="3598">
      <pivotArea dataOnly="0" labelOnly="1" outline="0" fieldPosition="0">
        <references count="3">
          <reference field="0" count="1" selected="0">
            <x v="277"/>
          </reference>
          <reference field="1" count="1" selected="0">
            <x v="9"/>
          </reference>
          <reference field="2" count="1">
            <x v="3"/>
          </reference>
        </references>
      </pivotArea>
    </format>
    <format dxfId="3597">
      <pivotArea dataOnly="0" labelOnly="1" outline="0" fieldPosition="0">
        <references count="3">
          <reference field="0" count="1" selected="0">
            <x v="278"/>
          </reference>
          <reference field="1" count="1" selected="0">
            <x v="12"/>
          </reference>
          <reference field="2" count="1">
            <x v="4"/>
          </reference>
        </references>
      </pivotArea>
    </format>
    <format dxfId="3596">
      <pivotArea dataOnly="0" labelOnly="1" outline="0" fieldPosition="0">
        <references count="3">
          <reference field="0" count="1" selected="0">
            <x v="279"/>
          </reference>
          <reference field="1" count="1" selected="0">
            <x v="28"/>
          </reference>
          <reference field="2" count="1">
            <x v="3"/>
          </reference>
        </references>
      </pivotArea>
    </format>
    <format dxfId="3595">
      <pivotArea dataOnly="0" labelOnly="1" outline="0" fieldPosition="0">
        <references count="3">
          <reference field="0" count="1" selected="0">
            <x v="280"/>
          </reference>
          <reference field="1" count="1" selected="0">
            <x v="39"/>
          </reference>
          <reference field="2" count="1">
            <x v="2"/>
          </reference>
        </references>
      </pivotArea>
    </format>
    <format dxfId="3594">
      <pivotArea dataOnly="0" labelOnly="1" outline="0" fieldPosition="0">
        <references count="3">
          <reference field="0" count="1" selected="0">
            <x v="281"/>
          </reference>
          <reference field="1" count="1" selected="0">
            <x v="51"/>
          </reference>
          <reference field="2" count="1">
            <x v="0"/>
          </reference>
        </references>
      </pivotArea>
    </format>
    <format dxfId="3593">
      <pivotArea dataOnly="0" labelOnly="1" outline="0" fieldPosition="0">
        <references count="3">
          <reference field="0" count="1" selected="0">
            <x v="282"/>
          </reference>
          <reference field="1" count="1" selected="0">
            <x v="1"/>
          </reference>
          <reference field="2" count="1">
            <x v="5"/>
          </reference>
        </references>
      </pivotArea>
    </format>
    <format dxfId="3592">
      <pivotArea dataOnly="0" labelOnly="1" outline="0" fieldPosition="0">
        <references count="3">
          <reference field="0" count="1" selected="0">
            <x v="283"/>
          </reference>
          <reference field="1" count="1" selected="0">
            <x v="18"/>
          </reference>
          <reference field="2" count="1">
            <x v="2"/>
          </reference>
        </references>
      </pivotArea>
    </format>
    <format dxfId="3591">
      <pivotArea dataOnly="0" labelOnly="1" outline="0" fieldPosition="0">
        <references count="3">
          <reference field="0" count="1" selected="0">
            <x v="284"/>
          </reference>
          <reference field="1" count="1" selected="0">
            <x v="34"/>
          </reference>
          <reference field="2" count="1">
            <x v="5"/>
          </reference>
        </references>
      </pivotArea>
    </format>
    <format dxfId="3590">
      <pivotArea dataOnly="0" labelOnly="1" outline="0" fieldPosition="0">
        <references count="3">
          <reference field="0" count="1" selected="0">
            <x v="285"/>
          </reference>
          <reference field="1" count="1" selected="0">
            <x v="58"/>
          </reference>
          <reference field="2" count="1">
            <x v="1"/>
          </reference>
        </references>
      </pivotArea>
    </format>
    <format dxfId="3589">
      <pivotArea dataOnly="0" labelOnly="1" outline="0" fieldPosition="0">
        <references count="3">
          <reference field="0" count="1" selected="0">
            <x v="286"/>
          </reference>
          <reference field="1" count="1" selected="0">
            <x v="47"/>
          </reference>
          <reference field="2" count="1">
            <x v="0"/>
          </reference>
        </references>
      </pivotArea>
    </format>
    <format dxfId="3588">
      <pivotArea dataOnly="0" labelOnly="1" outline="0" fieldPosition="0">
        <references count="3">
          <reference field="0" count="1" selected="0">
            <x v="288"/>
          </reference>
          <reference field="1" count="1" selected="0">
            <x v="46"/>
          </reference>
          <reference field="2" count="1">
            <x v="3"/>
          </reference>
        </references>
      </pivotArea>
    </format>
    <format dxfId="3587">
      <pivotArea dataOnly="0" labelOnly="1" outline="0" fieldPosition="0">
        <references count="3">
          <reference field="0" count="1" selected="0">
            <x v="289"/>
          </reference>
          <reference field="1" count="1" selected="0">
            <x v="53"/>
          </reference>
          <reference field="2" count="1">
            <x v="1"/>
          </reference>
        </references>
      </pivotArea>
    </format>
    <format dxfId="3586">
      <pivotArea dataOnly="0" labelOnly="1" outline="0" fieldPosition="0">
        <references count="3">
          <reference field="0" count="1" selected="0">
            <x v="290"/>
          </reference>
          <reference field="1" count="1" selected="0">
            <x v="41"/>
          </reference>
          <reference field="2" count="1">
            <x v="0"/>
          </reference>
        </references>
      </pivotArea>
    </format>
    <format dxfId="3585">
      <pivotArea dataOnly="0" labelOnly="1" outline="0" fieldPosition="0">
        <references count="3">
          <reference field="0" count="1" selected="0">
            <x v="291"/>
          </reference>
          <reference field="1" count="1" selected="0">
            <x v="3"/>
          </reference>
          <reference field="2" count="1">
            <x v="4"/>
          </reference>
        </references>
      </pivotArea>
    </format>
    <format dxfId="3584">
      <pivotArea dataOnly="0" labelOnly="1" outline="0" fieldPosition="0">
        <references count="3">
          <reference field="0" count="1" selected="0">
            <x v="293"/>
          </reference>
          <reference field="1" count="1" selected="0">
            <x v="25"/>
          </reference>
          <reference field="2" count="1">
            <x v="1"/>
          </reference>
        </references>
      </pivotArea>
    </format>
    <format dxfId="3583">
      <pivotArea dataOnly="0" labelOnly="1" outline="0" fieldPosition="0">
        <references count="3">
          <reference field="0" count="1" selected="0">
            <x v="294"/>
          </reference>
          <reference field="1" count="1" selected="0">
            <x v="14"/>
          </reference>
          <reference field="2" count="1">
            <x v="4"/>
          </reference>
        </references>
      </pivotArea>
    </format>
    <format dxfId="3582">
      <pivotArea dataOnly="0" labelOnly="1" outline="0" fieldPosition="0">
        <references count="3">
          <reference field="0" count="1" selected="0">
            <x v="295"/>
          </reference>
          <reference field="1" count="1" selected="0">
            <x v="5"/>
          </reference>
          <reference field="2" count="1">
            <x v="0"/>
          </reference>
        </references>
      </pivotArea>
    </format>
    <format dxfId="3581">
      <pivotArea dataOnly="0" labelOnly="1" outline="0" fieldPosition="0">
        <references count="3">
          <reference field="0" count="1" selected="0">
            <x v="296"/>
          </reference>
          <reference field="1" count="1" selected="0">
            <x v="28"/>
          </reference>
          <reference field="2" count="1">
            <x v="3"/>
          </reference>
        </references>
      </pivotArea>
    </format>
    <format dxfId="3580">
      <pivotArea dataOnly="0" labelOnly="1" outline="0" fieldPosition="0">
        <references count="3">
          <reference field="0" count="1" selected="0">
            <x v="297"/>
          </reference>
          <reference field="1" count="1" selected="0">
            <x v="20"/>
          </reference>
          <reference field="2" count="1">
            <x v="4"/>
          </reference>
        </references>
      </pivotArea>
    </format>
    <format dxfId="3579">
      <pivotArea dataOnly="0" labelOnly="1" outline="0" fieldPosition="0">
        <references count="3">
          <reference field="0" count="1" selected="0">
            <x v="298"/>
          </reference>
          <reference field="1" count="1" selected="0">
            <x v="42"/>
          </reference>
          <reference field="2" count="1">
            <x v="2"/>
          </reference>
        </references>
      </pivotArea>
    </format>
    <format dxfId="3578">
      <pivotArea dataOnly="0" labelOnly="1" outline="0" fieldPosition="0">
        <references count="4">
          <reference field="0" count="1" selected="0">
            <x v="0"/>
          </reference>
          <reference field="1" count="1" selected="0">
            <x v="0"/>
          </reference>
          <reference field="2" count="1" selected="0">
            <x v="0"/>
          </reference>
          <reference field="3" count="1">
            <x v="7"/>
          </reference>
        </references>
      </pivotArea>
    </format>
    <format dxfId="3577">
      <pivotArea dataOnly="0" labelOnly="1" outline="0" fieldPosition="0">
        <references count="4">
          <reference field="0" count="1" selected="0">
            <x v="1"/>
          </reference>
          <reference field="1" count="1" selected="0">
            <x v="58"/>
          </reference>
          <reference field="2" count="1" selected="0">
            <x v="1"/>
          </reference>
          <reference field="3" count="1">
            <x v="5"/>
          </reference>
        </references>
      </pivotArea>
    </format>
    <format dxfId="3576">
      <pivotArea dataOnly="0" labelOnly="1" outline="0" fieldPosition="0">
        <references count="4">
          <reference field="0" count="1" selected="0">
            <x v="2"/>
          </reference>
          <reference field="1" count="1" selected="0">
            <x v="35"/>
          </reference>
          <reference field="2" count="1" selected="0">
            <x v="4"/>
          </reference>
          <reference field="3" count="1">
            <x v="6"/>
          </reference>
        </references>
      </pivotArea>
    </format>
    <format dxfId="3575">
      <pivotArea dataOnly="0" labelOnly="1" outline="0" fieldPosition="0">
        <references count="4">
          <reference field="0" count="1" selected="0">
            <x v="3"/>
          </reference>
          <reference field="1" count="1" selected="0">
            <x v="33"/>
          </reference>
          <reference field="2" count="1" selected="0">
            <x v="4"/>
          </reference>
          <reference field="3" count="1">
            <x v="3"/>
          </reference>
        </references>
      </pivotArea>
    </format>
    <format dxfId="3574">
      <pivotArea dataOnly="0" labelOnly="1" outline="0" fieldPosition="0">
        <references count="4">
          <reference field="0" count="1" selected="0">
            <x v="5"/>
          </reference>
          <reference field="1" count="1" selected="0">
            <x v="36"/>
          </reference>
          <reference field="2" count="1" selected="0">
            <x v="1"/>
          </reference>
          <reference field="3" count="1">
            <x v="6"/>
          </reference>
        </references>
      </pivotArea>
    </format>
    <format dxfId="3573">
      <pivotArea dataOnly="0" labelOnly="1" outline="0" fieldPosition="0">
        <references count="4">
          <reference field="0" count="1" selected="0">
            <x v="6"/>
          </reference>
          <reference field="1" count="1" selected="0">
            <x v="23"/>
          </reference>
          <reference field="2" count="1" selected="0">
            <x v="2"/>
          </reference>
          <reference field="3" count="1">
            <x v="0"/>
          </reference>
        </references>
      </pivotArea>
    </format>
    <format dxfId="3572">
      <pivotArea dataOnly="0" labelOnly="1" outline="0" fieldPosition="0">
        <references count="4">
          <reference field="0" count="1" selected="0">
            <x v="7"/>
          </reference>
          <reference field="1" count="1" selected="0">
            <x v="16"/>
          </reference>
          <reference field="2" count="1" selected="0">
            <x v="5"/>
          </reference>
          <reference field="3" count="1">
            <x v="6"/>
          </reference>
        </references>
      </pivotArea>
    </format>
    <format dxfId="3571">
      <pivotArea dataOnly="0" labelOnly="1" outline="0" fieldPosition="0">
        <references count="4">
          <reference field="0" count="1" selected="0">
            <x v="8"/>
          </reference>
          <reference field="1" count="1" selected="0">
            <x v="9"/>
          </reference>
          <reference field="2" count="1" selected="0">
            <x v="3"/>
          </reference>
          <reference field="3" count="1">
            <x v="0"/>
          </reference>
        </references>
      </pivotArea>
    </format>
    <format dxfId="3570">
      <pivotArea dataOnly="0" labelOnly="1" outline="0" fieldPosition="0">
        <references count="4">
          <reference field="0" count="1" selected="0">
            <x v="9"/>
          </reference>
          <reference field="1" count="1" selected="0">
            <x v="50"/>
          </reference>
          <reference field="2" count="1" selected="0">
            <x v="3"/>
          </reference>
          <reference field="3" count="1">
            <x v="4"/>
          </reference>
        </references>
      </pivotArea>
    </format>
    <format dxfId="3569">
      <pivotArea dataOnly="0" labelOnly="1" outline="0" fieldPosition="0">
        <references count="4">
          <reference field="0" count="1" selected="0">
            <x v="11"/>
          </reference>
          <reference field="1" count="1" selected="0">
            <x v="27"/>
          </reference>
          <reference field="2" count="1" selected="0">
            <x v="0"/>
          </reference>
          <reference field="3" count="1">
            <x v="5"/>
          </reference>
        </references>
      </pivotArea>
    </format>
    <format dxfId="3568">
      <pivotArea dataOnly="0" labelOnly="1" outline="0" fieldPosition="0">
        <references count="4">
          <reference field="0" count="1" selected="0">
            <x v="13"/>
          </reference>
          <reference field="1" count="1" selected="0">
            <x v="37"/>
          </reference>
          <reference field="2" count="1" selected="0">
            <x v="1"/>
          </reference>
          <reference field="3" count="1">
            <x v="3"/>
          </reference>
        </references>
      </pivotArea>
    </format>
    <format dxfId="3567">
      <pivotArea dataOnly="0" labelOnly="1" outline="0" fieldPosition="0">
        <references count="4">
          <reference field="0" count="1" selected="0">
            <x v="14"/>
          </reference>
          <reference field="1" count="1" selected="0">
            <x v="15"/>
          </reference>
          <reference field="2" count="1" selected="0">
            <x v="2"/>
          </reference>
          <reference field="3" count="1">
            <x v="5"/>
          </reference>
        </references>
      </pivotArea>
    </format>
    <format dxfId="3566">
      <pivotArea dataOnly="0" labelOnly="1" outline="0" fieldPosition="0">
        <references count="4">
          <reference field="0" count="1" selected="0">
            <x v="15"/>
          </reference>
          <reference field="1" count="1" selected="0">
            <x v="9"/>
          </reference>
          <reference field="2" count="1" selected="0">
            <x v="3"/>
          </reference>
          <reference field="3" count="1">
            <x v="1"/>
          </reference>
        </references>
      </pivotArea>
    </format>
    <format dxfId="3565">
      <pivotArea dataOnly="0" labelOnly="1" outline="0" fieldPosition="0">
        <references count="4">
          <reference field="0" count="1" selected="0">
            <x v="16"/>
          </reference>
          <reference field="1" count="1" selected="0">
            <x v="3"/>
          </reference>
          <reference field="2" count="1" selected="0">
            <x v="4"/>
          </reference>
          <reference field="3" count="1">
            <x v="4"/>
          </reference>
        </references>
      </pivotArea>
    </format>
    <format dxfId="3564">
      <pivotArea dataOnly="0" labelOnly="1" outline="0" fieldPosition="0">
        <references count="4">
          <reference field="0" count="1" selected="0">
            <x v="17"/>
          </reference>
          <reference field="1" count="1" selected="0">
            <x v="58"/>
          </reference>
          <reference field="2" count="1" selected="0">
            <x v="1"/>
          </reference>
          <reference field="3" count="1">
            <x v="2"/>
          </reference>
        </references>
      </pivotArea>
    </format>
    <format dxfId="3563">
      <pivotArea dataOnly="0" labelOnly="1" outline="0" fieldPosition="0">
        <references count="4">
          <reference field="0" count="1" selected="0">
            <x v="18"/>
          </reference>
          <reference field="1" count="1" selected="0">
            <x v="40"/>
          </reference>
          <reference field="2" count="1" selected="0">
            <x v="2"/>
          </reference>
          <reference field="3" count="1">
            <x v="4"/>
          </reference>
        </references>
      </pivotArea>
    </format>
    <format dxfId="3562">
      <pivotArea dataOnly="0" labelOnly="1" outline="0" fieldPosition="0">
        <references count="4">
          <reference field="0" count="1" selected="0">
            <x v="19"/>
          </reference>
          <reference field="1" count="1" selected="0">
            <x v="12"/>
          </reference>
          <reference field="2" count="1" selected="0">
            <x v="4"/>
          </reference>
          <reference field="3" count="1">
            <x v="7"/>
          </reference>
        </references>
      </pivotArea>
    </format>
    <format dxfId="3561">
      <pivotArea dataOnly="0" labelOnly="1" outline="0" fieldPosition="0">
        <references count="4">
          <reference field="0" count="1" selected="0">
            <x v="20"/>
          </reference>
          <reference field="1" count="1" selected="0">
            <x v="17"/>
          </reference>
          <reference field="2" count="1" selected="0">
            <x v="4"/>
          </reference>
          <reference field="3" count="1">
            <x v="1"/>
          </reference>
        </references>
      </pivotArea>
    </format>
    <format dxfId="3560">
      <pivotArea dataOnly="0" labelOnly="1" outline="0" fieldPosition="0">
        <references count="4">
          <reference field="0" count="1" selected="0">
            <x v="21"/>
          </reference>
          <reference field="1" count="1" selected="0">
            <x v="4"/>
          </reference>
          <reference field="2" count="1" selected="0">
            <x v="0"/>
          </reference>
          <reference field="3" count="1">
            <x v="7"/>
          </reference>
        </references>
      </pivotArea>
    </format>
    <format dxfId="3559">
      <pivotArea dataOnly="0" labelOnly="1" outline="0" fieldPosition="0">
        <references count="4">
          <reference field="0" count="1" selected="0">
            <x v="23"/>
          </reference>
          <reference field="1" count="1" selected="0">
            <x v="31"/>
          </reference>
          <reference field="2" count="1" selected="0">
            <x v="3"/>
          </reference>
          <reference field="3" count="1">
            <x v="6"/>
          </reference>
        </references>
      </pivotArea>
    </format>
    <format dxfId="3558">
      <pivotArea dataOnly="0" labelOnly="1" outline="0" fieldPosition="0">
        <references count="4">
          <reference field="0" count="1" selected="0">
            <x v="24"/>
          </reference>
          <reference field="1" count="1" selected="0">
            <x v="21"/>
          </reference>
          <reference field="2" count="1" selected="0">
            <x v="2"/>
          </reference>
          <reference field="3" count="1">
            <x v="0"/>
          </reference>
        </references>
      </pivotArea>
    </format>
    <format dxfId="3557">
      <pivotArea dataOnly="0" labelOnly="1" outline="0" fieldPosition="0">
        <references count="4">
          <reference field="0" count="1" selected="0">
            <x v="25"/>
          </reference>
          <reference field="1" count="1" selected="0">
            <x v="23"/>
          </reference>
          <reference field="2" count="1" selected="0">
            <x v="2"/>
          </reference>
          <reference field="3" count="1">
            <x v="7"/>
          </reference>
        </references>
      </pivotArea>
    </format>
    <format dxfId="3556">
      <pivotArea dataOnly="0" labelOnly="1" outline="0" fieldPosition="0">
        <references count="4">
          <reference field="0" count="1" selected="0">
            <x v="26"/>
          </reference>
          <reference field="1" count="1" selected="0">
            <x v="9"/>
          </reference>
          <reference field="2" count="1" selected="0">
            <x v="3"/>
          </reference>
          <reference field="3" count="1">
            <x v="1"/>
          </reference>
        </references>
      </pivotArea>
    </format>
    <format dxfId="3555">
      <pivotArea dataOnly="0" labelOnly="1" outline="0" fieldPosition="0">
        <references count="4">
          <reference field="0" count="1" selected="0">
            <x v="27"/>
          </reference>
          <reference field="1" count="1" selected="0">
            <x v="22"/>
          </reference>
          <reference field="2" count="1" selected="0">
            <x v="2"/>
          </reference>
          <reference field="3" count="1">
            <x v="5"/>
          </reference>
        </references>
      </pivotArea>
    </format>
    <format dxfId="3554">
      <pivotArea dataOnly="0" labelOnly="1" outline="0" fieldPosition="0">
        <references count="4">
          <reference field="0" count="1" selected="0">
            <x v="28"/>
          </reference>
          <reference field="1" count="1" selected="0">
            <x v="19"/>
          </reference>
          <reference field="2" count="1" selected="0">
            <x v="5"/>
          </reference>
          <reference field="3" count="1">
            <x v="0"/>
          </reference>
        </references>
      </pivotArea>
    </format>
    <format dxfId="3553">
      <pivotArea dataOnly="0" labelOnly="1" outline="0" fieldPosition="0">
        <references count="4">
          <reference field="0" count="1" selected="0">
            <x v="29"/>
          </reference>
          <reference field="1" count="1" selected="0">
            <x v="4"/>
          </reference>
          <reference field="2" count="1" selected="0">
            <x v="0"/>
          </reference>
          <reference field="3" count="1">
            <x v="6"/>
          </reference>
        </references>
      </pivotArea>
    </format>
    <format dxfId="3552">
      <pivotArea dataOnly="0" labelOnly="1" outline="0" fieldPosition="0">
        <references count="4">
          <reference field="0" count="1" selected="0">
            <x v="30"/>
          </reference>
          <reference field="1" count="1" selected="0">
            <x v="23"/>
          </reference>
          <reference field="2" count="1" selected="0">
            <x v="2"/>
          </reference>
          <reference field="3" count="1">
            <x v="3"/>
          </reference>
        </references>
      </pivotArea>
    </format>
    <format dxfId="3551">
      <pivotArea dataOnly="0" labelOnly="1" outline="0" fieldPosition="0">
        <references count="4">
          <reference field="0" count="1" selected="0">
            <x v="31"/>
          </reference>
          <reference field="1" count="1" selected="0">
            <x v="34"/>
          </reference>
          <reference field="2" count="1" selected="0">
            <x v="5"/>
          </reference>
          <reference field="3" count="1">
            <x v="7"/>
          </reference>
        </references>
      </pivotArea>
    </format>
    <format dxfId="3550">
      <pivotArea dataOnly="0" labelOnly="1" outline="0" fieldPosition="0">
        <references count="4">
          <reference field="0" count="1" selected="0">
            <x v="32"/>
          </reference>
          <reference field="1" count="1" selected="0">
            <x v="53"/>
          </reference>
          <reference field="2" count="1" selected="0">
            <x v="1"/>
          </reference>
          <reference field="3" count="1">
            <x v="0"/>
          </reference>
        </references>
      </pivotArea>
    </format>
    <format dxfId="3549">
      <pivotArea dataOnly="0" labelOnly="1" outline="0" fieldPosition="0">
        <references count="4">
          <reference field="0" count="1" selected="0">
            <x v="33"/>
          </reference>
          <reference field="1" count="1" selected="0">
            <x v="45"/>
          </reference>
          <reference field="2" count="1" selected="0">
            <x v="5"/>
          </reference>
          <reference field="3" count="1">
            <x v="2"/>
          </reference>
        </references>
      </pivotArea>
    </format>
    <format dxfId="3548">
      <pivotArea dataOnly="0" labelOnly="1" outline="0" fieldPosition="0">
        <references count="4">
          <reference field="0" count="1" selected="0">
            <x v="34"/>
          </reference>
          <reference field="1" count="1" selected="0">
            <x v="49"/>
          </reference>
          <reference field="2" count="1" selected="0">
            <x v="3"/>
          </reference>
          <reference field="3" count="1">
            <x v="7"/>
          </reference>
        </references>
      </pivotArea>
    </format>
    <format dxfId="3547">
      <pivotArea dataOnly="0" labelOnly="1" outline="0" fieldPosition="0">
        <references count="4">
          <reference field="0" count="1" selected="0">
            <x v="35"/>
          </reference>
          <reference field="1" count="1" selected="0">
            <x v="0"/>
          </reference>
          <reference field="2" count="1" selected="0">
            <x v="0"/>
          </reference>
          <reference field="3" count="1">
            <x v="1"/>
          </reference>
        </references>
      </pivotArea>
    </format>
    <format dxfId="3546">
      <pivotArea dataOnly="0" labelOnly="1" outline="0" fieldPosition="0">
        <references count="4">
          <reference field="0" count="1" selected="0">
            <x v="36"/>
          </reference>
          <reference field="1" count="1" selected="0">
            <x v="6"/>
          </reference>
          <reference field="2" count="1" selected="0">
            <x v="3"/>
          </reference>
          <reference field="3" count="1">
            <x v="2"/>
          </reference>
        </references>
      </pivotArea>
    </format>
    <format dxfId="3545">
      <pivotArea dataOnly="0" labelOnly="1" outline="0" fieldPosition="0">
        <references count="4">
          <reference field="0" count="1" selected="0">
            <x v="37"/>
          </reference>
          <reference field="1" count="1" selected="0">
            <x v="4"/>
          </reference>
          <reference field="2" count="1" selected="0">
            <x v="0"/>
          </reference>
          <reference field="3" count="1">
            <x v="3"/>
          </reference>
        </references>
      </pivotArea>
    </format>
    <format dxfId="3544">
      <pivotArea dataOnly="0" labelOnly="1" outline="0" fieldPosition="0">
        <references count="4">
          <reference field="0" count="1" selected="0">
            <x v="38"/>
          </reference>
          <reference field="1" count="1" selected="0">
            <x v="35"/>
          </reference>
          <reference field="2" count="1" selected="0">
            <x v="4"/>
          </reference>
          <reference field="3" count="1">
            <x v="5"/>
          </reference>
        </references>
      </pivotArea>
    </format>
    <format dxfId="3543">
      <pivotArea dataOnly="0" labelOnly="1" outline="0" fieldPosition="0">
        <references count="4">
          <reference field="0" count="1" selected="0">
            <x v="39"/>
          </reference>
          <reference field="1" count="1" selected="0">
            <x v="41"/>
          </reference>
          <reference field="2" count="1" selected="0">
            <x v="0"/>
          </reference>
          <reference field="3" count="1">
            <x v="3"/>
          </reference>
        </references>
      </pivotArea>
    </format>
    <format dxfId="3542">
      <pivotArea dataOnly="0" labelOnly="1" outline="0" fieldPosition="0">
        <references count="4">
          <reference field="0" count="1" selected="0">
            <x v="41"/>
          </reference>
          <reference field="1" count="1" selected="0">
            <x v="22"/>
          </reference>
          <reference field="2" count="1" selected="0">
            <x v="2"/>
          </reference>
          <reference field="3" count="1">
            <x v="6"/>
          </reference>
        </references>
      </pivotArea>
    </format>
    <format dxfId="3541">
      <pivotArea dataOnly="0" labelOnly="1" outline="0" fieldPosition="0">
        <references count="4">
          <reference field="0" count="1" selected="0">
            <x v="42"/>
          </reference>
          <reference field="1" count="1" selected="0">
            <x v="12"/>
          </reference>
          <reference field="2" count="1" selected="0">
            <x v="4"/>
          </reference>
          <reference field="3" count="1">
            <x v="4"/>
          </reference>
        </references>
      </pivotArea>
    </format>
    <format dxfId="3540">
      <pivotArea dataOnly="0" labelOnly="1" outline="0" fieldPosition="0">
        <references count="4">
          <reference field="0" count="1" selected="0">
            <x v="43"/>
          </reference>
          <reference field="1" count="1" selected="0">
            <x v="30"/>
          </reference>
          <reference field="2" count="1" selected="0">
            <x v="1"/>
          </reference>
          <reference field="3" count="1">
            <x v="6"/>
          </reference>
        </references>
      </pivotArea>
    </format>
    <format dxfId="3539">
      <pivotArea dataOnly="0" labelOnly="1" outline="0" fieldPosition="0">
        <references count="4">
          <reference field="0" count="1" selected="0">
            <x v="44"/>
          </reference>
          <reference field="1" count="1" selected="0">
            <x v="14"/>
          </reference>
          <reference field="2" count="1" selected="0">
            <x v="4"/>
          </reference>
          <reference field="3" count="1">
            <x v="2"/>
          </reference>
        </references>
      </pivotArea>
    </format>
    <format dxfId="3538">
      <pivotArea dataOnly="0" labelOnly="1" outline="0" fieldPosition="0">
        <references count="4">
          <reference field="0" count="1" selected="0">
            <x v="45"/>
          </reference>
          <reference field="1" count="1" selected="0">
            <x v="50"/>
          </reference>
          <reference field="2" count="1" selected="0">
            <x v="3"/>
          </reference>
          <reference field="3" count="1">
            <x v="4"/>
          </reference>
        </references>
      </pivotArea>
    </format>
    <format dxfId="3537">
      <pivotArea dataOnly="0" labelOnly="1" outline="0" fieldPosition="0">
        <references count="4">
          <reference field="0" count="1" selected="0">
            <x v="48"/>
          </reference>
          <reference field="1" count="1" selected="0">
            <x v="31"/>
          </reference>
          <reference field="2" count="1" selected="0">
            <x v="3"/>
          </reference>
          <reference field="3" count="1">
            <x v="1"/>
          </reference>
        </references>
      </pivotArea>
    </format>
    <format dxfId="3536">
      <pivotArea dataOnly="0" labelOnly="1" outline="0" fieldPosition="0">
        <references count="4">
          <reference field="0" count="1" selected="0">
            <x v="49"/>
          </reference>
          <reference field="1" count="1" selected="0">
            <x v="14"/>
          </reference>
          <reference field="2" count="1" selected="0">
            <x v="4"/>
          </reference>
          <reference field="3" count="1">
            <x v="7"/>
          </reference>
        </references>
      </pivotArea>
    </format>
    <format dxfId="3535">
      <pivotArea dataOnly="0" labelOnly="1" outline="0" fieldPosition="0">
        <references count="4">
          <reference field="0" count="1" selected="0">
            <x v="50"/>
          </reference>
          <reference field="1" count="1" selected="0">
            <x v="23"/>
          </reference>
          <reference field="2" count="1" selected="0">
            <x v="2"/>
          </reference>
          <reference field="3" count="1">
            <x v="4"/>
          </reference>
        </references>
      </pivotArea>
    </format>
    <format dxfId="3534">
      <pivotArea dataOnly="0" labelOnly="1" outline="0" fieldPosition="0">
        <references count="4">
          <reference field="0" count="1" selected="0">
            <x v="51"/>
          </reference>
          <reference field="1" count="1" selected="0">
            <x v="17"/>
          </reference>
          <reference field="2" count="1" selected="0">
            <x v="4"/>
          </reference>
          <reference field="3" count="1">
            <x v="7"/>
          </reference>
        </references>
      </pivotArea>
    </format>
    <format dxfId="3533">
      <pivotArea dataOnly="0" labelOnly="1" outline="0" fieldPosition="0">
        <references count="4">
          <reference field="0" count="1" selected="0">
            <x v="52"/>
          </reference>
          <reference field="1" count="1" selected="0">
            <x v="16"/>
          </reference>
          <reference field="2" count="1" selected="0">
            <x v="5"/>
          </reference>
          <reference field="3" count="1">
            <x v="3"/>
          </reference>
        </references>
      </pivotArea>
    </format>
    <format dxfId="3532">
      <pivotArea dataOnly="0" labelOnly="1" outline="0" fieldPosition="0">
        <references count="4">
          <reference field="0" count="1" selected="0">
            <x v="53"/>
          </reference>
          <reference field="1" count="1" selected="0">
            <x v="10"/>
          </reference>
          <reference field="2" count="1" selected="0">
            <x v="4"/>
          </reference>
          <reference field="3" count="1">
            <x v="7"/>
          </reference>
        </references>
      </pivotArea>
    </format>
    <format dxfId="3531">
      <pivotArea dataOnly="0" labelOnly="1" outline="0" fieldPosition="0">
        <references count="4">
          <reference field="0" count="1" selected="0">
            <x v="54"/>
          </reference>
          <reference field="1" count="1" selected="0">
            <x v="40"/>
          </reference>
          <reference field="2" count="1" selected="0">
            <x v="2"/>
          </reference>
          <reference field="3" count="1">
            <x v="2"/>
          </reference>
        </references>
      </pivotArea>
    </format>
    <format dxfId="3530">
      <pivotArea dataOnly="0" labelOnly="1" outline="0" fieldPosition="0">
        <references count="4">
          <reference field="0" count="1" selected="0">
            <x v="55"/>
          </reference>
          <reference field="1" count="1" selected="0">
            <x v="13"/>
          </reference>
          <reference field="2" count="1" selected="0">
            <x v="3"/>
          </reference>
          <reference field="3" count="1">
            <x v="5"/>
          </reference>
        </references>
      </pivotArea>
    </format>
    <format dxfId="3529">
      <pivotArea dataOnly="0" labelOnly="1" outline="0" fieldPosition="0">
        <references count="4">
          <reference field="0" count="1" selected="0">
            <x v="56"/>
          </reference>
          <reference field="1" count="1" selected="0">
            <x v="37"/>
          </reference>
          <reference field="2" count="1" selected="0">
            <x v="1"/>
          </reference>
          <reference field="3" count="1">
            <x v="2"/>
          </reference>
        </references>
      </pivotArea>
    </format>
    <format dxfId="3528">
      <pivotArea dataOnly="0" labelOnly="1" outline="0" fieldPosition="0">
        <references count="4">
          <reference field="0" count="1" selected="0">
            <x v="57"/>
          </reference>
          <reference field="1" count="1" selected="0">
            <x v="48"/>
          </reference>
          <reference field="2" count="1" selected="0">
            <x v="5"/>
          </reference>
          <reference field="3" count="1">
            <x v="1"/>
          </reference>
        </references>
      </pivotArea>
    </format>
    <format dxfId="3527">
      <pivotArea dataOnly="0" labelOnly="1" outline="0" fieldPosition="0">
        <references count="4">
          <reference field="0" count="1" selected="0">
            <x v="58"/>
          </reference>
          <reference field="1" count="1" selected="0">
            <x v="44"/>
          </reference>
          <reference field="2" count="1" selected="0">
            <x v="5"/>
          </reference>
          <reference field="3" count="1">
            <x v="0"/>
          </reference>
        </references>
      </pivotArea>
    </format>
    <format dxfId="3526">
      <pivotArea dataOnly="0" labelOnly="1" outline="0" fieldPosition="0">
        <references count="4">
          <reference field="0" count="1" selected="0">
            <x v="59"/>
          </reference>
          <reference field="1" count="1" selected="0">
            <x v="24"/>
          </reference>
          <reference field="2" count="1" selected="0">
            <x v="0"/>
          </reference>
          <reference field="3" count="1">
            <x v="6"/>
          </reference>
        </references>
      </pivotArea>
    </format>
    <format dxfId="3525">
      <pivotArea dataOnly="0" labelOnly="1" outline="0" fieldPosition="0">
        <references count="4">
          <reference field="0" count="1" selected="0">
            <x v="60"/>
          </reference>
          <reference field="1" count="1" selected="0">
            <x v="34"/>
          </reference>
          <reference field="2" count="1" selected="0">
            <x v="5"/>
          </reference>
          <reference field="3" count="1">
            <x v="4"/>
          </reference>
        </references>
      </pivotArea>
    </format>
    <format dxfId="3524">
      <pivotArea dataOnly="0" labelOnly="1" outline="0" fieldPosition="0">
        <references count="4">
          <reference field="0" count="1" selected="0">
            <x v="61"/>
          </reference>
          <reference field="1" count="1" selected="0">
            <x v="59"/>
          </reference>
          <reference field="2" count="1" selected="0">
            <x v="2"/>
          </reference>
          <reference field="3" count="1">
            <x v="2"/>
          </reference>
        </references>
      </pivotArea>
    </format>
    <format dxfId="3523">
      <pivotArea dataOnly="0" labelOnly="1" outline="0" fieldPosition="0">
        <references count="4">
          <reference field="0" count="1" selected="0">
            <x v="62"/>
          </reference>
          <reference field="1" count="1" selected="0">
            <x v="10"/>
          </reference>
          <reference field="2" count="1" selected="0">
            <x v="4"/>
          </reference>
          <reference field="3" count="1">
            <x v="5"/>
          </reference>
        </references>
      </pivotArea>
    </format>
    <format dxfId="3522">
      <pivotArea dataOnly="0" labelOnly="1" outline="0" fieldPosition="0">
        <references count="4">
          <reference field="0" count="1" selected="0">
            <x v="63"/>
          </reference>
          <reference field="1" count="1" selected="0">
            <x v="16"/>
          </reference>
          <reference field="2" count="1" selected="0">
            <x v="5"/>
          </reference>
          <reference field="3" count="1">
            <x v="3"/>
          </reference>
        </references>
      </pivotArea>
    </format>
    <format dxfId="3521">
      <pivotArea dataOnly="0" labelOnly="1" outline="0" fieldPosition="0">
        <references count="4">
          <reference field="0" count="1" selected="0">
            <x v="64"/>
          </reference>
          <reference field="1" count="1" selected="0">
            <x v="4"/>
          </reference>
          <reference field="2" count="1" selected="0">
            <x v="0"/>
          </reference>
          <reference field="3" count="1">
            <x v="0"/>
          </reference>
        </references>
      </pivotArea>
    </format>
    <format dxfId="3520">
      <pivotArea dataOnly="0" labelOnly="1" outline="0" fieldPosition="0">
        <references count="4">
          <reference field="0" count="1" selected="0">
            <x v="65"/>
          </reference>
          <reference field="1" count="1" selected="0">
            <x v="9"/>
          </reference>
          <reference field="2" count="1" selected="0">
            <x v="3"/>
          </reference>
          <reference field="3" count="1">
            <x v="2"/>
          </reference>
        </references>
      </pivotArea>
    </format>
    <format dxfId="3519">
      <pivotArea dataOnly="0" labelOnly="1" outline="0" fieldPosition="0">
        <references count="4">
          <reference field="0" count="1" selected="0">
            <x v="66"/>
          </reference>
          <reference field="1" count="1" selected="0">
            <x v="43"/>
          </reference>
          <reference field="2" count="1" selected="0">
            <x v="0"/>
          </reference>
          <reference field="3" count="1">
            <x v="4"/>
          </reference>
        </references>
      </pivotArea>
    </format>
    <format dxfId="3518">
      <pivotArea dataOnly="0" labelOnly="1" outline="0" fieldPosition="0">
        <references count="4">
          <reference field="0" count="1" selected="0">
            <x v="67"/>
          </reference>
          <reference field="1" count="1" selected="0">
            <x v="44"/>
          </reference>
          <reference field="2" count="1" selected="0">
            <x v="5"/>
          </reference>
          <reference field="3" count="1">
            <x v="5"/>
          </reference>
        </references>
      </pivotArea>
    </format>
    <format dxfId="3517">
      <pivotArea dataOnly="0" labelOnly="1" outline="0" fieldPosition="0">
        <references count="4">
          <reference field="0" count="1" selected="0">
            <x v="68"/>
          </reference>
          <reference field="1" count="1" selected="0">
            <x v="1"/>
          </reference>
          <reference field="2" count="1" selected="0">
            <x v="5"/>
          </reference>
          <reference field="3" count="1">
            <x v="2"/>
          </reference>
        </references>
      </pivotArea>
    </format>
    <format dxfId="3516">
      <pivotArea dataOnly="0" labelOnly="1" outline="0" fieldPosition="0">
        <references count="4">
          <reference field="0" count="1" selected="0">
            <x v="69"/>
          </reference>
          <reference field="1" count="1" selected="0">
            <x v="20"/>
          </reference>
          <reference field="2" count="1" selected="0">
            <x v="4"/>
          </reference>
          <reference field="3" count="1">
            <x v="1"/>
          </reference>
        </references>
      </pivotArea>
    </format>
    <format dxfId="3515">
      <pivotArea dataOnly="0" labelOnly="1" outline="0" fieldPosition="0">
        <references count="4">
          <reference field="0" count="1" selected="0">
            <x v="70"/>
          </reference>
          <reference field="1" count="1" selected="0">
            <x v="1"/>
          </reference>
          <reference field="2" count="1" selected="0">
            <x v="5"/>
          </reference>
          <reference field="3" count="1">
            <x v="0"/>
          </reference>
        </references>
      </pivotArea>
    </format>
    <format dxfId="3514">
      <pivotArea dataOnly="0" labelOnly="1" outline="0" fieldPosition="0">
        <references count="4">
          <reference field="0" count="1" selected="0">
            <x v="71"/>
          </reference>
          <reference field="1" count="1" selected="0">
            <x v="30"/>
          </reference>
          <reference field="2" count="1" selected="0">
            <x v="1"/>
          </reference>
          <reference field="3" count="1">
            <x v="6"/>
          </reference>
        </references>
      </pivotArea>
    </format>
    <format dxfId="3513">
      <pivotArea dataOnly="0" labelOnly="1" outline="0" fieldPosition="0">
        <references count="4">
          <reference field="0" count="1" selected="0">
            <x v="72"/>
          </reference>
          <reference field="1" count="1" selected="0">
            <x v="33"/>
          </reference>
          <reference field="2" count="1" selected="0">
            <x v="4"/>
          </reference>
          <reference field="3" count="1">
            <x v="2"/>
          </reference>
        </references>
      </pivotArea>
    </format>
    <format dxfId="3512">
      <pivotArea dataOnly="0" labelOnly="1" outline="0" fieldPosition="0">
        <references count="4">
          <reference field="0" count="1" selected="0">
            <x v="73"/>
          </reference>
          <reference field="1" count="1" selected="0">
            <x v="44"/>
          </reference>
          <reference field="2" count="1" selected="0">
            <x v="5"/>
          </reference>
          <reference field="3" count="1">
            <x v="5"/>
          </reference>
        </references>
      </pivotArea>
    </format>
    <format dxfId="3511">
      <pivotArea dataOnly="0" labelOnly="1" outline="0" fieldPosition="0">
        <references count="4">
          <reference field="0" count="1" selected="0">
            <x v="74"/>
          </reference>
          <reference field="1" count="1" selected="0">
            <x v="59"/>
          </reference>
          <reference field="2" count="1" selected="0">
            <x v="2"/>
          </reference>
          <reference field="3" count="1">
            <x v="1"/>
          </reference>
        </references>
      </pivotArea>
    </format>
    <format dxfId="3510">
      <pivotArea dataOnly="0" labelOnly="1" outline="0" fieldPosition="0">
        <references count="4">
          <reference field="0" count="1" selected="0">
            <x v="75"/>
          </reference>
          <reference field="1" count="1" selected="0">
            <x v="5"/>
          </reference>
          <reference field="2" count="1" selected="0">
            <x v="0"/>
          </reference>
          <reference field="3" count="1">
            <x v="7"/>
          </reference>
        </references>
      </pivotArea>
    </format>
    <format dxfId="3509">
      <pivotArea dataOnly="0" labelOnly="1" outline="0" fieldPosition="0">
        <references count="4">
          <reference field="0" count="1" selected="0">
            <x v="76"/>
          </reference>
          <reference field="1" count="1" selected="0">
            <x v="55"/>
          </reference>
          <reference field="2" count="1" selected="0">
            <x v="1"/>
          </reference>
          <reference field="3" count="1">
            <x v="3"/>
          </reference>
        </references>
      </pivotArea>
    </format>
    <format dxfId="3508">
      <pivotArea dataOnly="0" labelOnly="1" outline="0" fieldPosition="0">
        <references count="4">
          <reference field="0" count="1" selected="0">
            <x v="77"/>
          </reference>
          <reference field="1" count="1" selected="0">
            <x v="59"/>
          </reference>
          <reference field="2" count="1" selected="0">
            <x v="2"/>
          </reference>
          <reference field="3" count="1">
            <x v="4"/>
          </reference>
        </references>
      </pivotArea>
    </format>
    <format dxfId="3507">
      <pivotArea dataOnly="0" labelOnly="1" outline="0" fieldPosition="0">
        <references count="4">
          <reference field="0" count="1" selected="0">
            <x v="79"/>
          </reference>
          <reference field="1" count="1" selected="0">
            <x v="9"/>
          </reference>
          <reference field="2" count="1" selected="0">
            <x v="3"/>
          </reference>
          <reference field="3" count="1">
            <x v="0"/>
          </reference>
        </references>
      </pivotArea>
    </format>
    <format dxfId="3506">
      <pivotArea dataOnly="0" labelOnly="1" outline="0" fieldPosition="0">
        <references count="4">
          <reference field="0" count="1" selected="0">
            <x v="80"/>
          </reference>
          <reference field="1" count="1" selected="0">
            <x v="48"/>
          </reference>
          <reference field="2" count="1" selected="0">
            <x v="5"/>
          </reference>
          <reference field="3" count="1">
            <x v="7"/>
          </reference>
        </references>
      </pivotArea>
    </format>
    <format dxfId="3505">
      <pivotArea dataOnly="0" labelOnly="1" outline="0" fieldPosition="0">
        <references count="4">
          <reference field="0" count="1" selected="0">
            <x v="81"/>
          </reference>
          <reference field="1" count="1" selected="0">
            <x v="54"/>
          </reference>
          <reference field="2" count="1" selected="0">
            <x v="2"/>
          </reference>
          <reference field="3" count="1">
            <x v="1"/>
          </reference>
        </references>
      </pivotArea>
    </format>
    <format dxfId="3504">
      <pivotArea dataOnly="0" labelOnly="1" outline="0" fieldPosition="0">
        <references count="4">
          <reference field="0" count="1" selected="0">
            <x v="83"/>
          </reference>
          <reference field="1" count="1" selected="0">
            <x v="46"/>
          </reference>
          <reference field="2" count="1" selected="0">
            <x v="3"/>
          </reference>
          <reference field="3" count="1">
            <x v="4"/>
          </reference>
        </references>
      </pivotArea>
    </format>
    <format dxfId="3503">
      <pivotArea dataOnly="0" labelOnly="1" outline="0" fieldPosition="0">
        <references count="4">
          <reference field="0" count="1" selected="0">
            <x v="84"/>
          </reference>
          <reference field="1" count="1" selected="0">
            <x v="39"/>
          </reference>
          <reference field="2" count="1" selected="0">
            <x v="2"/>
          </reference>
          <reference field="3" count="1">
            <x v="2"/>
          </reference>
        </references>
      </pivotArea>
    </format>
    <format dxfId="3502">
      <pivotArea dataOnly="0" labelOnly="1" outline="0" fieldPosition="0">
        <references count="4">
          <reference field="0" count="1" selected="0">
            <x v="85"/>
          </reference>
          <reference field="1" count="1" selected="0">
            <x v="10"/>
          </reference>
          <reference field="2" count="1" selected="0">
            <x v="4"/>
          </reference>
          <reference field="3" count="1">
            <x v="0"/>
          </reference>
        </references>
      </pivotArea>
    </format>
    <format dxfId="3501">
      <pivotArea dataOnly="0" labelOnly="1" outline="0" fieldPosition="0">
        <references count="4">
          <reference field="0" count="1" selected="0">
            <x v="86"/>
          </reference>
          <reference field="1" count="1" selected="0">
            <x v="29"/>
          </reference>
          <reference field="2" count="1" selected="0">
            <x v="1"/>
          </reference>
          <reference field="3" count="1">
            <x v="1"/>
          </reference>
        </references>
      </pivotArea>
    </format>
    <format dxfId="3500">
      <pivotArea dataOnly="0" labelOnly="1" outline="0" fieldPosition="0">
        <references count="4">
          <reference field="0" count="1" selected="0">
            <x v="89"/>
          </reference>
          <reference field="1" count="1" selected="0">
            <x v="52"/>
          </reference>
          <reference field="2" count="1" selected="0">
            <x v="1"/>
          </reference>
          <reference field="3" count="1">
            <x v="3"/>
          </reference>
        </references>
      </pivotArea>
    </format>
    <format dxfId="3499">
      <pivotArea dataOnly="0" labelOnly="1" outline="0" fieldPosition="0">
        <references count="4">
          <reference field="0" count="1" selected="0">
            <x v="90"/>
          </reference>
          <reference field="1" count="1" selected="0">
            <x v="37"/>
          </reference>
          <reference field="2" count="1" selected="0">
            <x v="1"/>
          </reference>
          <reference field="3" count="1">
            <x v="1"/>
          </reference>
        </references>
      </pivotArea>
    </format>
    <format dxfId="3498">
      <pivotArea dataOnly="0" labelOnly="1" outline="0" fieldPosition="0">
        <references count="4">
          <reference field="0" count="1" selected="0">
            <x v="91"/>
          </reference>
          <reference field="1" count="1" selected="0">
            <x v="51"/>
          </reference>
          <reference field="2" count="1" selected="0">
            <x v="0"/>
          </reference>
          <reference field="3" count="1">
            <x v="4"/>
          </reference>
        </references>
      </pivotArea>
    </format>
    <format dxfId="3497">
      <pivotArea dataOnly="0" labelOnly="1" outline="0" fieldPosition="0">
        <references count="4">
          <reference field="0" count="1" selected="0">
            <x v="93"/>
          </reference>
          <reference field="1" count="1" selected="0">
            <x v="5"/>
          </reference>
          <reference field="2" count="1" selected="0">
            <x v="0"/>
          </reference>
          <reference field="3" count="1">
            <x v="7"/>
          </reference>
        </references>
      </pivotArea>
    </format>
    <format dxfId="3496">
      <pivotArea dataOnly="0" labelOnly="1" outline="0" fieldPosition="0">
        <references count="4">
          <reference field="0" count="1" selected="0">
            <x v="94"/>
          </reference>
          <reference field="1" count="1" selected="0">
            <x v="42"/>
          </reference>
          <reference field="2" count="1" selected="0">
            <x v="2"/>
          </reference>
          <reference field="3" count="1">
            <x v="2"/>
          </reference>
        </references>
      </pivotArea>
    </format>
    <format dxfId="3495">
      <pivotArea dataOnly="0" labelOnly="1" outline="0" fieldPosition="0">
        <references count="4">
          <reference field="0" count="1" selected="0">
            <x v="95"/>
          </reference>
          <reference field="1" count="1" selected="0">
            <x v="51"/>
          </reference>
          <reference field="2" count="1" selected="0">
            <x v="0"/>
          </reference>
          <reference field="3" count="1">
            <x v="6"/>
          </reference>
        </references>
      </pivotArea>
    </format>
    <format dxfId="3494">
      <pivotArea dataOnly="0" labelOnly="1" outline="0" fieldPosition="0">
        <references count="4">
          <reference field="0" count="1" selected="0">
            <x v="96"/>
          </reference>
          <reference field="1" count="1" selected="0">
            <x v="31"/>
          </reference>
          <reference field="2" count="1" selected="0">
            <x v="3"/>
          </reference>
          <reference field="3" count="1">
            <x v="0"/>
          </reference>
        </references>
      </pivotArea>
    </format>
    <format dxfId="3493">
      <pivotArea dataOnly="0" labelOnly="1" outline="0" fieldPosition="0">
        <references count="4">
          <reference field="0" count="1" selected="0">
            <x v="97"/>
          </reference>
          <reference field="1" count="1" selected="0">
            <x v="38"/>
          </reference>
          <reference field="2" count="1" selected="0">
            <x v="5"/>
          </reference>
          <reference field="3" count="1">
            <x v="5"/>
          </reference>
        </references>
      </pivotArea>
    </format>
    <format dxfId="3492">
      <pivotArea dataOnly="0" labelOnly="1" outline="0" fieldPosition="0">
        <references count="4">
          <reference field="0" count="1" selected="0">
            <x v="98"/>
          </reference>
          <reference field="1" count="1" selected="0">
            <x v="1"/>
          </reference>
          <reference field="2" count="1" selected="0">
            <x v="5"/>
          </reference>
          <reference field="3" count="1">
            <x v="1"/>
          </reference>
        </references>
      </pivotArea>
    </format>
    <format dxfId="3491">
      <pivotArea dataOnly="0" labelOnly="1" outline="0" fieldPosition="0">
        <references count="4">
          <reference field="0" count="1" selected="0">
            <x v="99"/>
          </reference>
          <reference field="1" count="1" selected="0">
            <x v="27"/>
          </reference>
          <reference field="2" count="1" selected="0">
            <x v="0"/>
          </reference>
          <reference field="3" count="1">
            <x v="5"/>
          </reference>
        </references>
      </pivotArea>
    </format>
    <format dxfId="3490">
      <pivotArea dataOnly="0" labelOnly="1" outline="0" fieldPosition="0">
        <references count="4">
          <reference field="0" count="1" selected="0">
            <x v="100"/>
          </reference>
          <reference field="1" count="1" selected="0">
            <x v="5"/>
          </reference>
          <reference field="2" count="1" selected="0">
            <x v="0"/>
          </reference>
          <reference field="3" count="1">
            <x v="1"/>
          </reference>
        </references>
      </pivotArea>
    </format>
    <format dxfId="3489">
      <pivotArea dataOnly="0" labelOnly="1" outline="0" fieldPosition="0">
        <references count="4">
          <reference field="0" count="1" selected="0">
            <x v="101"/>
          </reference>
          <reference field="1" count="1" selected="0">
            <x v="49"/>
          </reference>
          <reference field="2" count="1" selected="0">
            <x v="3"/>
          </reference>
          <reference field="3" count="1">
            <x v="4"/>
          </reference>
        </references>
      </pivotArea>
    </format>
    <format dxfId="3488">
      <pivotArea dataOnly="0" labelOnly="1" outline="0" fieldPosition="0">
        <references count="4">
          <reference field="0" count="1" selected="0">
            <x v="102"/>
          </reference>
          <reference field="1" count="1" selected="0">
            <x v="35"/>
          </reference>
          <reference field="2" count="1" selected="0">
            <x v="4"/>
          </reference>
          <reference field="3" count="1">
            <x v="1"/>
          </reference>
        </references>
      </pivotArea>
    </format>
    <format dxfId="3487">
      <pivotArea dataOnly="0" labelOnly="1" outline="0" fieldPosition="0">
        <references count="4">
          <reference field="0" count="1" selected="0">
            <x v="103"/>
          </reference>
          <reference field="1" count="1" selected="0">
            <x v="42"/>
          </reference>
          <reference field="2" count="1" selected="0">
            <x v="2"/>
          </reference>
          <reference field="3" count="1">
            <x v="7"/>
          </reference>
        </references>
      </pivotArea>
    </format>
    <format dxfId="3486">
      <pivotArea dataOnly="0" labelOnly="1" outline="0" fieldPosition="0">
        <references count="4">
          <reference field="0" count="1" selected="0">
            <x v="104"/>
          </reference>
          <reference field="1" count="1" selected="0">
            <x v="25"/>
          </reference>
          <reference field="2" count="1" selected="0">
            <x v="1"/>
          </reference>
          <reference field="3" count="1">
            <x v="2"/>
          </reference>
        </references>
      </pivotArea>
    </format>
    <format dxfId="3485">
      <pivotArea dataOnly="0" labelOnly="1" outline="0" fieldPosition="0">
        <references count="4">
          <reference field="0" count="1" selected="0">
            <x v="105"/>
          </reference>
          <reference field="1" count="1" selected="0">
            <x v="26"/>
          </reference>
          <reference field="2" count="1" selected="0">
            <x v="5"/>
          </reference>
          <reference field="3" count="1">
            <x v="7"/>
          </reference>
        </references>
      </pivotArea>
    </format>
    <format dxfId="3484">
      <pivotArea dataOnly="0" labelOnly="1" outline="0" fieldPosition="0">
        <references count="4">
          <reference field="0" count="1" selected="0">
            <x v="106"/>
          </reference>
          <reference field="1" count="1" selected="0">
            <x v="6"/>
          </reference>
          <reference field="2" count="1" selected="0">
            <x v="3"/>
          </reference>
          <reference field="3" count="1">
            <x v="3"/>
          </reference>
        </references>
      </pivotArea>
    </format>
    <format dxfId="3483">
      <pivotArea dataOnly="0" labelOnly="1" outline="0" fieldPosition="0">
        <references count="4">
          <reference field="0" count="1" selected="0">
            <x v="107"/>
          </reference>
          <reference field="1" count="1" selected="0">
            <x v="0"/>
          </reference>
          <reference field="2" count="1" selected="0">
            <x v="0"/>
          </reference>
          <reference field="3" count="1">
            <x v="4"/>
          </reference>
        </references>
      </pivotArea>
    </format>
    <format dxfId="3482">
      <pivotArea dataOnly="0" labelOnly="1" outline="0" fieldPosition="0">
        <references count="4">
          <reference field="0" count="1" selected="0">
            <x v="108"/>
          </reference>
          <reference field="1" count="1" selected="0">
            <x v="44"/>
          </reference>
          <reference field="2" count="1" selected="0">
            <x v="5"/>
          </reference>
          <reference field="3" count="1">
            <x v="7"/>
          </reference>
        </references>
      </pivotArea>
    </format>
    <format dxfId="3481">
      <pivotArea dataOnly="0" labelOnly="1" outline="0" fieldPosition="0">
        <references count="4">
          <reference field="0" count="1" selected="0">
            <x v="109"/>
          </reference>
          <reference field="1" count="1" selected="0">
            <x v="8"/>
          </reference>
          <reference field="2" count="1" selected="0">
            <x v="5"/>
          </reference>
          <reference field="3" count="1">
            <x v="0"/>
          </reference>
        </references>
      </pivotArea>
    </format>
    <format dxfId="3480">
      <pivotArea dataOnly="0" labelOnly="1" outline="0" fieldPosition="0">
        <references count="4">
          <reference field="0" count="1" selected="0">
            <x v="110"/>
          </reference>
          <reference field="1" count="1" selected="0">
            <x v="44"/>
          </reference>
          <reference field="2" count="1" selected="0">
            <x v="5"/>
          </reference>
          <reference field="3" count="1">
            <x v="1"/>
          </reference>
        </references>
      </pivotArea>
    </format>
    <format dxfId="3479">
      <pivotArea dataOnly="0" labelOnly="1" outline="0" fieldPosition="0">
        <references count="4">
          <reference field="0" count="1" selected="0">
            <x v="111"/>
          </reference>
          <reference field="1" count="1" selected="0">
            <x v="49"/>
          </reference>
          <reference field="2" count="1" selected="0">
            <x v="3"/>
          </reference>
          <reference field="3" count="1">
            <x v="3"/>
          </reference>
        </references>
      </pivotArea>
    </format>
    <format dxfId="3478">
      <pivotArea dataOnly="0" labelOnly="1" outline="0" fieldPosition="0">
        <references count="4">
          <reference field="0" count="1" selected="0">
            <x v="112"/>
          </reference>
          <reference field="1" count="1" selected="0">
            <x v="57"/>
          </reference>
          <reference field="2" count="1" selected="0">
            <x v="0"/>
          </reference>
          <reference field="3" count="1">
            <x v="5"/>
          </reference>
        </references>
      </pivotArea>
    </format>
    <format dxfId="3477">
      <pivotArea dataOnly="0" labelOnly="1" outline="0" fieldPosition="0">
        <references count="4">
          <reference field="0" count="1" selected="0">
            <x v="113"/>
          </reference>
          <reference field="1" count="1" selected="0">
            <x v="21"/>
          </reference>
          <reference field="2" count="1" selected="0">
            <x v="2"/>
          </reference>
          <reference field="3" count="1">
            <x v="3"/>
          </reference>
        </references>
      </pivotArea>
    </format>
    <format dxfId="3476">
      <pivotArea dataOnly="0" labelOnly="1" outline="0" fieldPosition="0">
        <references count="4">
          <reference field="0" count="1" selected="0">
            <x v="115"/>
          </reference>
          <reference field="1" count="1" selected="0">
            <x v="1"/>
          </reference>
          <reference field="2" count="1" selected="0">
            <x v="5"/>
          </reference>
          <reference field="3" count="1">
            <x v="6"/>
          </reference>
        </references>
      </pivotArea>
    </format>
    <format dxfId="3475">
      <pivotArea dataOnly="0" labelOnly="1" outline="0" fieldPosition="0">
        <references count="4">
          <reference field="0" count="1" selected="0">
            <x v="117"/>
          </reference>
          <reference field="1" count="1" selected="0">
            <x v="39"/>
          </reference>
          <reference field="2" count="1" selected="0">
            <x v="2"/>
          </reference>
          <reference field="3" count="1">
            <x v="5"/>
          </reference>
        </references>
      </pivotArea>
    </format>
    <format dxfId="3474">
      <pivotArea dataOnly="0" labelOnly="1" outline="0" fieldPosition="0">
        <references count="4">
          <reference field="0" count="1" selected="0">
            <x v="118"/>
          </reference>
          <reference field="1" count="1" selected="0">
            <x v="7"/>
          </reference>
          <reference field="2" count="1" selected="0">
            <x v="3"/>
          </reference>
          <reference field="3" count="1">
            <x v="6"/>
          </reference>
        </references>
      </pivotArea>
    </format>
    <format dxfId="3473">
      <pivotArea dataOnly="0" labelOnly="1" outline="0" fieldPosition="0">
        <references count="4">
          <reference field="0" count="1" selected="0">
            <x v="119"/>
          </reference>
          <reference field="1" count="1" selected="0">
            <x v="44"/>
          </reference>
          <reference field="2" count="1" selected="0">
            <x v="5"/>
          </reference>
          <reference field="3" count="1">
            <x v="1"/>
          </reference>
        </references>
      </pivotArea>
    </format>
    <format dxfId="3472">
      <pivotArea dataOnly="0" labelOnly="1" outline="0" fieldPosition="0">
        <references count="4">
          <reference field="0" count="1" selected="0">
            <x v="120"/>
          </reference>
          <reference field="1" count="1" selected="0">
            <x v="8"/>
          </reference>
          <reference field="2" count="1" selected="0">
            <x v="5"/>
          </reference>
          <reference field="3" count="1">
            <x v="4"/>
          </reference>
        </references>
      </pivotArea>
    </format>
    <format dxfId="3471">
      <pivotArea dataOnly="0" labelOnly="1" outline="0" fieldPosition="0">
        <references count="4">
          <reference field="0" count="1" selected="0">
            <x v="121"/>
          </reference>
          <reference field="1" count="1" selected="0">
            <x v="50"/>
          </reference>
          <reference field="2" count="1" selected="0">
            <x v="3"/>
          </reference>
          <reference field="3" count="1">
            <x v="6"/>
          </reference>
        </references>
      </pivotArea>
    </format>
    <format dxfId="3470">
      <pivotArea dataOnly="0" labelOnly="1" outline="0" fieldPosition="0">
        <references count="4">
          <reference field="0" count="1" selected="0">
            <x v="122"/>
          </reference>
          <reference field="1" count="1" selected="0">
            <x v="21"/>
          </reference>
          <reference field="2" count="1" selected="0">
            <x v="2"/>
          </reference>
          <reference field="3" count="1">
            <x v="3"/>
          </reference>
        </references>
      </pivotArea>
    </format>
    <format dxfId="3469">
      <pivotArea dataOnly="0" labelOnly="1" outline="0" fieldPosition="0">
        <references count="4">
          <reference field="0" count="1" selected="0">
            <x v="123"/>
          </reference>
          <reference field="1" count="1" selected="0">
            <x v="39"/>
          </reference>
          <reference field="2" count="1" selected="0">
            <x v="2"/>
          </reference>
          <reference field="3" count="1">
            <x v="1"/>
          </reference>
        </references>
      </pivotArea>
    </format>
    <format dxfId="3468">
      <pivotArea dataOnly="0" labelOnly="1" outline="0" fieldPosition="0">
        <references count="4">
          <reference field="0" count="1" selected="0">
            <x v="124"/>
          </reference>
          <reference field="1" count="1" selected="0">
            <x v="36"/>
          </reference>
          <reference field="2" count="1" selected="0">
            <x v="1"/>
          </reference>
          <reference field="3" count="1">
            <x v="5"/>
          </reference>
        </references>
      </pivotArea>
    </format>
    <format dxfId="3467">
      <pivotArea dataOnly="0" labelOnly="1" outline="0" fieldPosition="0">
        <references count="4">
          <reference field="0" count="1" selected="0">
            <x v="126"/>
          </reference>
          <reference field="1" count="1" selected="0">
            <x v="2"/>
          </reference>
          <reference field="2" count="1" selected="0">
            <x v="3"/>
          </reference>
          <reference field="3" count="1">
            <x v="0"/>
          </reference>
        </references>
      </pivotArea>
    </format>
    <format dxfId="3466">
      <pivotArea dataOnly="0" labelOnly="1" outline="0" fieldPosition="0">
        <references count="4">
          <reference field="0" count="1" selected="0">
            <x v="127"/>
          </reference>
          <reference field="1" count="1" selected="0">
            <x v="35"/>
          </reference>
          <reference field="2" count="1" selected="0">
            <x v="4"/>
          </reference>
          <reference field="3" count="1">
            <x v="4"/>
          </reference>
        </references>
      </pivotArea>
    </format>
    <format dxfId="3465">
      <pivotArea dataOnly="0" labelOnly="1" outline="0" fieldPosition="0">
        <references count="4">
          <reference field="0" count="1" selected="0">
            <x v="128"/>
          </reference>
          <reference field="1" count="1" selected="0">
            <x v="12"/>
          </reference>
          <reference field="2" count="1" selected="0">
            <x v="4"/>
          </reference>
          <reference field="3" count="1">
            <x v="6"/>
          </reference>
        </references>
      </pivotArea>
    </format>
    <format dxfId="3464">
      <pivotArea dataOnly="0" labelOnly="1" outline="0" fieldPosition="0">
        <references count="4">
          <reference field="0" count="1" selected="0">
            <x v="129"/>
          </reference>
          <reference field="1" count="1" selected="0">
            <x v="1"/>
          </reference>
          <reference field="2" count="1" selected="0">
            <x v="5"/>
          </reference>
          <reference field="3" count="1">
            <x v="5"/>
          </reference>
        </references>
      </pivotArea>
    </format>
    <format dxfId="3463">
      <pivotArea dataOnly="0" labelOnly="1" outline="0" fieldPosition="0">
        <references count="4">
          <reference field="0" count="1" selected="0">
            <x v="130"/>
          </reference>
          <reference field="1" count="1" selected="0">
            <x v="41"/>
          </reference>
          <reference field="2" count="1" selected="0">
            <x v="0"/>
          </reference>
          <reference field="3" count="1">
            <x v="3"/>
          </reference>
        </references>
      </pivotArea>
    </format>
    <format dxfId="3462">
      <pivotArea dataOnly="0" labelOnly="1" outline="0" fieldPosition="0">
        <references count="4">
          <reference field="0" count="1" selected="0">
            <x v="131"/>
          </reference>
          <reference field="1" count="1" selected="0">
            <x v="40"/>
          </reference>
          <reference field="2" count="1" selected="0">
            <x v="2"/>
          </reference>
          <reference field="3" count="1">
            <x v="7"/>
          </reference>
        </references>
      </pivotArea>
    </format>
    <format dxfId="3461">
      <pivotArea dataOnly="0" labelOnly="1" outline="0" fieldPosition="0">
        <references count="4">
          <reference field="0" count="1" selected="0">
            <x v="132"/>
          </reference>
          <reference field="1" count="1" selected="0">
            <x v="14"/>
          </reference>
          <reference field="2" count="1" selected="0">
            <x v="4"/>
          </reference>
          <reference field="3" count="1">
            <x v="3"/>
          </reference>
        </references>
      </pivotArea>
    </format>
    <format dxfId="3460">
      <pivotArea dataOnly="0" labelOnly="1" outline="0" fieldPosition="0">
        <references count="4">
          <reference field="0" count="1" selected="0">
            <x v="133"/>
          </reference>
          <reference field="1" count="1" selected="0">
            <x v="24"/>
          </reference>
          <reference field="2" count="1" selected="0">
            <x v="0"/>
          </reference>
          <reference field="3" count="1">
            <x v="0"/>
          </reference>
        </references>
      </pivotArea>
    </format>
    <format dxfId="3459">
      <pivotArea dataOnly="0" labelOnly="1" outline="0" fieldPosition="0">
        <references count="4">
          <reference field="0" count="1" selected="0">
            <x v="134"/>
          </reference>
          <reference field="1" count="1" selected="0">
            <x v="13"/>
          </reference>
          <reference field="2" count="1" selected="0">
            <x v="3"/>
          </reference>
          <reference field="3" count="1">
            <x v="5"/>
          </reference>
        </references>
      </pivotArea>
    </format>
    <format dxfId="3458">
      <pivotArea dataOnly="0" labelOnly="1" outline="0" fieldPosition="0">
        <references count="4">
          <reference field="0" count="1" selected="0">
            <x v="135"/>
          </reference>
          <reference field="1" count="1" selected="0">
            <x v="42"/>
          </reference>
          <reference field="2" count="1" selected="0">
            <x v="2"/>
          </reference>
          <reference field="3" count="1">
            <x v="7"/>
          </reference>
        </references>
      </pivotArea>
    </format>
    <format dxfId="3457">
      <pivotArea dataOnly="0" labelOnly="1" outline="0" fieldPosition="0">
        <references count="4">
          <reference field="0" count="1" selected="0">
            <x v="136"/>
          </reference>
          <reference field="1" count="1" selected="0">
            <x v="52"/>
          </reference>
          <reference field="2" count="1" selected="0">
            <x v="1"/>
          </reference>
          <reference field="3" count="1">
            <x v="5"/>
          </reference>
        </references>
      </pivotArea>
    </format>
    <format dxfId="3456">
      <pivotArea dataOnly="0" labelOnly="1" outline="0" fieldPosition="0">
        <references count="4">
          <reference field="0" count="1" selected="0">
            <x v="137"/>
          </reference>
          <reference field="1" count="1" selected="0">
            <x v="39"/>
          </reference>
          <reference field="2" count="1" selected="0">
            <x v="2"/>
          </reference>
          <reference field="3" count="1">
            <x v="0"/>
          </reference>
        </references>
      </pivotArea>
    </format>
    <format dxfId="3455">
      <pivotArea dataOnly="0" labelOnly="1" outline="0" fieldPosition="0">
        <references count="4">
          <reference field="0" count="1" selected="0">
            <x v="138"/>
          </reference>
          <reference field="1" count="1" selected="0">
            <x v="45"/>
          </reference>
          <reference field="2" count="1" selected="0">
            <x v="5"/>
          </reference>
          <reference field="3" count="1">
            <x v="4"/>
          </reference>
        </references>
      </pivotArea>
    </format>
    <format dxfId="3454">
      <pivotArea dataOnly="0" labelOnly="1" outline="0" fieldPosition="0">
        <references count="4">
          <reference field="0" count="1" selected="0">
            <x v="140"/>
          </reference>
          <reference field="1" count="1" selected="0">
            <x v="40"/>
          </reference>
          <reference field="2" count="1" selected="0">
            <x v="2"/>
          </reference>
          <reference field="3" count="1">
            <x v="6"/>
          </reference>
        </references>
      </pivotArea>
    </format>
    <format dxfId="3453">
      <pivotArea dataOnly="0" labelOnly="1" outline="0" fieldPosition="0">
        <references count="4">
          <reference field="0" count="1" selected="0">
            <x v="141"/>
          </reference>
          <reference field="1" count="1" selected="0">
            <x v="1"/>
          </reference>
          <reference field="2" count="1" selected="0">
            <x v="5"/>
          </reference>
          <reference field="3" count="1">
            <x v="0"/>
          </reference>
        </references>
      </pivotArea>
    </format>
    <format dxfId="3452">
      <pivotArea dataOnly="0" labelOnly="1" outline="0" fieldPosition="0">
        <references count="4">
          <reference field="0" count="1" selected="0">
            <x v="142"/>
          </reference>
          <reference field="1" count="1" selected="0">
            <x v="34"/>
          </reference>
          <reference field="2" count="1" selected="0">
            <x v="5"/>
          </reference>
          <reference field="3" count="1">
            <x v="1"/>
          </reference>
        </references>
      </pivotArea>
    </format>
    <format dxfId="3451">
      <pivotArea dataOnly="0" labelOnly="1" outline="0" fieldPosition="0">
        <references count="4">
          <reference field="0" count="1" selected="0">
            <x v="143"/>
          </reference>
          <reference field="1" count="1" selected="0">
            <x v="25"/>
          </reference>
          <reference field="2" count="1" selected="0">
            <x v="1"/>
          </reference>
          <reference field="3" count="1">
            <x v="0"/>
          </reference>
        </references>
      </pivotArea>
    </format>
    <format dxfId="3450">
      <pivotArea dataOnly="0" labelOnly="1" outline="0" fieldPosition="0">
        <references count="4">
          <reference field="0" count="1" selected="0">
            <x v="144"/>
          </reference>
          <reference field="1" count="1" selected="0">
            <x v="58"/>
          </reference>
          <reference field="2" count="1" selected="0">
            <x v="1"/>
          </reference>
          <reference field="3" count="1">
            <x v="6"/>
          </reference>
        </references>
      </pivotArea>
    </format>
    <format dxfId="3449">
      <pivotArea dataOnly="0" labelOnly="1" outline="0" fieldPosition="0">
        <references count="4">
          <reference field="0" count="1" selected="0">
            <x v="145"/>
          </reference>
          <reference field="1" count="1" selected="0">
            <x v="58"/>
          </reference>
          <reference field="2" count="1" selected="0">
            <x v="1"/>
          </reference>
          <reference field="3" count="1">
            <x v="2"/>
          </reference>
        </references>
      </pivotArea>
    </format>
    <format dxfId="3448">
      <pivotArea dataOnly="0" labelOnly="1" outline="0" fieldPosition="0">
        <references count="4">
          <reference field="0" count="1" selected="0">
            <x v="147"/>
          </reference>
          <reference field="1" count="1" selected="0">
            <x v="42"/>
          </reference>
          <reference field="2" count="1" selected="0">
            <x v="2"/>
          </reference>
          <reference field="3" count="1">
            <x v="5"/>
          </reference>
        </references>
      </pivotArea>
    </format>
    <format dxfId="3447">
      <pivotArea dataOnly="0" labelOnly="1" outline="0" fieldPosition="0">
        <references count="4">
          <reference field="0" count="1" selected="0">
            <x v="148"/>
          </reference>
          <reference field="1" count="1" selected="0">
            <x v="19"/>
          </reference>
          <reference field="2" count="1" selected="0">
            <x v="5"/>
          </reference>
          <reference field="3" count="1">
            <x v="7"/>
          </reference>
        </references>
      </pivotArea>
    </format>
    <format dxfId="3446">
      <pivotArea dataOnly="0" labelOnly="1" outline="0" fieldPosition="0">
        <references count="4">
          <reference field="0" count="1" selected="0">
            <x v="149"/>
          </reference>
          <reference field="1" count="1" selected="0">
            <x v="6"/>
          </reference>
          <reference field="2" count="1" selected="0">
            <x v="3"/>
          </reference>
          <reference field="3" count="1">
            <x v="3"/>
          </reference>
        </references>
      </pivotArea>
    </format>
    <format dxfId="3445">
      <pivotArea dataOnly="0" labelOnly="1" outline="0" fieldPosition="0">
        <references count="4">
          <reference field="0" count="1" selected="0">
            <x v="150"/>
          </reference>
          <reference field="1" count="1" selected="0">
            <x v="55"/>
          </reference>
          <reference field="2" count="1" selected="0">
            <x v="1"/>
          </reference>
          <reference field="3" count="1">
            <x v="7"/>
          </reference>
        </references>
      </pivotArea>
    </format>
    <format dxfId="3444">
      <pivotArea dataOnly="0" labelOnly="1" outline="0" fieldPosition="0">
        <references count="4">
          <reference field="0" count="1" selected="0">
            <x v="151"/>
          </reference>
          <reference field="1" count="1" selected="0">
            <x v="18"/>
          </reference>
          <reference field="2" count="1" selected="0">
            <x v="2"/>
          </reference>
          <reference field="3" count="1">
            <x v="6"/>
          </reference>
        </references>
      </pivotArea>
    </format>
    <format dxfId="3443">
      <pivotArea dataOnly="0" labelOnly="1" outline="0" fieldPosition="0">
        <references count="4">
          <reference field="0" count="1" selected="0">
            <x v="152"/>
          </reference>
          <reference field="1" count="1" selected="0">
            <x v="25"/>
          </reference>
          <reference field="2" count="1" selected="0">
            <x v="1"/>
          </reference>
          <reference field="3" count="1">
            <x v="1"/>
          </reference>
        </references>
      </pivotArea>
    </format>
    <format dxfId="3442">
      <pivotArea dataOnly="0" labelOnly="1" outline="0" fieldPosition="0">
        <references count="4">
          <reference field="0" count="1" selected="0">
            <x v="155"/>
          </reference>
          <reference field="1" count="1" selected="0">
            <x v="34"/>
          </reference>
          <reference field="2" count="1" selected="0">
            <x v="5"/>
          </reference>
          <reference field="3" count="1">
            <x v="5"/>
          </reference>
        </references>
      </pivotArea>
    </format>
    <format dxfId="3441">
      <pivotArea dataOnly="0" labelOnly="1" outline="0" fieldPosition="0">
        <references count="4">
          <reference field="0" count="1" selected="0">
            <x v="157"/>
          </reference>
          <reference field="1" count="1" selected="0">
            <x v="38"/>
          </reference>
          <reference field="2" count="1" selected="0">
            <x v="5"/>
          </reference>
          <reference field="3" count="1">
            <x v="4"/>
          </reference>
        </references>
      </pivotArea>
    </format>
    <format dxfId="3440">
      <pivotArea dataOnly="0" labelOnly="1" outline="0" fieldPosition="0">
        <references count="4">
          <reference field="0" count="1" selected="0">
            <x v="159"/>
          </reference>
          <reference field="1" count="1" selected="0">
            <x v="57"/>
          </reference>
          <reference field="2" count="1" selected="0">
            <x v="0"/>
          </reference>
          <reference field="3" count="1">
            <x v="2"/>
          </reference>
        </references>
      </pivotArea>
    </format>
    <format dxfId="3439">
      <pivotArea dataOnly="0" labelOnly="1" outline="0" fieldPosition="0">
        <references count="4">
          <reference field="0" count="1" selected="0">
            <x v="160"/>
          </reference>
          <reference field="1" count="1" selected="0">
            <x v="27"/>
          </reference>
          <reference field="2" count="1" selected="0">
            <x v="0"/>
          </reference>
          <reference field="3" count="1">
            <x v="5"/>
          </reference>
        </references>
      </pivotArea>
    </format>
    <format dxfId="3438">
      <pivotArea dataOnly="0" labelOnly="1" outline="0" fieldPosition="0">
        <references count="4">
          <reference field="0" count="1" selected="0">
            <x v="163"/>
          </reference>
          <reference field="1" count="1" selected="0">
            <x v="29"/>
          </reference>
          <reference field="2" count="1" selected="0">
            <x v="1"/>
          </reference>
          <reference field="3" count="1">
            <x v="3"/>
          </reference>
        </references>
      </pivotArea>
    </format>
    <format dxfId="3437">
      <pivotArea dataOnly="0" labelOnly="1" outline="0" fieldPosition="0">
        <references count="4">
          <reference field="0" count="1" selected="0">
            <x v="164"/>
          </reference>
          <reference field="1" count="1" selected="0">
            <x v="50"/>
          </reference>
          <reference field="2" count="1" selected="0">
            <x v="3"/>
          </reference>
          <reference field="3" count="1">
            <x v="1"/>
          </reference>
        </references>
      </pivotArea>
    </format>
    <format dxfId="3436">
      <pivotArea dataOnly="0" labelOnly="1" outline="0" fieldPosition="0">
        <references count="4">
          <reference field="0" count="1" selected="0">
            <x v="165"/>
          </reference>
          <reference field="1" count="1" selected="0">
            <x v="48"/>
          </reference>
          <reference field="2" count="1" selected="0">
            <x v="5"/>
          </reference>
          <reference field="3" count="1">
            <x v="6"/>
          </reference>
        </references>
      </pivotArea>
    </format>
    <format dxfId="3435">
      <pivotArea dataOnly="0" labelOnly="1" outline="0" fieldPosition="0">
        <references count="4">
          <reference field="0" count="1" selected="0">
            <x v="166"/>
          </reference>
          <reference field="1" count="1" selected="0">
            <x v="40"/>
          </reference>
          <reference field="2" count="1" selected="0">
            <x v="2"/>
          </reference>
          <reference field="3" count="1">
            <x v="0"/>
          </reference>
        </references>
      </pivotArea>
    </format>
    <format dxfId="3434">
      <pivotArea dataOnly="0" labelOnly="1" outline="0" fieldPosition="0">
        <references count="4">
          <reference field="0" count="1" selected="0">
            <x v="167"/>
          </reference>
          <reference field="1" count="1" selected="0">
            <x v="58"/>
          </reference>
          <reference field="2" count="1" selected="0">
            <x v="1"/>
          </reference>
          <reference field="3" count="1">
            <x v="6"/>
          </reference>
        </references>
      </pivotArea>
    </format>
    <format dxfId="3433">
      <pivotArea dataOnly="0" labelOnly="1" outline="0" fieldPosition="0">
        <references count="4">
          <reference field="0" count="1" selected="0">
            <x v="168"/>
          </reference>
          <reference field="1" count="1" selected="0">
            <x v="11"/>
          </reference>
          <reference field="2" count="1" selected="0">
            <x v="4"/>
          </reference>
          <reference field="3" count="1">
            <x v="1"/>
          </reference>
        </references>
      </pivotArea>
    </format>
    <format dxfId="3432">
      <pivotArea dataOnly="0" labelOnly="1" outline="0" fieldPosition="0">
        <references count="4">
          <reference field="0" count="1" selected="0">
            <x v="169"/>
          </reference>
          <reference field="1" count="1" selected="0">
            <x v="40"/>
          </reference>
          <reference field="2" count="1" selected="0">
            <x v="2"/>
          </reference>
          <reference field="3" count="1">
            <x v="3"/>
          </reference>
        </references>
      </pivotArea>
    </format>
    <format dxfId="3431">
      <pivotArea dataOnly="0" labelOnly="1" outline="0" fieldPosition="0">
        <references count="4">
          <reference field="0" count="1" selected="0">
            <x v="170"/>
          </reference>
          <reference field="1" count="1" selected="0">
            <x v="33"/>
          </reference>
          <reference field="2" count="1" selected="0">
            <x v="4"/>
          </reference>
          <reference field="3" count="1">
            <x v="6"/>
          </reference>
        </references>
      </pivotArea>
    </format>
    <format dxfId="3430">
      <pivotArea dataOnly="0" labelOnly="1" outline="0" fieldPosition="0">
        <references count="4">
          <reference field="0" count="1" selected="0">
            <x v="171"/>
          </reference>
          <reference field="1" count="1" selected="0">
            <x v="7"/>
          </reference>
          <reference field="2" count="1" selected="0">
            <x v="3"/>
          </reference>
          <reference field="3" count="1">
            <x v="3"/>
          </reference>
        </references>
      </pivotArea>
    </format>
    <format dxfId="3429">
      <pivotArea dataOnly="0" labelOnly="1" outline="0" fieldPosition="0">
        <references count="4">
          <reference field="0" count="1" selected="0">
            <x v="172"/>
          </reference>
          <reference field="1" count="1" selected="0">
            <x v="3"/>
          </reference>
          <reference field="2" count="1" selected="0">
            <x v="4"/>
          </reference>
          <reference field="3" count="1">
            <x v="4"/>
          </reference>
        </references>
      </pivotArea>
    </format>
    <format dxfId="3428">
      <pivotArea dataOnly="0" labelOnly="1" outline="0" fieldPosition="0">
        <references count="4">
          <reference field="0" count="1" selected="0">
            <x v="173"/>
          </reference>
          <reference field="1" count="1" selected="0">
            <x v="48"/>
          </reference>
          <reference field="2" count="1" selected="0">
            <x v="5"/>
          </reference>
          <reference field="3" count="1">
            <x v="7"/>
          </reference>
        </references>
      </pivotArea>
    </format>
    <format dxfId="3427">
      <pivotArea dataOnly="0" labelOnly="1" outline="0" fieldPosition="0">
        <references count="4">
          <reference field="0" count="1" selected="0">
            <x v="174"/>
          </reference>
          <reference field="1" count="1" selected="0">
            <x v="23"/>
          </reference>
          <reference field="2" count="1" selected="0">
            <x v="2"/>
          </reference>
          <reference field="3" count="1">
            <x v="3"/>
          </reference>
        </references>
      </pivotArea>
    </format>
    <format dxfId="3426">
      <pivotArea dataOnly="0" labelOnly="1" outline="0" fieldPosition="0">
        <references count="4">
          <reference field="0" count="1" selected="0">
            <x v="175"/>
          </reference>
          <reference field="1" count="1" selected="0">
            <x v="2"/>
          </reference>
          <reference field="2" count="1" selected="0">
            <x v="3"/>
          </reference>
          <reference field="3" count="1">
            <x v="1"/>
          </reference>
        </references>
      </pivotArea>
    </format>
    <format dxfId="3425">
      <pivotArea dataOnly="0" labelOnly="1" outline="0" fieldPosition="0">
        <references count="4">
          <reference field="0" count="1" selected="0">
            <x v="176"/>
          </reference>
          <reference field="1" count="1" selected="0">
            <x v="58"/>
          </reference>
          <reference field="2" count="1" selected="0">
            <x v="1"/>
          </reference>
          <reference field="3" count="1">
            <x v="7"/>
          </reference>
        </references>
      </pivotArea>
    </format>
    <format dxfId="3424">
      <pivotArea dataOnly="0" labelOnly="1" outline="0" fieldPosition="0">
        <references count="4">
          <reference field="0" count="1" selected="0">
            <x v="177"/>
          </reference>
          <reference field="1" count="1" selected="0">
            <x v="42"/>
          </reference>
          <reference field="2" count="1" selected="0">
            <x v="2"/>
          </reference>
          <reference field="3" count="1">
            <x v="0"/>
          </reference>
        </references>
      </pivotArea>
    </format>
    <format dxfId="3423">
      <pivotArea dataOnly="0" labelOnly="1" outline="0" fieldPosition="0">
        <references count="4">
          <reference field="0" count="1" selected="0">
            <x v="178"/>
          </reference>
          <reference field="1" count="1" selected="0">
            <x v="44"/>
          </reference>
          <reference field="2" count="1" selected="0">
            <x v="5"/>
          </reference>
          <reference field="3" count="1">
            <x v="7"/>
          </reference>
        </references>
      </pivotArea>
    </format>
    <format dxfId="3422">
      <pivotArea dataOnly="0" labelOnly="1" outline="0" fieldPosition="0">
        <references count="4">
          <reference field="0" count="1" selected="0">
            <x v="179"/>
          </reference>
          <reference field="1" count="1" selected="0">
            <x v="8"/>
          </reference>
          <reference field="2" count="1" selected="0">
            <x v="5"/>
          </reference>
          <reference field="3" count="1">
            <x v="2"/>
          </reference>
        </references>
      </pivotArea>
    </format>
    <format dxfId="3421">
      <pivotArea dataOnly="0" labelOnly="1" outline="0" fieldPosition="0">
        <references count="4">
          <reference field="0" count="1" selected="0">
            <x v="180"/>
          </reference>
          <reference field="1" count="1" selected="0">
            <x v="37"/>
          </reference>
          <reference field="2" count="1" selected="0">
            <x v="1"/>
          </reference>
          <reference field="3" count="1">
            <x v="5"/>
          </reference>
        </references>
      </pivotArea>
    </format>
    <format dxfId="3420">
      <pivotArea dataOnly="0" labelOnly="1" outline="0" fieldPosition="0">
        <references count="4">
          <reference field="0" count="1" selected="0">
            <x v="181"/>
          </reference>
          <reference field="1" count="1" selected="0">
            <x v="51"/>
          </reference>
          <reference field="2" count="1" selected="0">
            <x v="0"/>
          </reference>
          <reference field="3" count="1">
            <x v="0"/>
          </reference>
        </references>
      </pivotArea>
    </format>
    <format dxfId="3419">
      <pivotArea dataOnly="0" labelOnly="1" outline="0" fieldPosition="0">
        <references count="4">
          <reference field="0" count="1" selected="0">
            <x v="182"/>
          </reference>
          <reference field="1" count="1" selected="0">
            <x v="48"/>
          </reference>
          <reference field="2" count="1" selected="0">
            <x v="5"/>
          </reference>
          <reference field="3" count="1">
            <x v="3"/>
          </reference>
        </references>
      </pivotArea>
    </format>
    <format dxfId="3418">
      <pivotArea dataOnly="0" labelOnly="1" outline="0" fieldPosition="0">
        <references count="4">
          <reference field="0" count="1" selected="0">
            <x v="183"/>
          </reference>
          <reference field="1" count="1" selected="0">
            <x v="41"/>
          </reference>
          <reference field="2" count="1" selected="0">
            <x v="0"/>
          </reference>
          <reference field="3" count="1">
            <x v="4"/>
          </reference>
        </references>
      </pivotArea>
    </format>
    <format dxfId="3417">
      <pivotArea dataOnly="0" labelOnly="1" outline="0" fieldPosition="0">
        <references count="4">
          <reference field="0" count="1" selected="0">
            <x v="184"/>
          </reference>
          <reference field="1" count="1" selected="0">
            <x v="26"/>
          </reference>
          <reference field="2" count="1" selected="0">
            <x v="5"/>
          </reference>
          <reference field="3" count="1">
            <x v="6"/>
          </reference>
        </references>
      </pivotArea>
    </format>
    <format dxfId="3416">
      <pivotArea dataOnly="0" labelOnly="1" outline="0" fieldPosition="0">
        <references count="4">
          <reference field="0" count="1" selected="0">
            <x v="186"/>
          </reference>
          <reference field="1" count="1" selected="0">
            <x v="53"/>
          </reference>
          <reference field="2" count="1" selected="0">
            <x v="1"/>
          </reference>
          <reference field="3" count="1">
            <x v="1"/>
          </reference>
        </references>
      </pivotArea>
    </format>
    <format dxfId="3415">
      <pivotArea dataOnly="0" labelOnly="1" outline="0" fieldPosition="0">
        <references count="4">
          <reference field="0" count="1" selected="0">
            <x v="187"/>
          </reference>
          <reference field="1" count="1" selected="0">
            <x v="12"/>
          </reference>
          <reference field="2" count="1" selected="0">
            <x v="4"/>
          </reference>
          <reference field="3" count="1">
            <x v="4"/>
          </reference>
        </references>
      </pivotArea>
    </format>
    <format dxfId="3414">
      <pivotArea dataOnly="0" labelOnly="1" outline="0" fieldPosition="0">
        <references count="4">
          <reference field="0" count="1" selected="0">
            <x v="188"/>
          </reference>
          <reference field="1" count="1" selected="0">
            <x v="28"/>
          </reference>
          <reference field="2" count="1" selected="0">
            <x v="3"/>
          </reference>
          <reference field="3" count="1">
            <x v="7"/>
          </reference>
        </references>
      </pivotArea>
    </format>
    <format dxfId="3413">
      <pivotArea dataOnly="0" labelOnly="1" outline="0" fieldPosition="0">
        <references count="4">
          <reference field="0" count="1" selected="0">
            <x v="189"/>
          </reference>
          <reference field="1" count="1" selected="0">
            <x v="52"/>
          </reference>
          <reference field="2" count="1" selected="0">
            <x v="1"/>
          </reference>
          <reference field="3" count="1">
            <x v="5"/>
          </reference>
        </references>
      </pivotArea>
    </format>
    <format dxfId="3412">
      <pivotArea dataOnly="0" labelOnly="1" outline="0" fieldPosition="0">
        <references count="4">
          <reference field="0" count="1" selected="0">
            <x v="190"/>
          </reference>
          <reference field="1" count="1" selected="0">
            <x v="20"/>
          </reference>
          <reference field="2" count="1" selected="0">
            <x v="4"/>
          </reference>
          <reference field="3" count="1">
            <x v="2"/>
          </reference>
        </references>
      </pivotArea>
    </format>
    <format dxfId="3411">
      <pivotArea dataOnly="0" labelOnly="1" outline="0" fieldPosition="0">
        <references count="4">
          <reference field="0" count="1" selected="0">
            <x v="192"/>
          </reference>
          <reference field="1" count="1" selected="0">
            <x v="46"/>
          </reference>
          <reference field="2" count="1" selected="0">
            <x v="3"/>
          </reference>
          <reference field="3" count="1">
            <x v="3"/>
          </reference>
        </references>
      </pivotArea>
    </format>
    <format dxfId="3410">
      <pivotArea dataOnly="0" labelOnly="1" outline="0" fieldPosition="0">
        <references count="4">
          <reference field="0" count="1" selected="0">
            <x v="193"/>
          </reference>
          <reference field="1" count="1" selected="0">
            <x v="24"/>
          </reference>
          <reference field="2" count="1" selected="0">
            <x v="0"/>
          </reference>
          <reference field="3" count="1">
            <x v="7"/>
          </reference>
        </references>
      </pivotArea>
    </format>
    <format dxfId="3409">
      <pivotArea dataOnly="0" labelOnly="1" outline="0" fieldPosition="0">
        <references count="4">
          <reference field="0" count="1" selected="0">
            <x v="194"/>
          </reference>
          <reference field="1" count="1" selected="0">
            <x v="4"/>
          </reference>
          <reference field="2" count="1" selected="0">
            <x v="0"/>
          </reference>
          <reference field="3" count="1">
            <x v="6"/>
          </reference>
        </references>
      </pivotArea>
    </format>
    <format dxfId="3408">
      <pivotArea dataOnly="0" labelOnly="1" outline="0" fieldPosition="0">
        <references count="4">
          <reference field="0" count="1" selected="0">
            <x v="195"/>
          </reference>
          <reference field="1" count="1" selected="0">
            <x v="24"/>
          </reference>
          <reference field="2" count="1" selected="0">
            <x v="0"/>
          </reference>
          <reference field="3" count="1">
            <x v="3"/>
          </reference>
        </references>
      </pivotArea>
    </format>
    <format dxfId="3407">
      <pivotArea dataOnly="0" labelOnly="1" outline="0" fieldPosition="0">
        <references count="4">
          <reference field="0" count="1" selected="0">
            <x v="198"/>
          </reference>
          <reference field="1" count="1" selected="0">
            <x v="17"/>
          </reference>
          <reference field="2" count="1" selected="0">
            <x v="4"/>
          </reference>
          <reference field="3" count="1">
            <x v="1"/>
          </reference>
        </references>
      </pivotArea>
    </format>
    <format dxfId="3406">
      <pivotArea dataOnly="0" labelOnly="1" outline="0" fieldPosition="0">
        <references count="4">
          <reference field="0" count="1" selected="0">
            <x v="199"/>
          </reference>
          <reference field="1" count="1" selected="0">
            <x v="30"/>
          </reference>
          <reference field="2" count="1" selected="0">
            <x v="1"/>
          </reference>
          <reference field="3" count="1">
            <x v="5"/>
          </reference>
        </references>
      </pivotArea>
    </format>
    <format dxfId="3405">
      <pivotArea dataOnly="0" labelOnly="1" outline="0" fieldPosition="0">
        <references count="4">
          <reference field="0" count="1" selected="0">
            <x v="200"/>
          </reference>
          <reference field="1" count="1" selected="0">
            <x v="52"/>
          </reference>
          <reference field="2" count="1" selected="0">
            <x v="1"/>
          </reference>
          <reference field="3" count="1">
            <x v="1"/>
          </reference>
        </references>
      </pivotArea>
    </format>
    <format dxfId="3404">
      <pivotArea dataOnly="0" labelOnly="1" outline="0" fieldPosition="0">
        <references count="4">
          <reference field="0" count="1" selected="0">
            <x v="202"/>
          </reference>
          <reference field="1" count="1" selected="0">
            <x v="3"/>
          </reference>
          <reference field="2" count="1" selected="0">
            <x v="4"/>
          </reference>
          <reference field="3" count="1">
            <x v="0"/>
          </reference>
        </references>
      </pivotArea>
    </format>
    <format dxfId="3403">
      <pivotArea dataOnly="0" labelOnly="1" outline="0" fieldPosition="0">
        <references count="4">
          <reference field="0" count="1" selected="0">
            <x v="203"/>
          </reference>
          <reference field="1" count="1" selected="0">
            <x v="11"/>
          </reference>
          <reference field="2" count="1" selected="0">
            <x v="4"/>
          </reference>
          <reference field="3" count="1">
            <x v="2"/>
          </reference>
        </references>
      </pivotArea>
    </format>
    <format dxfId="3402">
      <pivotArea dataOnly="0" labelOnly="1" outline="0" fieldPosition="0">
        <references count="4">
          <reference field="0" count="1" selected="0">
            <x v="207"/>
          </reference>
          <reference field="1" count="1" selected="0">
            <x v="47"/>
          </reference>
          <reference field="2" count="1" selected="0">
            <x v="0"/>
          </reference>
          <reference field="3" count="1">
            <x v="4"/>
          </reference>
        </references>
      </pivotArea>
    </format>
    <format dxfId="3401">
      <pivotArea dataOnly="0" labelOnly="1" outline="0" fieldPosition="0">
        <references count="4">
          <reference field="0" count="1" selected="0">
            <x v="208"/>
          </reference>
          <reference field="1" count="1" selected="0">
            <x v="16"/>
          </reference>
          <reference field="2" count="1" selected="0">
            <x v="5"/>
          </reference>
          <reference field="3" count="1">
            <x v="0"/>
          </reference>
        </references>
      </pivotArea>
    </format>
    <format dxfId="3400">
      <pivotArea dataOnly="0" labelOnly="1" outline="0" fieldPosition="0">
        <references count="4">
          <reference field="0" count="1" selected="0">
            <x v="209"/>
          </reference>
          <reference field="1" count="1" selected="0">
            <x v="39"/>
          </reference>
          <reference field="2" count="1" selected="0">
            <x v="2"/>
          </reference>
          <reference field="3" count="1">
            <x v="1"/>
          </reference>
        </references>
      </pivotArea>
    </format>
    <format dxfId="3399">
      <pivotArea dataOnly="0" labelOnly="1" outline="0" fieldPosition="0">
        <references count="4">
          <reference field="0" count="1" selected="0">
            <x v="210"/>
          </reference>
          <reference field="1" count="1" selected="0">
            <x v="1"/>
          </reference>
          <reference field="2" count="1" selected="0">
            <x v="5"/>
          </reference>
          <reference field="3" count="1">
            <x v="2"/>
          </reference>
        </references>
      </pivotArea>
    </format>
    <format dxfId="3398">
      <pivotArea dataOnly="0" labelOnly="1" outline="0" fieldPosition="0">
        <references count="4">
          <reference field="0" count="1" selected="0">
            <x v="213"/>
          </reference>
          <reference field="1" count="1" selected="0">
            <x v="19"/>
          </reference>
          <reference field="2" count="1" selected="0">
            <x v="5"/>
          </reference>
          <reference field="3" count="1">
            <x v="3"/>
          </reference>
        </references>
      </pivotArea>
    </format>
    <format dxfId="3397">
      <pivotArea dataOnly="0" labelOnly="1" outline="0" fieldPosition="0">
        <references count="4">
          <reference field="0" count="1" selected="0">
            <x v="214"/>
          </reference>
          <reference field="1" count="1" selected="0">
            <x v="38"/>
          </reference>
          <reference field="2" count="1" selected="0">
            <x v="5"/>
          </reference>
          <reference field="3" count="1">
            <x v="1"/>
          </reference>
        </references>
      </pivotArea>
    </format>
    <format dxfId="3396">
      <pivotArea dataOnly="0" labelOnly="1" outline="0" fieldPosition="0">
        <references count="4">
          <reference field="0" count="1" selected="0">
            <x v="215"/>
          </reference>
          <reference field="1" count="1" selected="0">
            <x v="26"/>
          </reference>
          <reference field="2" count="1" selected="0">
            <x v="5"/>
          </reference>
          <reference field="3" count="1">
            <x v="2"/>
          </reference>
        </references>
      </pivotArea>
    </format>
    <format dxfId="3395">
      <pivotArea dataOnly="0" labelOnly="1" outline="0" fieldPosition="0">
        <references count="4">
          <reference field="0" count="1" selected="0">
            <x v="216"/>
          </reference>
          <reference field="1" count="1" selected="0">
            <x v="57"/>
          </reference>
          <reference field="2" count="1" selected="0">
            <x v="0"/>
          </reference>
          <reference field="3" count="1">
            <x v="4"/>
          </reference>
        </references>
      </pivotArea>
    </format>
    <format dxfId="3394">
      <pivotArea dataOnly="0" labelOnly="1" outline="0" fieldPosition="0">
        <references count="4">
          <reference field="0" count="1" selected="0">
            <x v="217"/>
          </reference>
          <reference field="1" count="1" selected="0">
            <x v="59"/>
          </reference>
          <reference field="2" count="1" selected="0">
            <x v="2"/>
          </reference>
          <reference field="3" count="1">
            <x v="5"/>
          </reference>
        </references>
      </pivotArea>
    </format>
    <format dxfId="3393">
      <pivotArea dataOnly="0" labelOnly="1" outline="0" fieldPosition="0">
        <references count="4">
          <reference field="0" count="1" selected="0">
            <x v="218"/>
          </reference>
          <reference field="1" count="1" selected="0">
            <x v="18"/>
          </reference>
          <reference field="2" count="1" selected="0">
            <x v="2"/>
          </reference>
          <reference field="3" count="1">
            <x v="3"/>
          </reference>
        </references>
      </pivotArea>
    </format>
    <format dxfId="3392">
      <pivotArea dataOnly="0" labelOnly="1" outline="0" fieldPosition="0">
        <references count="4">
          <reference field="0" count="1" selected="0">
            <x v="219"/>
          </reference>
          <reference field="1" count="1" selected="0">
            <x v="39"/>
          </reference>
          <reference field="2" count="1" selected="0">
            <x v="2"/>
          </reference>
          <reference field="3" count="1">
            <x v="7"/>
          </reference>
        </references>
      </pivotArea>
    </format>
    <format dxfId="3391">
      <pivotArea dataOnly="0" labelOnly="1" outline="0" fieldPosition="0">
        <references count="4">
          <reference field="0" count="1" selected="0">
            <x v="220"/>
          </reference>
          <reference field="1" count="1" selected="0">
            <x v="53"/>
          </reference>
          <reference field="2" count="1" selected="0">
            <x v="1"/>
          </reference>
          <reference field="3" count="1">
            <x v="0"/>
          </reference>
        </references>
      </pivotArea>
    </format>
    <format dxfId="3390">
      <pivotArea dataOnly="0" labelOnly="1" outline="0" fieldPosition="0">
        <references count="4">
          <reference field="0" count="1" selected="0">
            <x v="221"/>
          </reference>
          <reference field="1" count="1" selected="0">
            <x v="12"/>
          </reference>
          <reference field="2" count="1" selected="0">
            <x v="4"/>
          </reference>
          <reference field="3" count="1">
            <x v="2"/>
          </reference>
        </references>
      </pivotArea>
    </format>
    <format dxfId="3389">
      <pivotArea dataOnly="0" labelOnly="1" outline="0" fieldPosition="0">
        <references count="4">
          <reference field="0" count="1" selected="0">
            <x v="222"/>
          </reference>
          <reference field="1" count="1" selected="0">
            <x v="36"/>
          </reference>
          <reference field="2" count="1" selected="0">
            <x v="1"/>
          </reference>
          <reference field="3" count="1">
            <x v="1"/>
          </reference>
        </references>
      </pivotArea>
    </format>
    <format dxfId="3388">
      <pivotArea dataOnly="0" labelOnly="1" outline="0" fieldPosition="0">
        <references count="4">
          <reference field="0" count="1" selected="0">
            <x v="223"/>
          </reference>
          <reference field="1" count="1" selected="0">
            <x v="15"/>
          </reference>
          <reference field="2" count="1" selected="0">
            <x v="2"/>
          </reference>
          <reference field="3" count="1">
            <x v="7"/>
          </reference>
        </references>
      </pivotArea>
    </format>
    <format dxfId="3387">
      <pivotArea dataOnly="0" labelOnly="1" outline="0" fieldPosition="0">
        <references count="4">
          <reference field="0" count="1" selected="0">
            <x v="224"/>
          </reference>
          <reference field="1" count="1" selected="0">
            <x v="59"/>
          </reference>
          <reference field="2" count="1" selected="0">
            <x v="2"/>
          </reference>
          <reference field="3" count="1">
            <x v="0"/>
          </reference>
        </references>
      </pivotArea>
    </format>
    <format dxfId="3386">
      <pivotArea dataOnly="0" labelOnly="1" outline="0" fieldPosition="0">
        <references count="4">
          <reference field="0" count="1" selected="0">
            <x v="225"/>
          </reference>
          <reference field="1" count="1" selected="0">
            <x v="26"/>
          </reference>
          <reference field="2" count="1" selected="0">
            <x v="5"/>
          </reference>
          <reference field="3" count="1">
            <x v="2"/>
          </reference>
        </references>
      </pivotArea>
    </format>
    <format dxfId="3385">
      <pivotArea dataOnly="0" labelOnly="1" outline="0" fieldPosition="0">
        <references count="4">
          <reference field="0" count="1" selected="0">
            <x v="226"/>
          </reference>
          <reference field="1" count="1" selected="0">
            <x v="42"/>
          </reference>
          <reference field="2" count="1" selected="0">
            <x v="2"/>
          </reference>
          <reference field="3" count="1">
            <x v="7"/>
          </reference>
        </references>
      </pivotArea>
    </format>
    <format dxfId="3384">
      <pivotArea dataOnly="0" labelOnly="1" outline="0" fieldPosition="0">
        <references count="4">
          <reference field="0" count="1" selected="0">
            <x v="227"/>
          </reference>
          <reference field="1" count="1" selected="0">
            <x v="52"/>
          </reference>
          <reference field="2" count="1" selected="0">
            <x v="1"/>
          </reference>
          <reference field="3" count="1">
            <x v="4"/>
          </reference>
        </references>
      </pivotArea>
    </format>
    <format dxfId="3383">
      <pivotArea dataOnly="0" labelOnly="1" outline="0" fieldPosition="0">
        <references count="4">
          <reference field="0" count="1" selected="0">
            <x v="228"/>
          </reference>
          <reference field="1" count="1" selected="0">
            <x v="54"/>
          </reference>
          <reference field="2" count="1" selected="0">
            <x v="2"/>
          </reference>
          <reference field="3" count="1">
            <x v="2"/>
          </reference>
        </references>
      </pivotArea>
    </format>
    <format dxfId="3382">
      <pivotArea dataOnly="0" labelOnly="1" outline="0" fieldPosition="0">
        <references count="4">
          <reference field="0" count="1" selected="0">
            <x v="229"/>
          </reference>
          <reference field="1" count="1" selected="0">
            <x v="53"/>
          </reference>
          <reference field="2" count="1" selected="0">
            <x v="1"/>
          </reference>
          <reference field="3" count="1">
            <x v="7"/>
          </reference>
        </references>
      </pivotArea>
    </format>
    <format dxfId="3381">
      <pivotArea dataOnly="0" labelOnly="1" outline="0" fieldPosition="0">
        <references count="4">
          <reference field="0" count="1" selected="0">
            <x v="230"/>
          </reference>
          <reference field="1" count="1" selected="0">
            <x v="21"/>
          </reference>
          <reference field="2" count="1" selected="0">
            <x v="2"/>
          </reference>
          <reference field="3" count="1">
            <x v="1"/>
          </reference>
        </references>
      </pivotArea>
    </format>
    <format dxfId="3380">
      <pivotArea dataOnly="0" labelOnly="1" outline="0" fieldPosition="0">
        <references count="4">
          <reference field="0" count="1" selected="0">
            <x v="232"/>
          </reference>
          <reference field="1" count="1" selected="0">
            <x v="47"/>
          </reference>
          <reference field="2" count="1" selected="0">
            <x v="0"/>
          </reference>
          <reference field="3" count="1">
            <x v="0"/>
          </reference>
        </references>
      </pivotArea>
    </format>
    <format dxfId="3379">
      <pivotArea dataOnly="0" labelOnly="1" outline="0" fieldPosition="0">
        <references count="4">
          <reference field="0" count="1" selected="0">
            <x v="233"/>
          </reference>
          <reference field="1" count="1" selected="0">
            <x v="33"/>
          </reference>
          <reference field="2" count="1" selected="0">
            <x v="4"/>
          </reference>
          <reference field="3" count="1">
            <x v="3"/>
          </reference>
        </references>
      </pivotArea>
    </format>
    <format dxfId="3378">
      <pivotArea dataOnly="0" labelOnly="1" outline="0" fieldPosition="0">
        <references count="4">
          <reference field="0" count="1" selected="0">
            <x v="234"/>
          </reference>
          <reference field="1" count="1" selected="0">
            <x v="34"/>
          </reference>
          <reference field="2" count="1" selected="0">
            <x v="5"/>
          </reference>
          <reference field="3" count="1">
            <x v="1"/>
          </reference>
        </references>
      </pivotArea>
    </format>
    <format dxfId="3377">
      <pivotArea dataOnly="0" labelOnly="1" outline="0" fieldPosition="0">
        <references count="4">
          <reference field="0" count="1" selected="0">
            <x v="235"/>
          </reference>
          <reference field="1" count="1" selected="0">
            <x v="38"/>
          </reference>
          <reference field="2" count="1" selected="0">
            <x v="5"/>
          </reference>
          <reference field="3" count="1">
            <x v="2"/>
          </reference>
        </references>
      </pivotArea>
    </format>
    <format dxfId="3376">
      <pivotArea dataOnly="0" labelOnly="1" outline="0" fieldPosition="0">
        <references count="4">
          <reference field="0" count="1" selected="0">
            <x v="236"/>
          </reference>
          <reference field="1" count="1" selected="0">
            <x v="7"/>
          </reference>
          <reference field="2" count="1" selected="0">
            <x v="3"/>
          </reference>
          <reference field="3" count="1">
            <x v="1"/>
          </reference>
        </references>
      </pivotArea>
    </format>
    <format dxfId="3375">
      <pivotArea dataOnly="0" labelOnly="1" outline="0" fieldPosition="0">
        <references count="4">
          <reference field="0" count="1" selected="0">
            <x v="237"/>
          </reference>
          <reference field="1" count="1" selected="0">
            <x v="55"/>
          </reference>
          <reference field="2" count="1" selected="0">
            <x v="1"/>
          </reference>
          <reference field="3" count="1">
            <x v="2"/>
          </reference>
        </references>
      </pivotArea>
    </format>
    <format dxfId="3374">
      <pivotArea dataOnly="0" labelOnly="1" outline="0" fieldPosition="0">
        <references count="4">
          <reference field="0" count="1" selected="0">
            <x v="239"/>
          </reference>
          <reference field="1" count="1" selected="0">
            <x v="3"/>
          </reference>
          <reference field="2" count="1" selected="0">
            <x v="4"/>
          </reference>
          <reference field="3" count="1">
            <x v="1"/>
          </reference>
        </references>
      </pivotArea>
    </format>
    <format dxfId="3373">
      <pivotArea dataOnly="0" labelOnly="1" outline="0" fieldPosition="0">
        <references count="4">
          <reference field="0" count="1" selected="0">
            <x v="240"/>
          </reference>
          <reference field="1" count="1" selected="0">
            <x v="27"/>
          </reference>
          <reference field="2" count="1" selected="0">
            <x v="0"/>
          </reference>
          <reference field="3" count="1">
            <x v="0"/>
          </reference>
        </references>
      </pivotArea>
    </format>
    <format dxfId="3372">
      <pivotArea dataOnly="0" labelOnly="1" outline="0" fieldPosition="0">
        <references count="4">
          <reference field="0" count="1" selected="0">
            <x v="241"/>
          </reference>
          <reference field="1" count="1" selected="0">
            <x v="58"/>
          </reference>
          <reference field="2" count="1" selected="0">
            <x v="1"/>
          </reference>
          <reference field="3" count="1">
            <x v="5"/>
          </reference>
        </references>
      </pivotArea>
    </format>
    <format dxfId="3371">
      <pivotArea dataOnly="0" labelOnly="1" outline="0" fieldPosition="0">
        <references count="4">
          <reference field="0" count="1" selected="0">
            <x v="242"/>
          </reference>
          <reference field="1" count="1" selected="0">
            <x v="12"/>
          </reference>
          <reference field="2" count="1" selected="0">
            <x v="4"/>
          </reference>
          <reference field="3" count="1">
            <x v="0"/>
          </reference>
        </references>
      </pivotArea>
    </format>
    <format dxfId="3370">
      <pivotArea dataOnly="0" labelOnly="1" outline="0" fieldPosition="0">
        <references count="4">
          <reference field="0" count="1" selected="0">
            <x v="243"/>
          </reference>
          <reference field="1" count="1" selected="0">
            <x v="19"/>
          </reference>
          <reference field="2" count="1" selected="0">
            <x v="5"/>
          </reference>
          <reference field="3" count="1">
            <x v="3"/>
          </reference>
        </references>
      </pivotArea>
    </format>
    <format dxfId="3369">
      <pivotArea dataOnly="0" labelOnly="1" outline="0" fieldPosition="0">
        <references count="4">
          <reference field="0" count="1" selected="0">
            <x v="244"/>
          </reference>
          <reference field="1" count="1" selected="0">
            <x v="34"/>
          </reference>
          <reference field="2" count="1" selected="0">
            <x v="5"/>
          </reference>
          <reference field="3" count="1">
            <x v="5"/>
          </reference>
        </references>
      </pivotArea>
    </format>
    <format dxfId="3368">
      <pivotArea dataOnly="0" labelOnly="1" outline="0" fieldPosition="0">
        <references count="4">
          <reference field="0" count="1" selected="0">
            <x v="245"/>
          </reference>
          <reference field="1" count="1" selected="0">
            <x v="40"/>
          </reference>
          <reference field="2" count="1" selected="0">
            <x v="2"/>
          </reference>
          <reference field="3" count="1">
            <x v="3"/>
          </reference>
        </references>
      </pivotArea>
    </format>
    <format dxfId="3367">
      <pivotArea dataOnly="0" labelOnly="1" outline="0" fieldPosition="0">
        <references count="4">
          <reference field="0" count="1" selected="0">
            <x v="246"/>
          </reference>
          <reference field="1" count="1" selected="0">
            <x v="37"/>
          </reference>
          <reference field="2" count="1" selected="0">
            <x v="1"/>
          </reference>
          <reference field="3" count="1">
            <x v="2"/>
          </reference>
        </references>
      </pivotArea>
    </format>
    <format dxfId="3366">
      <pivotArea dataOnly="0" labelOnly="1" outline="0" fieldPosition="0">
        <references count="4">
          <reference field="0" count="1" selected="0">
            <x v="247"/>
          </reference>
          <reference field="1" count="1" selected="0">
            <x v="40"/>
          </reference>
          <reference field="2" count="1" selected="0">
            <x v="2"/>
          </reference>
          <reference field="3" count="1">
            <x v="3"/>
          </reference>
        </references>
      </pivotArea>
    </format>
    <format dxfId="3365">
      <pivotArea dataOnly="0" labelOnly="1" outline="0" fieldPosition="0">
        <references count="4">
          <reference field="0" count="1" selected="0">
            <x v="248"/>
          </reference>
          <reference field="1" count="1" selected="0">
            <x v="39"/>
          </reference>
          <reference field="2" count="1" selected="0">
            <x v="2"/>
          </reference>
          <reference field="3" count="1">
            <x v="5"/>
          </reference>
        </references>
      </pivotArea>
    </format>
    <format dxfId="3364">
      <pivotArea dataOnly="0" labelOnly="1" outline="0" fieldPosition="0">
        <references count="4">
          <reference field="0" count="1" selected="0">
            <x v="249"/>
          </reference>
          <reference field="1" count="1" selected="0">
            <x v="43"/>
          </reference>
          <reference field="2" count="1" selected="0">
            <x v="0"/>
          </reference>
          <reference field="3" count="1">
            <x v="3"/>
          </reference>
        </references>
      </pivotArea>
    </format>
    <format dxfId="3363">
      <pivotArea dataOnly="0" labelOnly="1" outline="0" fieldPosition="0">
        <references count="4">
          <reference field="0" count="1" selected="0">
            <x v="250"/>
          </reference>
          <reference field="1" count="1" selected="0">
            <x v="39"/>
          </reference>
          <reference field="2" count="1" selected="0">
            <x v="2"/>
          </reference>
          <reference field="3" count="1">
            <x v="1"/>
          </reference>
        </references>
      </pivotArea>
    </format>
    <format dxfId="3362">
      <pivotArea dataOnly="0" labelOnly="1" outline="0" fieldPosition="0">
        <references count="4">
          <reference field="0" count="1" selected="0">
            <x v="251"/>
          </reference>
          <reference field="1" count="1" selected="0">
            <x v="35"/>
          </reference>
          <reference field="2" count="1" selected="0">
            <x v="4"/>
          </reference>
          <reference field="3" count="1">
            <x v="7"/>
          </reference>
        </references>
      </pivotArea>
    </format>
    <format dxfId="3361">
      <pivotArea dataOnly="0" labelOnly="1" outline="0" fieldPosition="0">
        <references count="4">
          <reference field="0" count="1" selected="0">
            <x v="252"/>
          </reference>
          <reference field="1" count="1" selected="0">
            <x v="12"/>
          </reference>
          <reference field="2" count="1" selected="0">
            <x v="4"/>
          </reference>
          <reference field="3" count="1">
            <x v="1"/>
          </reference>
        </references>
      </pivotArea>
    </format>
    <format dxfId="3360">
      <pivotArea dataOnly="0" labelOnly="1" outline="0" fieldPosition="0">
        <references count="4">
          <reference field="0" count="1" selected="0">
            <x v="253"/>
          </reference>
          <reference field="1" count="1" selected="0">
            <x v="28"/>
          </reference>
          <reference field="2" count="1" selected="0">
            <x v="3"/>
          </reference>
          <reference field="3" count="1">
            <x v="6"/>
          </reference>
        </references>
      </pivotArea>
    </format>
    <format dxfId="3359">
      <pivotArea dataOnly="0" labelOnly="1" outline="0" fieldPosition="0">
        <references count="4">
          <reference field="0" count="1" selected="0">
            <x v="254"/>
          </reference>
          <reference field="1" count="1" selected="0">
            <x v="48"/>
          </reference>
          <reference field="2" count="1" selected="0">
            <x v="5"/>
          </reference>
          <reference field="3" count="1">
            <x v="7"/>
          </reference>
        </references>
      </pivotArea>
    </format>
    <format dxfId="3358">
      <pivotArea dataOnly="0" labelOnly="1" outline="0" fieldPosition="0">
        <references count="4">
          <reference field="0" count="1" selected="0">
            <x v="255"/>
          </reference>
          <reference field="1" count="1" selected="0">
            <x v="20"/>
          </reference>
          <reference field="2" count="1" selected="0">
            <x v="4"/>
          </reference>
          <reference field="3" count="1">
            <x v="3"/>
          </reference>
        </references>
      </pivotArea>
    </format>
    <format dxfId="3357">
      <pivotArea dataOnly="0" labelOnly="1" outline="0" fieldPosition="0">
        <references count="4">
          <reference field="0" count="1" selected="0">
            <x v="256"/>
          </reference>
          <reference field="1" count="1" selected="0">
            <x v="24"/>
          </reference>
          <reference field="2" count="1" selected="0">
            <x v="0"/>
          </reference>
          <reference field="3" count="1">
            <x v="1"/>
          </reference>
        </references>
      </pivotArea>
    </format>
    <format dxfId="3356">
      <pivotArea dataOnly="0" labelOnly="1" outline="0" fieldPosition="0">
        <references count="4">
          <reference field="0" count="1" selected="0">
            <x v="257"/>
          </reference>
          <reference field="1" count="1" selected="0">
            <x v="8"/>
          </reference>
          <reference field="2" count="1" selected="0">
            <x v="5"/>
          </reference>
          <reference field="3" count="1">
            <x v="0"/>
          </reference>
        </references>
      </pivotArea>
    </format>
    <format dxfId="3355">
      <pivotArea dataOnly="0" labelOnly="1" outline="0" fieldPosition="0">
        <references count="4">
          <reference field="0" count="1" selected="0">
            <x v="259"/>
          </reference>
          <reference field="1" count="1" selected="0">
            <x v="54"/>
          </reference>
          <reference field="2" count="1" selected="0">
            <x v="2"/>
          </reference>
          <reference field="3" count="1">
            <x v="1"/>
          </reference>
        </references>
      </pivotArea>
    </format>
    <format dxfId="3354">
      <pivotArea dataOnly="0" labelOnly="1" outline="0" fieldPosition="0">
        <references count="4">
          <reference field="0" count="1" selected="0">
            <x v="260"/>
          </reference>
          <reference field="1" count="1" selected="0">
            <x v="8"/>
          </reference>
          <reference field="2" count="1" selected="0">
            <x v="5"/>
          </reference>
          <reference field="3" count="1">
            <x v="7"/>
          </reference>
        </references>
      </pivotArea>
    </format>
    <format dxfId="3353">
      <pivotArea dataOnly="0" labelOnly="1" outline="0" fieldPosition="0">
        <references count="4">
          <reference field="0" count="1" selected="0">
            <x v="261"/>
          </reference>
          <reference field="1" count="1" selected="0">
            <x v="11"/>
          </reference>
          <reference field="2" count="1" selected="0">
            <x v="4"/>
          </reference>
          <reference field="3" count="1">
            <x v="4"/>
          </reference>
        </references>
      </pivotArea>
    </format>
    <format dxfId="3352">
      <pivotArea dataOnly="0" labelOnly="1" outline="0" fieldPosition="0">
        <references count="4">
          <reference field="0" count="1" selected="0">
            <x v="262"/>
          </reference>
          <reference field="1" count="1" selected="0">
            <x v="51"/>
          </reference>
          <reference field="2" count="1" selected="0">
            <x v="0"/>
          </reference>
          <reference field="3" count="1">
            <x v="7"/>
          </reference>
        </references>
      </pivotArea>
    </format>
    <format dxfId="3351">
      <pivotArea dataOnly="0" labelOnly="1" outline="0" fieldPosition="0">
        <references count="4">
          <reference field="0" count="1" selected="0">
            <x v="263"/>
          </reference>
          <reference field="1" count="1" selected="0">
            <x v="50"/>
          </reference>
          <reference field="2" count="1" selected="0">
            <x v="3"/>
          </reference>
          <reference field="3" count="1">
            <x v="6"/>
          </reference>
        </references>
      </pivotArea>
    </format>
    <format dxfId="3350">
      <pivotArea dataOnly="0" labelOnly="1" outline="0" fieldPosition="0">
        <references count="4">
          <reference field="0" count="1" selected="0">
            <x v="265"/>
          </reference>
          <reference field="1" count="1" selected="0">
            <x v="18"/>
          </reference>
          <reference field="2" count="1" selected="0">
            <x v="2"/>
          </reference>
          <reference field="3" count="1">
            <x v="7"/>
          </reference>
        </references>
      </pivotArea>
    </format>
    <format dxfId="3349">
      <pivotArea dataOnly="0" labelOnly="1" outline="0" fieldPosition="0">
        <references count="4">
          <reference field="0" count="1" selected="0">
            <x v="266"/>
          </reference>
          <reference field="1" count="1" selected="0">
            <x v="49"/>
          </reference>
          <reference field="2" count="1" selected="0">
            <x v="3"/>
          </reference>
          <reference field="3" count="1">
            <x v="5"/>
          </reference>
        </references>
      </pivotArea>
    </format>
    <format dxfId="3348">
      <pivotArea dataOnly="0" labelOnly="1" outline="0" fieldPosition="0">
        <references count="4">
          <reference field="0" count="1" selected="0">
            <x v="267"/>
          </reference>
          <reference field="1" count="1" selected="0">
            <x v="32"/>
          </reference>
          <reference field="2" count="1" selected="0">
            <x v="1"/>
          </reference>
          <reference field="3" count="1">
            <x v="7"/>
          </reference>
        </references>
      </pivotArea>
    </format>
    <format dxfId="3347">
      <pivotArea dataOnly="0" labelOnly="1" outline="0" fieldPosition="0">
        <references count="4">
          <reference field="0" count="1" selected="0">
            <x v="268"/>
          </reference>
          <reference field="1" count="1" selected="0">
            <x v="18"/>
          </reference>
          <reference field="2" count="1" selected="0">
            <x v="2"/>
          </reference>
          <reference field="3" count="1">
            <x v="2"/>
          </reference>
        </references>
      </pivotArea>
    </format>
    <format dxfId="3346">
      <pivotArea dataOnly="0" labelOnly="1" outline="0" fieldPosition="0">
        <references count="4">
          <reference field="0" count="1" selected="0">
            <x v="271"/>
          </reference>
          <reference field="1" count="1" selected="0">
            <x v="30"/>
          </reference>
          <reference field="2" count="1" selected="0">
            <x v="1"/>
          </reference>
          <reference field="3" count="1">
            <x v="4"/>
          </reference>
        </references>
      </pivotArea>
    </format>
    <format dxfId="3345">
      <pivotArea dataOnly="0" labelOnly="1" outline="0" fieldPosition="0">
        <references count="4">
          <reference field="0" count="1" selected="0">
            <x v="273"/>
          </reference>
          <reference field="1" count="1" selected="0">
            <x v="54"/>
          </reference>
          <reference field="2" count="1" selected="0">
            <x v="2"/>
          </reference>
          <reference field="3" count="1">
            <x v="1"/>
          </reference>
        </references>
      </pivotArea>
    </format>
    <format dxfId="3344">
      <pivotArea dataOnly="0" labelOnly="1" outline="0" fieldPosition="0">
        <references count="4">
          <reference field="0" count="1" selected="0">
            <x v="274"/>
          </reference>
          <reference field="1" count="1" selected="0">
            <x v="32"/>
          </reference>
          <reference field="2" count="1" selected="0">
            <x v="1"/>
          </reference>
          <reference field="3" count="1">
            <x v="2"/>
          </reference>
        </references>
      </pivotArea>
    </format>
    <format dxfId="3343">
      <pivotArea dataOnly="0" labelOnly="1" outline="0" fieldPosition="0">
        <references count="4">
          <reference field="0" count="1" selected="0">
            <x v="276"/>
          </reference>
          <reference field="1" count="1" selected="0">
            <x v="58"/>
          </reference>
          <reference field="2" count="1" selected="0">
            <x v="1"/>
          </reference>
          <reference field="3" count="1">
            <x v="0"/>
          </reference>
        </references>
      </pivotArea>
    </format>
    <format dxfId="3342">
      <pivotArea dataOnly="0" labelOnly="1" outline="0" fieldPosition="0">
        <references count="4">
          <reference field="0" count="1" selected="0">
            <x v="277"/>
          </reference>
          <reference field="1" count="1" selected="0">
            <x v="9"/>
          </reference>
          <reference field="2" count="1" selected="0">
            <x v="3"/>
          </reference>
          <reference field="3" count="1">
            <x v="5"/>
          </reference>
        </references>
      </pivotArea>
    </format>
    <format dxfId="3341">
      <pivotArea dataOnly="0" labelOnly="1" outline="0" fieldPosition="0">
        <references count="4">
          <reference field="0" count="1" selected="0">
            <x v="278"/>
          </reference>
          <reference field="1" count="1" selected="0">
            <x v="12"/>
          </reference>
          <reference field="2" count="1" selected="0">
            <x v="4"/>
          </reference>
          <reference field="3" count="1">
            <x v="3"/>
          </reference>
        </references>
      </pivotArea>
    </format>
    <format dxfId="3340">
      <pivotArea dataOnly="0" labelOnly="1" outline="0" fieldPosition="0">
        <references count="4">
          <reference field="0" count="1" selected="0">
            <x v="279"/>
          </reference>
          <reference field="1" count="1" selected="0">
            <x v="28"/>
          </reference>
          <reference field="2" count="1" selected="0">
            <x v="3"/>
          </reference>
          <reference field="3" count="1">
            <x v="7"/>
          </reference>
        </references>
      </pivotArea>
    </format>
    <format dxfId="3339">
      <pivotArea dataOnly="0" labelOnly="1" outline="0" fieldPosition="0">
        <references count="4">
          <reference field="0" count="1" selected="0">
            <x v="280"/>
          </reference>
          <reference field="1" count="1" selected="0">
            <x v="39"/>
          </reference>
          <reference field="2" count="1" selected="0">
            <x v="2"/>
          </reference>
          <reference field="3" count="1">
            <x v="2"/>
          </reference>
        </references>
      </pivotArea>
    </format>
    <format dxfId="3338">
      <pivotArea dataOnly="0" labelOnly="1" outline="0" fieldPosition="0">
        <references count="4">
          <reference field="0" count="1" selected="0">
            <x v="281"/>
          </reference>
          <reference field="1" count="1" selected="0">
            <x v="51"/>
          </reference>
          <reference field="2" count="1" selected="0">
            <x v="0"/>
          </reference>
          <reference field="3" count="1">
            <x v="0"/>
          </reference>
        </references>
      </pivotArea>
    </format>
    <format dxfId="3337">
      <pivotArea dataOnly="0" labelOnly="1" outline="0" fieldPosition="0">
        <references count="4">
          <reference field="0" count="1" selected="0">
            <x v="282"/>
          </reference>
          <reference field="1" count="1" selected="0">
            <x v="1"/>
          </reference>
          <reference field="2" count="1" selected="0">
            <x v="5"/>
          </reference>
          <reference field="3" count="1">
            <x v="4"/>
          </reference>
        </references>
      </pivotArea>
    </format>
    <format dxfId="3336">
      <pivotArea dataOnly="0" labelOnly="1" outline="0" fieldPosition="0">
        <references count="4">
          <reference field="0" count="1" selected="0">
            <x v="283"/>
          </reference>
          <reference field="1" count="1" selected="0">
            <x v="18"/>
          </reference>
          <reference field="2" count="1" selected="0">
            <x v="2"/>
          </reference>
          <reference field="3" count="1">
            <x v="2"/>
          </reference>
        </references>
      </pivotArea>
    </format>
    <format dxfId="3335">
      <pivotArea dataOnly="0" labelOnly="1" outline="0" fieldPosition="0">
        <references count="4">
          <reference field="0" count="1" selected="0">
            <x v="284"/>
          </reference>
          <reference field="1" count="1" selected="0">
            <x v="34"/>
          </reference>
          <reference field="2" count="1" selected="0">
            <x v="5"/>
          </reference>
          <reference field="3" count="1">
            <x v="1"/>
          </reference>
        </references>
      </pivotArea>
    </format>
    <format dxfId="3334">
      <pivotArea dataOnly="0" labelOnly="1" outline="0" fieldPosition="0">
        <references count="4">
          <reference field="0" count="1" selected="0">
            <x v="285"/>
          </reference>
          <reference field="1" count="1" selected="0">
            <x v="58"/>
          </reference>
          <reference field="2" count="1" selected="0">
            <x v="1"/>
          </reference>
          <reference field="3" count="1">
            <x v="2"/>
          </reference>
        </references>
      </pivotArea>
    </format>
    <format dxfId="3333">
      <pivotArea dataOnly="0" labelOnly="1" outline="0" fieldPosition="0">
        <references count="4">
          <reference field="0" count="1" selected="0">
            <x v="286"/>
          </reference>
          <reference field="1" count="1" selected="0">
            <x v="47"/>
          </reference>
          <reference field="2" count="1" selected="0">
            <x v="0"/>
          </reference>
          <reference field="3" count="1">
            <x v="5"/>
          </reference>
        </references>
      </pivotArea>
    </format>
    <format dxfId="3332">
      <pivotArea dataOnly="0" labelOnly="1" outline="0" fieldPosition="0">
        <references count="4">
          <reference field="0" count="1" selected="0">
            <x v="287"/>
          </reference>
          <reference field="1" count="1" selected="0">
            <x v="27"/>
          </reference>
          <reference field="2" count="1" selected="0">
            <x v="0"/>
          </reference>
          <reference field="3" count="1">
            <x v="3"/>
          </reference>
        </references>
      </pivotArea>
    </format>
    <format dxfId="3331">
      <pivotArea dataOnly="0" labelOnly="1" outline="0" fieldPosition="0">
        <references count="4">
          <reference field="0" count="1" selected="0">
            <x v="288"/>
          </reference>
          <reference field="1" count="1" selected="0">
            <x v="46"/>
          </reference>
          <reference field="2" count="1" selected="0">
            <x v="3"/>
          </reference>
          <reference field="3" count="1">
            <x v="4"/>
          </reference>
        </references>
      </pivotArea>
    </format>
    <format dxfId="3330">
      <pivotArea dataOnly="0" labelOnly="1" outline="0" fieldPosition="0">
        <references count="4">
          <reference field="0" count="1" selected="0">
            <x v="289"/>
          </reference>
          <reference field="1" count="1" selected="0">
            <x v="53"/>
          </reference>
          <reference field="2" count="1" selected="0">
            <x v="1"/>
          </reference>
          <reference field="3" count="1">
            <x v="0"/>
          </reference>
        </references>
      </pivotArea>
    </format>
    <format dxfId="3329">
      <pivotArea dataOnly="0" labelOnly="1" outline="0" fieldPosition="0">
        <references count="4">
          <reference field="0" count="1" selected="0">
            <x v="290"/>
          </reference>
          <reference field="1" count="1" selected="0">
            <x v="41"/>
          </reference>
          <reference field="2" count="1" selected="0">
            <x v="0"/>
          </reference>
          <reference field="3" count="1">
            <x v="3"/>
          </reference>
        </references>
      </pivotArea>
    </format>
    <format dxfId="3328">
      <pivotArea dataOnly="0" labelOnly="1" outline="0" fieldPosition="0">
        <references count="4">
          <reference field="0" count="1" selected="0">
            <x v="291"/>
          </reference>
          <reference field="1" count="1" selected="0">
            <x v="3"/>
          </reference>
          <reference field="2" count="1" selected="0">
            <x v="4"/>
          </reference>
          <reference field="3" count="1">
            <x v="2"/>
          </reference>
        </references>
      </pivotArea>
    </format>
    <format dxfId="3327">
      <pivotArea dataOnly="0" labelOnly="1" outline="0" fieldPosition="0">
        <references count="4">
          <reference field="0" count="1" selected="0">
            <x v="292"/>
          </reference>
          <reference field="1" count="1" selected="0">
            <x v="56"/>
          </reference>
          <reference field="2" count="1" selected="0">
            <x v="4"/>
          </reference>
          <reference field="3" count="1">
            <x v="5"/>
          </reference>
        </references>
      </pivotArea>
    </format>
    <format dxfId="3326">
      <pivotArea dataOnly="0" labelOnly="1" outline="0" fieldPosition="0">
        <references count="4">
          <reference field="0" count="1" selected="0">
            <x v="294"/>
          </reference>
          <reference field="1" count="1" selected="0">
            <x v="14"/>
          </reference>
          <reference field="2" count="1" selected="0">
            <x v="4"/>
          </reference>
          <reference field="3" count="1">
            <x v="0"/>
          </reference>
        </references>
      </pivotArea>
    </format>
    <format dxfId="3325">
      <pivotArea dataOnly="0" labelOnly="1" outline="0" fieldPosition="0">
        <references count="4">
          <reference field="0" count="1" selected="0">
            <x v="295"/>
          </reference>
          <reference field="1" count="1" selected="0">
            <x v="5"/>
          </reference>
          <reference field="2" count="1" selected="0">
            <x v="0"/>
          </reference>
          <reference field="3" count="1">
            <x v="4"/>
          </reference>
        </references>
      </pivotArea>
    </format>
    <format dxfId="3324">
      <pivotArea dataOnly="0" labelOnly="1" outline="0" fieldPosition="0">
        <references count="4">
          <reference field="0" count="1" selected="0">
            <x v="296"/>
          </reference>
          <reference field="1" count="1" selected="0">
            <x v="28"/>
          </reference>
          <reference field="2" count="1" selected="0">
            <x v="3"/>
          </reference>
          <reference field="3" count="1">
            <x v="7"/>
          </reference>
        </references>
      </pivotArea>
    </format>
    <format dxfId="3323">
      <pivotArea dataOnly="0" labelOnly="1" outline="0" fieldPosition="0">
        <references count="4">
          <reference field="0" count="1" selected="0">
            <x v="297"/>
          </reference>
          <reference field="1" count="1" selected="0">
            <x v="20"/>
          </reference>
          <reference field="2" count="1" selected="0">
            <x v="4"/>
          </reference>
          <reference field="3" count="1">
            <x v="0"/>
          </reference>
        </references>
      </pivotArea>
    </format>
    <format dxfId="3322">
      <pivotArea dataOnly="0" labelOnly="1" outline="0" fieldPosition="0">
        <references count="4">
          <reference field="0" count="1" selected="0">
            <x v="298"/>
          </reference>
          <reference field="1" count="1" selected="0">
            <x v="42"/>
          </reference>
          <reference field="2" count="1" selected="0">
            <x v="2"/>
          </reference>
          <reference field="3" count="1">
            <x v="2"/>
          </reference>
        </references>
      </pivotArea>
    </format>
    <format dxfId="3321">
      <pivotArea dataOnly="0" labelOnly="1" outline="0" fieldPosition="0">
        <references count="4">
          <reference field="0" count="1" selected="0">
            <x v="299"/>
          </reference>
          <reference field="1" count="1" selected="0">
            <x v="39"/>
          </reference>
          <reference field="2" count="1" selected="0">
            <x v="2"/>
          </reference>
          <reference field="3" count="1">
            <x v="3"/>
          </reference>
        </references>
      </pivotArea>
    </format>
    <format dxfId="3320">
      <pivotArea dataOnly="0" labelOnly="1" outline="0" fieldPosition="0">
        <references count="5">
          <reference field="0" count="1" selected="0">
            <x v="0"/>
          </reference>
          <reference field="1" count="1" selected="0">
            <x v="0"/>
          </reference>
          <reference field="2" count="1" selected="0">
            <x v="0"/>
          </reference>
          <reference field="3" count="1" selected="0">
            <x v="7"/>
          </reference>
          <reference field="4" count="1">
            <x v="0"/>
          </reference>
        </references>
      </pivotArea>
    </format>
    <format dxfId="3319">
      <pivotArea dataOnly="0" labelOnly="1" outline="0" fieldPosition="0">
        <references count="5">
          <reference field="0" count="1" selected="0">
            <x v="1"/>
          </reference>
          <reference field="1" count="1" selected="0">
            <x v="58"/>
          </reference>
          <reference field="2" count="1" selected="0">
            <x v="1"/>
          </reference>
          <reference field="3" count="1" selected="0">
            <x v="5"/>
          </reference>
          <reference field="4" count="1">
            <x v="1"/>
          </reference>
        </references>
      </pivotArea>
    </format>
    <format dxfId="3318">
      <pivotArea dataOnly="0" labelOnly="1" outline="0" fieldPosition="0">
        <references count="5">
          <reference field="0" count="1" selected="0">
            <x v="2"/>
          </reference>
          <reference field="1" count="1" selected="0">
            <x v="35"/>
          </reference>
          <reference field="2" count="1" selected="0">
            <x v="4"/>
          </reference>
          <reference field="3" count="1" selected="0">
            <x v="6"/>
          </reference>
          <reference field="4" count="1">
            <x v="3"/>
          </reference>
        </references>
      </pivotArea>
    </format>
    <format dxfId="3317">
      <pivotArea dataOnly="0" labelOnly="1" outline="0" fieldPosition="0">
        <references count="5">
          <reference field="0" count="1" selected="0">
            <x v="3"/>
          </reference>
          <reference field="1" count="1" selected="0">
            <x v="33"/>
          </reference>
          <reference field="2" count="1" selected="0">
            <x v="4"/>
          </reference>
          <reference field="3" count="1" selected="0">
            <x v="3"/>
          </reference>
          <reference field="4" count="1">
            <x v="0"/>
          </reference>
        </references>
      </pivotArea>
    </format>
    <format dxfId="3316">
      <pivotArea dataOnly="0" labelOnly="1" outline="0" fieldPosition="0">
        <references count="5">
          <reference field="0" count="1" selected="0">
            <x v="4"/>
          </reference>
          <reference field="1" count="1" selected="0">
            <x v="8"/>
          </reference>
          <reference field="2" count="1" selected="0">
            <x v="5"/>
          </reference>
          <reference field="3" count="1" selected="0">
            <x v="3"/>
          </reference>
          <reference field="4" count="1">
            <x v="2"/>
          </reference>
        </references>
      </pivotArea>
    </format>
    <format dxfId="3315">
      <pivotArea dataOnly="0" labelOnly="1" outline="0" fieldPosition="0">
        <references count="5">
          <reference field="0" count="1" selected="0">
            <x v="5"/>
          </reference>
          <reference field="1" count="1" selected="0">
            <x v="36"/>
          </reference>
          <reference field="2" count="1" selected="0">
            <x v="1"/>
          </reference>
          <reference field="3" count="1" selected="0">
            <x v="6"/>
          </reference>
          <reference field="4" count="1">
            <x v="4"/>
          </reference>
        </references>
      </pivotArea>
    </format>
    <format dxfId="3314">
      <pivotArea dataOnly="0" labelOnly="1" outline="0" fieldPosition="0">
        <references count="5">
          <reference field="0" count="1" selected="0">
            <x v="7"/>
          </reference>
          <reference field="1" count="1" selected="0">
            <x v="16"/>
          </reference>
          <reference field="2" count="1" selected="0">
            <x v="5"/>
          </reference>
          <reference field="3" count="1" selected="0">
            <x v="6"/>
          </reference>
          <reference field="4" count="1">
            <x v="3"/>
          </reference>
        </references>
      </pivotArea>
    </format>
    <format dxfId="3313">
      <pivotArea dataOnly="0" labelOnly="1" outline="0" fieldPosition="0">
        <references count="5">
          <reference field="0" count="1" selected="0">
            <x v="8"/>
          </reference>
          <reference field="1" count="1" selected="0">
            <x v="9"/>
          </reference>
          <reference field="2" count="1" selected="0">
            <x v="3"/>
          </reference>
          <reference field="3" count="1" selected="0">
            <x v="0"/>
          </reference>
          <reference field="4" count="1">
            <x v="1"/>
          </reference>
        </references>
      </pivotArea>
    </format>
    <format dxfId="3312">
      <pivotArea dataOnly="0" labelOnly="1" outline="0" fieldPosition="0">
        <references count="5">
          <reference field="0" count="1" selected="0">
            <x v="9"/>
          </reference>
          <reference field="1" count="1" selected="0">
            <x v="50"/>
          </reference>
          <reference field="2" count="1" selected="0">
            <x v="3"/>
          </reference>
          <reference field="3" count="1" selected="0">
            <x v="4"/>
          </reference>
          <reference field="4" count="1">
            <x v="3"/>
          </reference>
        </references>
      </pivotArea>
    </format>
    <format dxfId="3311">
      <pivotArea dataOnly="0" labelOnly="1" outline="0" fieldPosition="0">
        <references count="5">
          <reference field="0" count="1" selected="0">
            <x v="10"/>
          </reference>
          <reference field="1" count="1" selected="0">
            <x v="14"/>
          </reference>
          <reference field="2" count="1" selected="0">
            <x v="4"/>
          </reference>
          <reference field="3" count="1" selected="0">
            <x v="4"/>
          </reference>
          <reference field="4" count="1">
            <x v="2"/>
          </reference>
        </references>
      </pivotArea>
    </format>
    <format dxfId="3310">
      <pivotArea dataOnly="0" labelOnly="1" outline="0" fieldPosition="0">
        <references count="5">
          <reference field="0" count="1" selected="0">
            <x v="11"/>
          </reference>
          <reference field="1" count="1" selected="0">
            <x v="27"/>
          </reference>
          <reference field="2" count="1" selected="0">
            <x v="0"/>
          </reference>
          <reference field="3" count="1" selected="0">
            <x v="5"/>
          </reference>
          <reference field="4" count="1">
            <x v="0"/>
          </reference>
        </references>
      </pivotArea>
    </format>
    <format dxfId="3309">
      <pivotArea dataOnly="0" labelOnly="1" outline="0" fieldPosition="0">
        <references count="5">
          <reference field="0" count="1" selected="0">
            <x v="13"/>
          </reference>
          <reference field="1" count="1" selected="0">
            <x v="37"/>
          </reference>
          <reference field="2" count="1" selected="0">
            <x v="1"/>
          </reference>
          <reference field="3" count="1" selected="0">
            <x v="3"/>
          </reference>
          <reference field="4" count="1">
            <x v="4"/>
          </reference>
        </references>
      </pivotArea>
    </format>
    <format dxfId="3308">
      <pivotArea dataOnly="0" labelOnly="1" outline="0" fieldPosition="0">
        <references count="5">
          <reference field="0" count="1" selected="0">
            <x v="15"/>
          </reference>
          <reference field="1" count="1" selected="0">
            <x v="9"/>
          </reference>
          <reference field="2" count="1" selected="0">
            <x v="3"/>
          </reference>
          <reference field="3" count="1" selected="0">
            <x v="1"/>
          </reference>
          <reference field="4" count="1">
            <x v="1"/>
          </reference>
        </references>
      </pivotArea>
    </format>
    <format dxfId="3307">
      <pivotArea dataOnly="0" labelOnly="1" outline="0" fieldPosition="0">
        <references count="5">
          <reference field="0" count="1" selected="0">
            <x v="16"/>
          </reference>
          <reference field="1" count="1" selected="0">
            <x v="3"/>
          </reference>
          <reference field="2" count="1" selected="0">
            <x v="4"/>
          </reference>
          <reference field="3" count="1" selected="0">
            <x v="4"/>
          </reference>
          <reference field="4" count="1">
            <x v="3"/>
          </reference>
        </references>
      </pivotArea>
    </format>
    <format dxfId="3306">
      <pivotArea dataOnly="0" labelOnly="1" outline="0" fieldPosition="0">
        <references count="5">
          <reference field="0" count="1" selected="0">
            <x v="18"/>
          </reference>
          <reference field="1" count="1" selected="0">
            <x v="40"/>
          </reference>
          <reference field="2" count="1" selected="0">
            <x v="2"/>
          </reference>
          <reference field="3" count="1" selected="0">
            <x v="4"/>
          </reference>
          <reference field="4" count="1">
            <x v="1"/>
          </reference>
        </references>
      </pivotArea>
    </format>
    <format dxfId="3305">
      <pivotArea dataOnly="0" labelOnly="1" outline="0" fieldPosition="0">
        <references count="5">
          <reference field="0" count="1" selected="0">
            <x v="19"/>
          </reference>
          <reference field="1" count="1" selected="0">
            <x v="12"/>
          </reference>
          <reference field="2" count="1" selected="0">
            <x v="4"/>
          </reference>
          <reference field="3" count="1" selected="0">
            <x v="7"/>
          </reference>
          <reference field="4" count="1">
            <x v="3"/>
          </reference>
        </references>
      </pivotArea>
    </format>
    <format dxfId="3304">
      <pivotArea dataOnly="0" labelOnly="1" outline="0" fieldPosition="0">
        <references count="5">
          <reference field="0" count="1" selected="0">
            <x v="20"/>
          </reference>
          <reference field="1" count="1" selected="0">
            <x v="17"/>
          </reference>
          <reference field="2" count="1" selected="0">
            <x v="4"/>
          </reference>
          <reference field="3" count="1" selected="0">
            <x v="1"/>
          </reference>
          <reference field="4" count="1">
            <x v="1"/>
          </reference>
        </references>
      </pivotArea>
    </format>
    <format dxfId="3303">
      <pivotArea dataOnly="0" labelOnly="1" outline="0" fieldPosition="0">
        <references count="5">
          <reference field="0" count="1" selected="0">
            <x v="21"/>
          </reference>
          <reference field="1" count="1" selected="0">
            <x v="4"/>
          </reference>
          <reference field="2" count="1" selected="0">
            <x v="0"/>
          </reference>
          <reference field="3" count="1" selected="0">
            <x v="7"/>
          </reference>
          <reference field="4" count="1">
            <x v="3"/>
          </reference>
        </references>
      </pivotArea>
    </format>
    <format dxfId="3302">
      <pivotArea dataOnly="0" labelOnly="1" outline="0" fieldPosition="0">
        <references count="5">
          <reference field="0" count="1" selected="0">
            <x v="22"/>
          </reference>
          <reference field="1" count="1" selected="0">
            <x v="49"/>
          </reference>
          <reference field="2" count="1" selected="0">
            <x v="3"/>
          </reference>
          <reference field="3" count="1" selected="0">
            <x v="7"/>
          </reference>
          <reference field="4" count="1">
            <x v="4"/>
          </reference>
        </references>
      </pivotArea>
    </format>
    <format dxfId="3301">
      <pivotArea dataOnly="0" labelOnly="1" outline="0" fieldPosition="0">
        <references count="5">
          <reference field="0" count="1" selected="0">
            <x v="23"/>
          </reference>
          <reference field="1" count="1" selected="0">
            <x v="31"/>
          </reference>
          <reference field="2" count="1" selected="0">
            <x v="3"/>
          </reference>
          <reference field="3" count="1" selected="0">
            <x v="6"/>
          </reference>
          <reference field="4" count="1">
            <x v="1"/>
          </reference>
        </references>
      </pivotArea>
    </format>
    <format dxfId="3300">
      <pivotArea dataOnly="0" labelOnly="1" outline="0" fieldPosition="0">
        <references count="5">
          <reference field="0" count="1" selected="0">
            <x v="24"/>
          </reference>
          <reference field="1" count="1" selected="0">
            <x v="21"/>
          </reference>
          <reference field="2" count="1" selected="0">
            <x v="2"/>
          </reference>
          <reference field="3" count="1" selected="0">
            <x v="0"/>
          </reference>
          <reference field="4" count="1">
            <x v="3"/>
          </reference>
        </references>
      </pivotArea>
    </format>
    <format dxfId="3299">
      <pivotArea dataOnly="0" labelOnly="1" outline="0" fieldPosition="0">
        <references count="5">
          <reference field="0" count="1" selected="0">
            <x v="25"/>
          </reference>
          <reference field="1" count="1" selected="0">
            <x v="23"/>
          </reference>
          <reference field="2" count="1" selected="0">
            <x v="2"/>
          </reference>
          <reference field="3" count="1" selected="0">
            <x v="7"/>
          </reference>
          <reference field="4" count="1">
            <x v="2"/>
          </reference>
        </references>
      </pivotArea>
    </format>
    <format dxfId="3298">
      <pivotArea dataOnly="0" labelOnly="1" outline="0" fieldPosition="0">
        <references count="5">
          <reference field="0" count="1" selected="0">
            <x v="26"/>
          </reference>
          <reference field="1" count="1" selected="0">
            <x v="9"/>
          </reference>
          <reference field="2" count="1" selected="0">
            <x v="3"/>
          </reference>
          <reference field="3" count="1" selected="0">
            <x v="1"/>
          </reference>
          <reference field="4" count="1">
            <x v="1"/>
          </reference>
        </references>
      </pivotArea>
    </format>
    <format dxfId="3297">
      <pivotArea dataOnly="0" labelOnly="1" outline="0" fieldPosition="0">
        <references count="5">
          <reference field="0" count="1" selected="0">
            <x v="27"/>
          </reference>
          <reference field="1" count="1" selected="0">
            <x v="22"/>
          </reference>
          <reference field="2" count="1" selected="0">
            <x v="2"/>
          </reference>
          <reference field="3" count="1" selected="0">
            <x v="5"/>
          </reference>
          <reference field="4" count="1">
            <x v="3"/>
          </reference>
        </references>
      </pivotArea>
    </format>
    <format dxfId="3296">
      <pivotArea dataOnly="0" labelOnly="1" outline="0" fieldPosition="0">
        <references count="5">
          <reference field="0" count="1" selected="0">
            <x v="28"/>
          </reference>
          <reference field="1" count="1" selected="0">
            <x v="19"/>
          </reference>
          <reference field="2" count="1" selected="0">
            <x v="5"/>
          </reference>
          <reference field="3" count="1" selected="0">
            <x v="0"/>
          </reference>
          <reference field="4" count="1">
            <x v="4"/>
          </reference>
        </references>
      </pivotArea>
    </format>
    <format dxfId="3295">
      <pivotArea dataOnly="0" labelOnly="1" outline="0" fieldPosition="0">
        <references count="5">
          <reference field="0" count="1" selected="0">
            <x v="29"/>
          </reference>
          <reference field="1" count="1" selected="0">
            <x v="4"/>
          </reference>
          <reference field="2" count="1" selected="0">
            <x v="0"/>
          </reference>
          <reference field="3" count="1" selected="0">
            <x v="6"/>
          </reference>
          <reference field="4" count="1">
            <x v="3"/>
          </reference>
        </references>
      </pivotArea>
    </format>
    <format dxfId="3294">
      <pivotArea dataOnly="0" labelOnly="1" outline="0" fieldPosition="0">
        <references count="5">
          <reference field="0" count="1" selected="0">
            <x v="30"/>
          </reference>
          <reference field="1" count="1" selected="0">
            <x v="23"/>
          </reference>
          <reference field="2" count="1" selected="0">
            <x v="2"/>
          </reference>
          <reference field="3" count="1" selected="0">
            <x v="3"/>
          </reference>
          <reference field="4" count="1">
            <x v="1"/>
          </reference>
        </references>
      </pivotArea>
    </format>
    <format dxfId="3293">
      <pivotArea dataOnly="0" labelOnly="1" outline="0" fieldPosition="0">
        <references count="5">
          <reference field="0" count="1" selected="0">
            <x v="31"/>
          </reference>
          <reference field="1" count="1" selected="0">
            <x v="34"/>
          </reference>
          <reference field="2" count="1" selected="0">
            <x v="5"/>
          </reference>
          <reference field="3" count="1" selected="0">
            <x v="7"/>
          </reference>
          <reference field="4" count="1">
            <x v="0"/>
          </reference>
        </references>
      </pivotArea>
    </format>
    <format dxfId="3292">
      <pivotArea dataOnly="0" labelOnly="1" outline="0" fieldPosition="0">
        <references count="5">
          <reference field="0" count="1" selected="0">
            <x v="32"/>
          </reference>
          <reference field="1" count="1" selected="0">
            <x v="53"/>
          </reference>
          <reference field="2" count="1" selected="0">
            <x v="1"/>
          </reference>
          <reference field="3" count="1" selected="0">
            <x v="0"/>
          </reference>
          <reference field="4" count="1">
            <x v="2"/>
          </reference>
        </references>
      </pivotArea>
    </format>
    <format dxfId="3291">
      <pivotArea dataOnly="0" labelOnly="1" outline="0" fieldPosition="0">
        <references count="5">
          <reference field="0" count="1" selected="0">
            <x v="33"/>
          </reference>
          <reference field="1" count="1" selected="0">
            <x v="45"/>
          </reference>
          <reference field="2" count="1" selected="0">
            <x v="5"/>
          </reference>
          <reference field="3" count="1" selected="0">
            <x v="2"/>
          </reference>
          <reference field="4" count="1">
            <x v="3"/>
          </reference>
        </references>
      </pivotArea>
    </format>
    <format dxfId="3290">
      <pivotArea dataOnly="0" labelOnly="1" outline="0" fieldPosition="0">
        <references count="5">
          <reference field="0" count="1" selected="0">
            <x v="34"/>
          </reference>
          <reference field="1" count="1" selected="0">
            <x v="49"/>
          </reference>
          <reference field="2" count="1" selected="0">
            <x v="3"/>
          </reference>
          <reference field="3" count="1" selected="0">
            <x v="7"/>
          </reference>
          <reference field="4" count="1">
            <x v="1"/>
          </reference>
        </references>
      </pivotArea>
    </format>
    <format dxfId="3289">
      <pivotArea dataOnly="0" labelOnly="1" outline="0" fieldPosition="0">
        <references count="5">
          <reference field="0" count="1" selected="0">
            <x v="35"/>
          </reference>
          <reference field="1" count="1" selected="0">
            <x v="0"/>
          </reference>
          <reference field="2" count="1" selected="0">
            <x v="0"/>
          </reference>
          <reference field="3" count="1" selected="0">
            <x v="1"/>
          </reference>
          <reference field="4" count="1">
            <x v="3"/>
          </reference>
        </references>
      </pivotArea>
    </format>
    <format dxfId="3288">
      <pivotArea dataOnly="0" labelOnly="1" outline="0" fieldPosition="0">
        <references count="5">
          <reference field="0" count="1" selected="0">
            <x v="36"/>
          </reference>
          <reference field="1" count="1" selected="0">
            <x v="6"/>
          </reference>
          <reference field="2" count="1" selected="0">
            <x v="3"/>
          </reference>
          <reference field="3" count="1" selected="0">
            <x v="2"/>
          </reference>
          <reference field="4" count="1">
            <x v="4"/>
          </reference>
        </references>
      </pivotArea>
    </format>
    <format dxfId="3287">
      <pivotArea dataOnly="0" labelOnly="1" outline="0" fieldPosition="0">
        <references count="5">
          <reference field="0" count="1" selected="0">
            <x v="37"/>
          </reference>
          <reference field="1" count="1" selected="0">
            <x v="4"/>
          </reference>
          <reference field="2" count="1" selected="0">
            <x v="0"/>
          </reference>
          <reference field="3" count="1" selected="0">
            <x v="3"/>
          </reference>
          <reference field="4" count="1">
            <x v="3"/>
          </reference>
        </references>
      </pivotArea>
    </format>
    <format dxfId="3286">
      <pivotArea dataOnly="0" labelOnly="1" outline="0" fieldPosition="0">
        <references count="5">
          <reference field="0" count="1" selected="0">
            <x v="38"/>
          </reference>
          <reference field="1" count="1" selected="0">
            <x v="35"/>
          </reference>
          <reference field="2" count="1" selected="0">
            <x v="4"/>
          </reference>
          <reference field="3" count="1" selected="0">
            <x v="5"/>
          </reference>
          <reference field="4" count="1">
            <x v="4"/>
          </reference>
        </references>
      </pivotArea>
    </format>
    <format dxfId="3285">
      <pivotArea dataOnly="0" labelOnly="1" outline="0" fieldPosition="0">
        <references count="5">
          <reference field="0" count="1" selected="0">
            <x v="42"/>
          </reference>
          <reference field="1" count="1" selected="0">
            <x v="12"/>
          </reference>
          <reference field="2" count="1" selected="0">
            <x v="4"/>
          </reference>
          <reference field="3" count="1" selected="0">
            <x v="4"/>
          </reference>
          <reference field="4" count="1">
            <x v="1"/>
          </reference>
        </references>
      </pivotArea>
    </format>
    <format dxfId="3284">
      <pivotArea dataOnly="0" labelOnly="1" outline="0" fieldPosition="0">
        <references count="5">
          <reference field="0" count="1" selected="0">
            <x v="44"/>
          </reference>
          <reference field="1" count="1" selected="0">
            <x v="14"/>
          </reference>
          <reference field="2" count="1" selected="0">
            <x v="4"/>
          </reference>
          <reference field="3" count="1" selected="0">
            <x v="2"/>
          </reference>
          <reference field="4" count="1">
            <x v="4"/>
          </reference>
        </references>
      </pivotArea>
    </format>
    <format dxfId="3283">
      <pivotArea dataOnly="0" labelOnly="1" outline="0" fieldPosition="0">
        <references count="5">
          <reference field="0" count="1" selected="0">
            <x v="45"/>
          </reference>
          <reference field="1" count="1" selected="0">
            <x v="50"/>
          </reference>
          <reference field="2" count="1" selected="0">
            <x v="3"/>
          </reference>
          <reference field="3" count="1" selected="0">
            <x v="4"/>
          </reference>
          <reference field="4" count="1">
            <x v="3"/>
          </reference>
        </references>
      </pivotArea>
    </format>
    <format dxfId="3282">
      <pivotArea dataOnly="0" labelOnly="1" outline="0" fieldPosition="0">
        <references count="5">
          <reference field="0" count="1" selected="0">
            <x v="46"/>
          </reference>
          <reference field="1" count="1" selected="0">
            <x v="42"/>
          </reference>
          <reference field="2" count="1" selected="0">
            <x v="2"/>
          </reference>
          <reference field="3" count="1" selected="0">
            <x v="4"/>
          </reference>
          <reference field="4" count="1">
            <x v="2"/>
          </reference>
        </references>
      </pivotArea>
    </format>
    <format dxfId="3281">
      <pivotArea dataOnly="0" labelOnly="1" outline="0" fieldPosition="0">
        <references count="5">
          <reference field="0" count="1" selected="0">
            <x v="47"/>
          </reference>
          <reference field="1" count="1" selected="0">
            <x v="9"/>
          </reference>
          <reference field="2" count="1" selected="0">
            <x v="3"/>
          </reference>
          <reference field="3" count="1" selected="0">
            <x v="4"/>
          </reference>
          <reference field="4" count="1">
            <x v="1"/>
          </reference>
        </references>
      </pivotArea>
    </format>
    <format dxfId="3280">
      <pivotArea dataOnly="0" labelOnly="1" outline="0" fieldPosition="0">
        <references count="5">
          <reference field="0" count="1" selected="0">
            <x v="49"/>
          </reference>
          <reference field="1" count="1" selected="0">
            <x v="14"/>
          </reference>
          <reference field="2" count="1" selected="0">
            <x v="4"/>
          </reference>
          <reference field="3" count="1" selected="0">
            <x v="7"/>
          </reference>
          <reference field="4" count="1">
            <x v="2"/>
          </reference>
        </references>
      </pivotArea>
    </format>
    <format dxfId="3279">
      <pivotArea dataOnly="0" labelOnly="1" outline="0" fieldPosition="0">
        <references count="5">
          <reference field="0" count="1" selected="0">
            <x v="50"/>
          </reference>
          <reference field="1" count="1" selected="0">
            <x v="23"/>
          </reference>
          <reference field="2" count="1" selected="0">
            <x v="2"/>
          </reference>
          <reference field="3" count="1" selected="0">
            <x v="4"/>
          </reference>
          <reference field="4" count="1">
            <x v="1"/>
          </reference>
        </references>
      </pivotArea>
    </format>
    <format dxfId="3278">
      <pivotArea dataOnly="0" labelOnly="1" outline="0" fieldPosition="0">
        <references count="5">
          <reference field="0" count="1" selected="0">
            <x v="51"/>
          </reference>
          <reference field="1" count="1" selected="0">
            <x v="17"/>
          </reference>
          <reference field="2" count="1" selected="0">
            <x v="4"/>
          </reference>
          <reference field="3" count="1" selected="0">
            <x v="7"/>
          </reference>
          <reference field="4" count="1">
            <x v="4"/>
          </reference>
        </references>
      </pivotArea>
    </format>
    <format dxfId="3277">
      <pivotArea dataOnly="0" labelOnly="1" outline="0" fieldPosition="0">
        <references count="5">
          <reference field="0" count="1" selected="0">
            <x v="52"/>
          </reference>
          <reference field="1" count="1" selected="0">
            <x v="16"/>
          </reference>
          <reference field="2" count="1" selected="0">
            <x v="5"/>
          </reference>
          <reference field="3" count="1" selected="0">
            <x v="3"/>
          </reference>
          <reference field="4" count="1">
            <x v="1"/>
          </reference>
        </references>
      </pivotArea>
    </format>
    <format dxfId="3276">
      <pivotArea dataOnly="0" labelOnly="1" outline="0" fieldPosition="0">
        <references count="5">
          <reference field="0" count="1" selected="0">
            <x v="53"/>
          </reference>
          <reference field="1" count="1" selected="0">
            <x v="10"/>
          </reference>
          <reference field="2" count="1" selected="0">
            <x v="4"/>
          </reference>
          <reference field="3" count="1" selected="0">
            <x v="7"/>
          </reference>
          <reference field="4" count="1">
            <x v="0"/>
          </reference>
        </references>
      </pivotArea>
    </format>
    <format dxfId="3275">
      <pivotArea dataOnly="0" labelOnly="1" outline="0" fieldPosition="0">
        <references count="5">
          <reference field="0" count="1" selected="0">
            <x v="54"/>
          </reference>
          <reference field="1" count="1" selected="0">
            <x v="40"/>
          </reference>
          <reference field="2" count="1" selected="0">
            <x v="2"/>
          </reference>
          <reference field="3" count="1" selected="0">
            <x v="2"/>
          </reference>
          <reference field="4" count="1">
            <x v="1"/>
          </reference>
        </references>
      </pivotArea>
    </format>
    <format dxfId="3274">
      <pivotArea dataOnly="0" labelOnly="1" outline="0" fieldPosition="0">
        <references count="5">
          <reference field="0" count="1" selected="0">
            <x v="56"/>
          </reference>
          <reference field="1" count="1" selected="0">
            <x v="37"/>
          </reference>
          <reference field="2" count="1" selected="0">
            <x v="1"/>
          </reference>
          <reference field="3" count="1" selected="0">
            <x v="2"/>
          </reference>
          <reference field="4" count="1">
            <x v="3"/>
          </reference>
        </references>
      </pivotArea>
    </format>
    <format dxfId="3273">
      <pivotArea dataOnly="0" labelOnly="1" outline="0" fieldPosition="0">
        <references count="5">
          <reference field="0" count="1" selected="0">
            <x v="57"/>
          </reference>
          <reference field="1" count="1" selected="0">
            <x v="48"/>
          </reference>
          <reference field="2" count="1" selected="0">
            <x v="5"/>
          </reference>
          <reference field="3" count="1" selected="0">
            <x v="1"/>
          </reference>
          <reference field="4" count="1">
            <x v="0"/>
          </reference>
        </references>
      </pivotArea>
    </format>
    <format dxfId="3272">
      <pivotArea dataOnly="0" labelOnly="1" outline="0" fieldPosition="0">
        <references count="5">
          <reference field="0" count="1" selected="0">
            <x v="58"/>
          </reference>
          <reference field="1" count="1" selected="0">
            <x v="44"/>
          </reference>
          <reference field="2" count="1" selected="0">
            <x v="5"/>
          </reference>
          <reference field="3" count="1" selected="0">
            <x v="0"/>
          </reference>
          <reference field="4" count="1">
            <x v="4"/>
          </reference>
        </references>
      </pivotArea>
    </format>
    <format dxfId="3271">
      <pivotArea dataOnly="0" labelOnly="1" outline="0" fieldPosition="0">
        <references count="5">
          <reference field="0" count="1" selected="0">
            <x v="59"/>
          </reference>
          <reference field="1" count="1" selected="0">
            <x v="24"/>
          </reference>
          <reference field="2" count="1" selected="0">
            <x v="0"/>
          </reference>
          <reference field="3" count="1" selected="0">
            <x v="6"/>
          </reference>
          <reference field="4" count="1">
            <x v="0"/>
          </reference>
        </references>
      </pivotArea>
    </format>
    <format dxfId="3270">
      <pivotArea dataOnly="0" labelOnly="1" outline="0" fieldPosition="0">
        <references count="5">
          <reference field="0" count="1" selected="0">
            <x v="61"/>
          </reference>
          <reference field="1" count="1" selected="0">
            <x v="59"/>
          </reference>
          <reference field="2" count="1" selected="0">
            <x v="2"/>
          </reference>
          <reference field="3" count="1" selected="0">
            <x v="2"/>
          </reference>
          <reference field="4" count="1">
            <x v="3"/>
          </reference>
        </references>
      </pivotArea>
    </format>
    <format dxfId="3269">
      <pivotArea dataOnly="0" labelOnly="1" outline="0" fieldPosition="0">
        <references count="5">
          <reference field="0" count="1" selected="0">
            <x v="62"/>
          </reference>
          <reference field="1" count="1" selected="0">
            <x v="10"/>
          </reference>
          <reference field="2" count="1" selected="0">
            <x v="4"/>
          </reference>
          <reference field="3" count="1" selected="0">
            <x v="5"/>
          </reference>
          <reference field="4" count="1">
            <x v="0"/>
          </reference>
        </references>
      </pivotArea>
    </format>
    <format dxfId="3268">
      <pivotArea dataOnly="0" labelOnly="1" outline="0" fieldPosition="0">
        <references count="5">
          <reference field="0" count="1" selected="0">
            <x v="64"/>
          </reference>
          <reference field="1" count="1" selected="0">
            <x v="4"/>
          </reference>
          <reference field="2" count="1" selected="0">
            <x v="0"/>
          </reference>
          <reference field="3" count="1" selected="0">
            <x v="0"/>
          </reference>
          <reference field="4" count="1">
            <x v="1"/>
          </reference>
        </references>
      </pivotArea>
    </format>
    <format dxfId="3267">
      <pivotArea dataOnly="0" labelOnly="1" outline="0" fieldPosition="0">
        <references count="5">
          <reference field="0" count="1" selected="0">
            <x v="65"/>
          </reference>
          <reference field="1" count="1" selected="0">
            <x v="9"/>
          </reference>
          <reference field="2" count="1" selected="0">
            <x v="3"/>
          </reference>
          <reference field="3" count="1" selected="0">
            <x v="2"/>
          </reference>
          <reference field="4" count="1">
            <x v="0"/>
          </reference>
        </references>
      </pivotArea>
    </format>
    <format dxfId="3266">
      <pivotArea dataOnly="0" labelOnly="1" outline="0" fieldPosition="0">
        <references count="5">
          <reference field="0" count="1" selected="0">
            <x v="66"/>
          </reference>
          <reference field="1" count="1" selected="0">
            <x v="43"/>
          </reference>
          <reference field="2" count="1" selected="0">
            <x v="0"/>
          </reference>
          <reference field="3" count="1" selected="0">
            <x v="4"/>
          </reference>
          <reference field="4" count="1">
            <x v="3"/>
          </reference>
        </references>
      </pivotArea>
    </format>
    <format dxfId="3265">
      <pivotArea dataOnly="0" labelOnly="1" outline="0" fieldPosition="0">
        <references count="5">
          <reference field="0" count="1" selected="0">
            <x v="69"/>
          </reference>
          <reference field="1" count="1" selected="0">
            <x v="20"/>
          </reference>
          <reference field="2" count="1" selected="0">
            <x v="4"/>
          </reference>
          <reference field="3" count="1" selected="0">
            <x v="1"/>
          </reference>
          <reference field="4" count="1">
            <x v="0"/>
          </reference>
        </references>
      </pivotArea>
    </format>
    <format dxfId="3264">
      <pivotArea dataOnly="0" labelOnly="1" outline="0" fieldPosition="0">
        <references count="5">
          <reference field="0" count="1" selected="0">
            <x v="70"/>
          </reference>
          <reference field="1" count="1" selected="0">
            <x v="1"/>
          </reference>
          <reference field="2" count="1" selected="0">
            <x v="5"/>
          </reference>
          <reference field="3" count="1" selected="0">
            <x v="0"/>
          </reference>
          <reference field="4" count="1">
            <x v="1"/>
          </reference>
        </references>
      </pivotArea>
    </format>
    <format dxfId="3263">
      <pivotArea dataOnly="0" labelOnly="1" outline="0" fieldPosition="0">
        <references count="5">
          <reference field="0" count="1" selected="0">
            <x v="71"/>
          </reference>
          <reference field="1" count="1" selected="0">
            <x v="30"/>
          </reference>
          <reference field="2" count="1" selected="0">
            <x v="1"/>
          </reference>
          <reference field="3" count="1" selected="0">
            <x v="6"/>
          </reference>
          <reference field="4" count="1">
            <x v="0"/>
          </reference>
        </references>
      </pivotArea>
    </format>
    <format dxfId="3262">
      <pivotArea dataOnly="0" labelOnly="1" outline="0" fieldPosition="0">
        <references count="5">
          <reference field="0" count="1" selected="0">
            <x v="72"/>
          </reference>
          <reference field="1" count="1" selected="0">
            <x v="33"/>
          </reference>
          <reference field="2" count="1" selected="0">
            <x v="4"/>
          </reference>
          <reference field="3" count="1" selected="0">
            <x v="2"/>
          </reference>
          <reference field="4" count="1">
            <x v="1"/>
          </reference>
        </references>
      </pivotArea>
    </format>
    <format dxfId="3261">
      <pivotArea dataOnly="0" labelOnly="1" outline="0" fieldPosition="0">
        <references count="5">
          <reference field="0" count="1" selected="0">
            <x v="73"/>
          </reference>
          <reference field="1" count="1" selected="0">
            <x v="44"/>
          </reference>
          <reference field="2" count="1" selected="0">
            <x v="5"/>
          </reference>
          <reference field="3" count="1" selected="0">
            <x v="5"/>
          </reference>
          <reference field="4" count="1">
            <x v="4"/>
          </reference>
        </references>
      </pivotArea>
    </format>
    <format dxfId="3260">
      <pivotArea dataOnly="0" labelOnly="1" outline="0" fieldPosition="0">
        <references count="5">
          <reference field="0" count="1" selected="0">
            <x v="74"/>
          </reference>
          <reference field="1" count="1" selected="0">
            <x v="59"/>
          </reference>
          <reference field="2" count="1" selected="0">
            <x v="2"/>
          </reference>
          <reference field="3" count="1" selected="0">
            <x v="1"/>
          </reference>
          <reference field="4" count="1">
            <x v="0"/>
          </reference>
        </references>
      </pivotArea>
    </format>
    <format dxfId="3259">
      <pivotArea dataOnly="0" labelOnly="1" outline="0" fieldPosition="0">
        <references count="5">
          <reference field="0" count="1" selected="0">
            <x v="75"/>
          </reference>
          <reference field="1" count="1" selected="0">
            <x v="5"/>
          </reference>
          <reference field="2" count="1" selected="0">
            <x v="0"/>
          </reference>
          <reference field="3" count="1" selected="0">
            <x v="7"/>
          </reference>
          <reference field="4" count="1">
            <x v="1"/>
          </reference>
        </references>
      </pivotArea>
    </format>
    <format dxfId="3258">
      <pivotArea dataOnly="0" labelOnly="1" outline="0" fieldPosition="0">
        <references count="5">
          <reference field="0" count="1" selected="0">
            <x v="76"/>
          </reference>
          <reference field="1" count="1" selected="0">
            <x v="55"/>
          </reference>
          <reference field="2" count="1" selected="0">
            <x v="1"/>
          </reference>
          <reference field="3" count="1" selected="0">
            <x v="3"/>
          </reference>
          <reference field="4" count="1">
            <x v="4"/>
          </reference>
        </references>
      </pivotArea>
    </format>
    <format dxfId="3257">
      <pivotArea dataOnly="0" labelOnly="1" outline="0" fieldPosition="0">
        <references count="5">
          <reference field="0" count="1" selected="0">
            <x v="77"/>
          </reference>
          <reference field="1" count="1" selected="0">
            <x v="59"/>
          </reference>
          <reference field="2" count="1" selected="0">
            <x v="2"/>
          </reference>
          <reference field="3" count="1" selected="0">
            <x v="4"/>
          </reference>
          <reference field="4" count="1">
            <x v="3"/>
          </reference>
        </references>
      </pivotArea>
    </format>
    <format dxfId="3256">
      <pivotArea dataOnly="0" labelOnly="1" outline="0" fieldPosition="0">
        <references count="5">
          <reference field="0" count="1" selected="0">
            <x v="78"/>
          </reference>
          <reference field="1" count="1" selected="0">
            <x v="4"/>
          </reference>
          <reference field="2" count="1" selected="0">
            <x v="0"/>
          </reference>
          <reference field="3" count="1" selected="0">
            <x v="4"/>
          </reference>
          <reference field="4" count="1">
            <x v="4"/>
          </reference>
        </references>
      </pivotArea>
    </format>
    <format dxfId="3255">
      <pivotArea dataOnly="0" labelOnly="1" outline="0" fieldPosition="0">
        <references count="5">
          <reference field="0" count="1" selected="0">
            <x v="79"/>
          </reference>
          <reference field="1" count="1" selected="0">
            <x v="9"/>
          </reference>
          <reference field="2" count="1" selected="0">
            <x v="3"/>
          </reference>
          <reference field="3" count="1" selected="0">
            <x v="0"/>
          </reference>
          <reference field="4" count="1">
            <x v="0"/>
          </reference>
        </references>
      </pivotArea>
    </format>
    <format dxfId="3254">
      <pivotArea dataOnly="0" labelOnly="1" outline="0" fieldPosition="0">
        <references count="5">
          <reference field="0" count="1" selected="0">
            <x v="80"/>
          </reference>
          <reference field="1" count="1" selected="0">
            <x v="48"/>
          </reference>
          <reference field="2" count="1" selected="0">
            <x v="5"/>
          </reference>
          <reference field="3" count="1" selected="0">
            <x v="7"/>
          </reference>
          <reference field="4" count="1">
            <x v="2"/>
          </reference>
        </references>
      </pivotArea>
    </format>
    <format dxfId="3253">
      <pivotArea dataOnly="0" labelOnly="1" outline="0" fieldPosition="0">
        <references count="5">
          <reference field="0" count="1" selected="0">
            <x v="81"/>
          </reference>
          <reference field="1" count="1" selected="0">
            <x v="54"/>
          </reference>
          <reference field="2" count="1" selected="0">
            <x v="2"/>
          </reference>
          <reference field="3" count="1" selected="0">
            <x v="1"/>
          </reference>
          <reference field="4" count="1">
            <x v="4"/>
          </reference>
        </references>
      </pivotArea>
    </format>
    <format dxfId="3252">
      <pivotArea dataOnly="0" labelOnly="1" outline="0" fieldPosition="0">
        <references count="5">
          <reference field="0" count="1" selected="0">
            <x v="82"/>
          </reference>
          <reference field="1" count="1" selected="0">
            <x v="52"/>
          </reference>
          <reference field="2" count="1" selected="0">
            <x v="1"/>
          </reference>
          <reference field="3" count="1" selected="0">
            <x v="1"/>
          </reference>
          <reference field="4" count="1">
            <x v="0"/>
          </reference>
        </references>
      </pivotArea>
    </format>
    <format dxfId="3251">
      <pivotArea dataOnly="0" labelOnly="1" outline="0" fieldPosition="0">
        <references count="5">
          <reference field="0" count="1" selected="0">
            <x v="84"/>
          </reference>
          <reference field="1" count="1" selected="0">
            <x v="39"/>
          </reference>
          <reference field="2" count="1" selected="0">
            <x v="2"/>
          </reference>
          <reference field="3" count="1" selected="0">
            <x v="2"/>
          </reference>
          <reference field="4" count="1">
            <x v="4"/>
          </reference>
        </references>
      </pivotArea>
    </format>
    <format dxfId="3250">
      <pivotArea dataOnly="0" labelOnly="1" outline="0" fieldPosition="0">
        <references count="5">
          <reference field="0" count="1" selected="0">
            <x v="85"/>
          </reference>
          <reference field="1" count="1" selected="0">
            <x v="10"/>
          </reference>
          <reference field="2" count="1" selected="0">
            <x v="4"/>
          </reference>
          <reference field="3" count="1" selected="0">
            <x v="0"/>
          </reference>
          <reference field="4" count="1">
            <x v="2"/>
          </reference>
        </references>
      </pivotArea>
    </format>
    <format dxfId="3249">
      <pivotArea dataOnly="0" labelOnly="1" outline="0" fieldPosition="0">
        <references count="5">
          <reference field="0" count="1" selected="0">
            <x v="86"/>
          </reference>
          <reference field="1" count="1" selected="0">
            <x v="29"/>
          </reference>
          <reference field="2" count="1" selected="0">
            <x v="1"/>
          </reference>
          <reference field="3" count="1" selected="0">
            <x v="1"/>
          </reference>
          <reference field="4" count="1">
            <x v="1"/>
          </reference>
        </references>
      </pivotArea>
    </format>
    <format dxfId="3248">
      <pivotArea dataOnly="0" labelOnly="1" outline="0" fieldPosition="0">
        <references count="5">
          <reference field="0" count="1" selected="0">
            <x v="87"/>
          </reference>
          <reference field="1" count="1" selected="0">
            <x v="4"/>
          </reference>
          <reference field="2" count="1" selected="0">
            <x v="0"/>
          </reference>
          <reference field="3" count="1" selected="0">
            <x v="1"/>
          </reference>
          <reference field="4" count="1">
            <x v="0"/>
          </reference>
        </references>
      </pivotArea>
    </format>
    <format dxfId="3247">
      <pivotArea dataOnly="0" labelOnly="1" outline="0" fieldPosition="0">
        <references count="5">
          <reference field="0" count="1" selected="0">
            <x v="88"/>
          </reference>
          <reference field="1" count="1" selected="0">
            <x v="2"/>
          </reference>
          <reference field="2" count="1" selected="0">
            <x v="3"/>
          </reference>
          <reference field="3" count="1" selected="0">
            <x v="1"/>
          </reference>
          <reference field="4" count="1">
            <x v="3"/>
          </reference>
        </references>
      </pivotArea>
    </format>
    <format dxfId="3246">
      <pivotArea dataOnly="0" labelOnly="1" outline="0" fieldPosition="0">
        <references count="5">
          <reference field="0" count="1" selected="0">
            <x v="89"/>
          </reference>
          <reference field="1" count="1" selected="0">
            <x v="52"/>
          </reference>
          <reference field="2" count="1" selected="0">
            <x v="1"/>
          </reference>
          <reference field="3" count="1" selected="0">
            <x v="3"/>
          </reference>
          <reference field="4" count="1">
            <x v="0"/>
          </reference>
        </references>
      </pivotArea>
    </format>
    <format dxfId="3245">
      <pivotArea dataOnly="0" labelOnly="1" outline="0" fieldPosition="0">
        <references count="5">
          <reference field="0" count="1" selected="0">
            <x v="90"/>
          </reference>
          <reference field="1" count="1" selected="0">
            <x v="37"/>
          </reference>
          <reference field="2" count="1" selected="0">
            <x v="1"/>
          </reference>
          <reference field="3" count="1" selected="0">
            <x v="1"/>
          </reference>
          <reference field="4" count="1">
            <x v="2"/>
          </reference>
        </references>
      </pivotArea>
    </format>
    <format dxfId="3244">
      <pivotArea dataOnly="0" labelOnly="1" outline="0" fieldPosition="0">
        <references count="5">
          <reference field="0" count="1" selected="0">
            <x v="91"/>
          </reference>
          <reference field="1" count="1" selected="0">
            <x v="51"/>
          </reference>
          <reference field="2" count="1" selected="0">
            <x v="0"/>
          </reference>
          <reference field="3" count="1" selected="0">
            <x v="4"/>
          </reference>
          <reference field="4" count="1">
            <x v="0"/>
          </reference>
        </references>
      </pivotArea>
    </format>
    <format dxfId="3243">
      <pivotArea dataOnly="0" labelOnly="1" outline="0" fieldPosition="0">
        <references count="5">
          <reference field="0" count="1" selected="0">
            <x v="93"/>
          </reference>
          <reference field="1" count="1" selected="0">
            <x v="5"/>
          </reference>
          <reference field="2" count="1" selected="0">
            <x v="0"/>
          </reference>
          <reference field="3" count="1" selected="0">
            <x v="7"/>
          </reference>
          <reference field="4" count="1">
            <x v="4"/>
          </reference>
        </references>
      </pivotArea>
    </format>
    <format dxfId="3242">
      <pivotArea dataOnly="0" labelOnly="1" outline="0" fieldPosition="0">
        <references count="5">
          <reference field="0" count="1" selected="0">
            <x v="94"/>
          </reference>
          <reference field="1" count="1" selected="0">
            <x v="42"/>
          </reference>
          <reference field="2" count="1" selected="0">
            <x v="2"/>
          </reference>
          <reference field="3" count="1" selected="0">
            <x v="2"/>
          </reference>
          <reference field="4" count="1">
            <x v="1"/>
          </reference>
        </references>
      </pivotArea>
    </format>
    <format dxfId="3241">
      <pivotArea dataOnly="0" labelOnly="1" outline="0" fieldPosition="0">
        <references count="5">
          <reference field="0" count="1" selected="0">
            <x v="95"/>
          </reference>
          <reference field="1" count="1" selected="0">
            <x v="51"/>
          </reference>
          <reference field="2" count="1" selected="0">
            <x v="0"/>
          </reference>
          <reference field="3" count="1" selected="0">
            <x v="6"/>
          </reference>
          <reference field="4" count="1">
            <x v="4"/>
          </reference>
        </references>
      </pivotArea>
    </format>
    <format dxfId="3240">
      <pivotArea dataOnly="0" labelOnly="1" outline="0" fieldPosition="0">
        <references count="5">
          <reference field="0" count="1" selected="0">
            <x v="96"/>
          </reference>
          <reference field="1" count="1" selected="0">
            <x v="31"/>
          </reference>
          <reference field="2" count="1" selected="0">
            <x v="3"/>
          </reference>
          <reference field="3" count="1" selected="0">
            <x v="0"/>
          </reference>
          <reference field="4" count="1">
            <x v="2"/>
          </reference>
        </references>
      </pivotArea>
    </format>
    <format dxfId="3239">
      <pivotArea dataOnly="0" labelOnly="1" outline="0" fieldPosition="0">
        <references count="5">
          <reference field="0" count="1" selected="0">
            <x v="97"/>
          </reference>
          <reference field="1" count="1" selected="0">
            <x v="38"/>
          </reference>
          <reference field="2" count="1" selected="0">
            <x v="5"/>
          </reference>
          <reference field="3" count="1" selected="0">
            <x v="5"/>
          </reference>
          <reference field="4" count="1">
            <x v="4"/>
          </reference>
        </references>
      </pivotArea>
    </format>
    <format dxfId="3238">
      <pivotArea dataOnly="0" labelOnly="1" outline="0" fieldPosition="0">
        <references count="5">
          <reference field="0" count="1" selected="0">
            <x v="98"/>
          </reference>
          <reference field="1" count="1" selected="0">
            <x v="1"/>
          </reference>
          <reference field="2" count="1" selected="0">
            <x v="5"/>
          </reference>
          <reference field="3" count="1" selected="0">
            <x v="1"/>
          </reference>
          <reference field="4" count="1">
            <x v="3"/>
          </reference>
        </references>
      </pivotArea>
    </format>
    <format dxfId="3237">
      <pivotArea dataOnly="0" labelOnly="1" outline="0" fieldPosition="0">
        <references count="5">
          <reference field="0" count="1" selected="0">
            <x v="99"/>
          </reference>
          <reference field="1" count="1" selected="0">
            <x v="27"/>
          </reference>
          <reference field="2" count="1" selected="0">
            <x v="0"/>
          </reference>
          <reference field="3" count="1" selected="0">
            <x v="5"/>
          </reference>
          <reference field="4" count="1">
            <x v="1"/>
          </reference>
        </references>
      </pivotArea>
    </format>
    <format dxfId="3236">
      <pivotArea dataOnly="0" labelOnly="1" outline="0" fieldPosition="0">
        <references count="5">
          <reference field="0" count="1" selected="0">
            <x v="100"/>
          </reference>
          <reference field="1" count="1" selected="0">
            <x v="5"/>
          </reference>
          <reference field="2" count="1" selected="0">
            <x v="0"/>
          </reference>
          <reference field="3" count="1" selected="0">
            <x v="1"/>
          </reference>
          <reference field="4" count="1">
            <x v="3"/>
          </reference>
        </references>
      </pivotArea>
    </format>
    <format dxfId="3235">
      <pivotArea dataOnly="0" labelOnly="1" outline="0" fieldPosition="0">
        <references count="5">
          <reference field="0" count="1" selected="0">
            <x v="101"/>
          </reference>
          <reference field="1" count="1" selected="0">
            <x v="49"/>
          </reference>
          <reference field="2" count="1" selected="0">
            <x v="3"/>
          </reference>
          <reference field="3" count="1" selected="0">
            <x v="4"/>
          </reference>
          <reference field="4" count="1">
            <x v="0"/>
          </reference>
        </references>
      </pivotArea>
    </format>
    <format dxfId="3234">
      <pivotArea dataOnly="0" labelOnly="1" outline="0" fieldPosition="0">
        <references count="5">
          <reference field="0" count="1" selected="0">
            <x v="103"/>
          </reference>
          <reference field="1" count="1" selected="0">
            <x v="42"/>
          </reference>
          <reference field="2" count="1" selected="0">
            <x v="2"/>
          </reference>
          <reference field="3" count="1" selected="0">
            <x v="7"/>
          </reference>
          <reference field="4" count="1">
            <x v="4"/>
          </reference>
        </references>
      </pivotArea>
    </format>
    <format dxfId="3233">
      <pivotArea dataOnly="0" labelOnly="1" outline="0" fieldPosition="0">
        <references count="5">
          <reference field="0" count="1" selected="0">
            <x v="104"/>
          </reference>
          <reference field="1" count="1" selected="0">
            <x v="25"/>
          </reference>
          <reference field="2" count="1" selected="0">
            <x v="1"/>
          </reference>
          <reference field="3" count="1" selected="0">
            <x v="2"/>
          </reference>
          <reference field="4" count="1">
            <x v="1"/>
          </reference>
        </references>
      </pivotArea>
    </format>
    <format dxfId="3232">
      <pivotArea dataOnly="0" labelOnly="1" outline="0" fieldPosition="0">
        <references count="5">
          <reference field="0" count="1" selected="0">
            <x v="105"/>
          </reference>
          <reference field="1" count="1" selected="0">
            <x v="26"/>
          </reference>
          <reference field="2" count="1" selected="0">
            <x v="5"/>
          </reference>
          <reference field="3" count="1" selected="0">
            <x v="7"/>
          </reference>
          <reference field="4" count="1">
            <x v="0"/>
          </reference>
        </references>
      </pivotArea>
    </format>
    <format dxfId="3231">
      <pivotArea dataOnly="0" labelOnly="1" outline="0" fieldPosition="0">
        <references count="5">
          <reference field="0" count="1" selected="0">
            <x v="106"/>
          </reference>
          <reference field="1" count="1" selected="0">
            <x v="6"/>
          </reference>
          <reference field="2" count="1" selected="0">
            <x v="3"/>
          </reference>
          <reference field="3" count="1" selected="0">
            <x v="3"/>
          </reference>
          <reference field="4" count="1">
            <x v="1"/>
          </reference>
        </references>
      </pivotArea>
    </format>
    <format dxfId="3230">
      <pivotArea dataOnly="0" labelOnly="1" outline="0" fieldPosition="0">
        <references count="5">
          <reference field="0" count="1" selected="0">
            <x v="107"/>
          </reference>
          <reference field="1" count="1" selected="0">
            <x v="0"/>
          </reference>
          <reference field="2" count="1" selected="0">
            <x v="0"/>
          </reference>
          <reference field="3" count="1" selected="0">
            <x v="4"/>
          </reference>
          <reference field="4" count="1">
            <x v="4"/>
          </reference>
        </references>
      </pivotArea>
    </format>
    <format dxfId="3229">
      <pivotArea dataOnly="0" labelOnly="1" outline="0" fieldPosition="0">
        <references count="5">
          <reference field="0" count="1" selected="0">
            <x v="108"/>
          </reference>
          <reference field="1" count="1" selected="0">
            <x v="44"/>
          </reference>
          <reference field="2" count="1" selected="0">
            <x v="5"/>
          </reference>
          <reference field="3" count="1" selected="0">
            <x v="7"/>
          </reference>
          <reference field="4" count="1">
            <x v="3"/>
          </reference>
        </references>
      </pivotArea>
    </format>
    <format dxfId="3228">
      <pivotArea dataOnly="0" labelOnly="1" outline="0" fieldPosition="0">
        <references count="5">
          <reference field="0" count="1" selected="0">
            <x v="111"/>
          </reference>
          <reference field="1" count="1" selected="0">
            <x v="49"/>
          </reference>
          <reference field="2" count="1" selected="0">
            <x v="3"/>
          </reference>
          <reference field="3" count="1" selected="0">
            <x v="3"/>
          </reference>
          <reference field="4" count="1">
            <x v="4"/>
          </reference>
        </references>
      </pivotArea>
    </format>
    <format dxfId="3227">
      <pivotArea dataOnly="0" labelOnly="1" outline="0" fieldPosition="0">
        <references count="5">
          <reference field="0" count="1" selected="0">
            <x v="112"/>
          </reference>
          <reference field="1" count="1" selected="0">
            <x v="57"/>
          </reference>
          <reference field="2" count="1" selected="0">
            <x v="0"/>
          </reference>
          <reference field="3" count="1" selected="0">
            <x v="5"/>
          </reference>
          <reference field="4" count="1">
            <x v="3"/>
          </reference>
        </references>
      </pivotArea>
    </format>
    <format dxfId="3226">
      <pivotArea dataOnly="0" labelOnly="1" outline="0" fieldPosition="0">
        <references count="5">
          <reference field="0" count="1" selected="0">
            <x v="115"/>
          </reference>
          <reference field="1" count="1" selected="0">
            <x v="1"/>
          </reference>
          <reference field="2" count="1" selected="0">
            <x v="5"/>
          </reference>
          <reference field="3" count="1" selected="0">
            <x v="6"/>
          </reference>
          <reference field="4" count="1">
            <x v="2"/>
          </reference>
        </references>
      </pivotArea>
    </format>
    <format dxfId="3225">
      <pivotArea dataOnly="0" labelOnly="1" outline="0" fieldPosition="0">
        <references count="5">
          <reference field="0" count="1" selected="0">
            <x v="116"/>
          </reference>
          <reference field="1" count="1" selected="0">
            <x v="37"/>
          </reference>
          <reference field="2" count="1" selected="0">
            <x v="1"/>
          </reference>
          <reference field="3" count="1" selected="0">
            <x v="6"/>
          </reference>
          <reference field="4" count="1">
            <x v="3"/>
          </reference>
        </references>
      </pivotArea>
    </format>
    <format dxfId="3224">
      <pivotArea dataOnly="0" labelOnly="1" outline="0" fieldPosition="0">
        <references count="5">
          <reference field="0" count="1" selected="0">
            <x v="117"/>
          </reference>
          <reference field="1" count="1" selected="0">
            <x v="39"/>
          </reference>
          <reference field="2" count="1" selected="0">
            <x v="2"/>
          </reference>
          <reference field="3" count="1" selected="0">
            <x v="5"/>
          </reference>
          <reference field="4" count="1">
            <x v="1"/>
          </reference>
        </references>
      </pivotArea>
    </format>
    <format dxfId="3223">
      <pivotArea dataOnly="0" labelOnly="1" outline="0" fieldPosition="0">
        <references count="5">
          <reference field="0" count="1" selected="0">
            <x v="118"/>
          </reference>
          <reference field="1" count="1" selected="0">
            <x v="7"/>
          </reference>
          <reference field="2" count="1" selected="0">
            <x v="3"/>
          </reference>
          <reference field="3" count="1" selected="0">
            <x v="6"/>
          </reference>
          <reference field="4" count="1">
            <x v="0"/>
          </reference>
        </references>
      </pivotArea>
    </format>
    <format dxfId="3222">
      <pivotArea dataOnly="0" labelOnly="1" outline="0" fieldPosition="0">
        <references count="5">
          <reference field="0" count="1" selected="0">
            <x v="119"/>
          </reference>
          <reference field="1" count="1" selected="0">
            <x v="44"/>
          </reference>
          <reference field="2" count="1" selected="0">
            <x v="5"/>
          </reference>
          <reference field="3" count="1" selected="0">
            <x v="1"/>
          </reference>
          <reference field="4" count="1">
            <x v="4"/>
          </reference>
        </references>
      </pivotArea>
    </format>
    <format dxfId="3221">
      <pivotArea dataOnly="0" labelOnly="1" outline="0" fieldPosition="0">
        <references count="5">
          <reference field="0" count="1" selected="0">
            <x v="120"/>
          </reference>
          <reference field="1" count="1" selected="0">
            <x v="8"/>
          </reference>
          <reference field="2" count="1" selected="0">
            <x v="5"/>
          </reference>
          <reference field="3" count="1" selected="0">
            <x v="4"/>
          </reference>
          <reference field="4" count="1">
            <x v="2"/>
          </reference>
        </references>
      </pivotArea>
    </format>
    <format dxfId="3220">
      <pivotArea dataOnly="0" labelOnly="1" outline="0" fieldPosition="0">
        <references count="5">
          <reference field="0" count="1" selected="0">
            <x v="121"/>
          </reference>
          <reference field="1" count="1" selected="0">
            <x v="50"/>
          </reference>
          <reference field="2" count="1" selected="0">
            <x v="3"/>
          </reference>
          <reference field="3" count="1" selected="0">
            <x v="6"/>
          </reference>
          <reference field="4" count="1">
            <x v="0"/>
          </reference>
        </references>
      </pivotArea>
    </format>
    <format dxfId="3219">
      <pivotArea dataOnly="0" labelOnly="1" outline="0" fieldPosition="0">
        <references count="5">
          <reference field="0" count="1" selected="0">
            <x v="122"/>
          </reference>
          <reference field="1" count="1" selected="0">
            <x v="21"/>
          </reference>
          <reference field="2" count="1" selected="0">
            <x v="2"/>
          </reference>
          <reference field="3" count="1" selected="0">
            <x v="3"/>
          </reference>
          <reference field="4" count="1">
            <x v="3"/>
          </reference>
        </references>
      </pivotArea>
    </format>
    <format dxfId="3218">
      <pivotArea dataOnly="0" labelOnly="1" outline="0" fieldPosition="0">
        <references count="5">
          <reference field="0" count="1" selected="0">
            <x v="123"/>
          </reference>
          <reference field="1" count="1" selected="0">
            <x v="39"/>
          </reference>
          <reference field="2" count="1" selected="0">
            <x v="2"/>
          </reference>
          <reference field="3" count="1" selected="0">
            <x v="1"/>
          </reference>
          <reference field="4" count="1">
            <x v="0"/>
          </reference>
        </references>
      </pivotArea>
    </format>
    <format dxfId="3217">
      <pivotArea dataOnly="0" labelOnly="1" outline="0" fieldPosition="0">
        <references count="5">
          <reference field="0" count="1" selected="0">
            <x v="124"/>
          </reference>
          <reference field="1" count="1" selected="0">
            <x v="36"/>
          </reference>
          <reference field="2" count="1" selected="0">
            <x v="1"/>
          </reference>
          <reference field="3" count="1" selected="0">
            <x v="5"/>
          </reference>
          <reference field="4" count="1">
            <x v="1"/>
          </reference>
        </references>
      </pivotArea>
    </format>
    <format dxfId="3216">
      <pivotArea dataOnly="0" labelOnly="1" outline="0" fieldPosition="0">
        <references count="5">
          <reference field="0" count="1" selected="0">
            <x v="125"/>
          </reference>
          <reference field="1" count="1" selected="0">
            <x v="2"/>
          </reference>
          <reference field="2" count="1" selected="0">
            <x v="3"/>
          </reference>
          <reference field="3" count="1" selected="0">
            <x v="5"/>
          </reference>
          <reference field="4" count="1">
            <x v="2"/>
          </reference>
        </references>
      </pivotArea>
    </format>
    <format dxfId="3215">
      <pivotArea dataOnly="0" labelOnly="1" outline="0" fieldPosition="0">
        <references count="5">
          <reference field="0" count="1" selected="0">
            <x v="126"/>
          </reference>
          <reference field="1" count="1" selected="0">
            <x v="2"/>
          </reference>
          <reference field="2" count="1" selected="0">
            <x v="3"/>
          </reference>
          <reference field="3" count="1" selected="0">
            <x v="0"/>
          </reference>
          <reference field="4" count="1">
            <x v="0"/>
          </reference>
        </references>
      </pivotArea>
    </format>
    <format dxfId="3214">
      <pivotArea dataOnly="0" labelOnly="1" outline="0" fieldPosition="0">
        <references count="5">
          <reference field="0" count="1" selected="0">
            <x v="127"/>
          </reference>
          <reference field="1" count="1" selected="0">
            <x v="35"/>
          </reference>
          <reference field="2" count="1" selected="0">
            <x v="4"/>
          </reference>
          <reference field="3" count="1" selected="0">
            <x v="4"/>
          </reference>
          <reference field="4" count="1">
            <x v="2"/>
          </reference>
        </references>
      </pivotArea>
    </format>
    <format dxfId="3213">
      <pivotArea dataOnly="0" labelOnly="1" outline="0" fieldPosition="0">
        <references count="5">
          <reference field="0" count="1" selected="0">
            <x v="128"/>
          </reference>
          <reference field="1" count="1" selected="0">
            <x v="12"/>
          </reference>
          <reference field="2" count="1" selected="0">
            <x v="4"/>
          </reference>
          <reference field="3" count="1" selected="0">
            <x v="6"/>
          </reference>
          <reference field="4" count="1">
            <x v="0"/>
          </reference>
        </references>
      </pivotArea>
    </format>
    <format dxfId="3212">
      <pivotArea dataOnly="0" labelOnly="1" outline="0" fieldPosition="0">
        <references count="5">
          <reference field="0" count="1" selected="0">
            <x v="129"/>
          </reference>
          <reference field="1" count="1" selected="0">
            <x v="1"/>
          </reference>
          <reference field="2" count="1" selected="0">
            <x v="5"/>
          </reference>
          <reference field="3" count="1" selected="0">
            <x v="5"/>
          </reference>
          <reference field="4" count="1">
            <x v="2"/>
          </reference>
        </references>
      </pivotArea>
    </format>
    <format dxfId="3211">
      <pivotArea dataOnly="0" labelOnly="1" outline="0" fieldPosition="0">
        <references count="5">
          <reference field="0" count="1" selected="0">
            <x v="131"/>
          </reference>
          <reference field="1" count="1" selected="0">
            <x v="40"/>
          </reference>
          <reference field="2" count="1" selected="0">
            <x v="2"/>
          </reference>
          <reference field="3" count="1" selected="0">
            <x v="7"/>
          </reference>
          <reference field="4" count="1">
            <x v="1"/>
          </reference>
        </references>
      </pivotArea>
    </format>
    <format dxfId="3210">
      <pivotArea dataOnly="0" labelOnly="1" outline="0" fieldPosition="0">
        <references count="5">
          <reference field="0" count="1" selected="0">
            <x v="132"/>
          </reference>
          <reference field="1" count="1" selected="0">
            <x v="14"/>
          </reference>
          <reference field="2" count="1" selected="0">
            <x v="4"/>
          </reference>
          <reference field="3" count="1" selected="0">
            <x v="3"/>
          </reference>
          <reference field="4" count="1">
            <x v="2"/>
          </reference>
        </references>
      </pivotArea>
    </format>
    <format dxfId="3209">
      <pivotArea dataOnly="0" labelOnly="1" outline="0" fieldPosition="0">
        <references count="5">
          <reference field="0" count="1" selected="0">
            <x v="133"/>
          </reference>
          <reference field="1" count="1" selected="0">
            <x v="24"/>
          </reference>
          <reference field="2" count="1" selected="0">
            <x v="0"/>
          </reference>
          <reference field="3" count="1" selected="0">
            <x v="0"/>
          </reference>
          <reference field="4" count="1">
            <x v="0"/>
          </reference>
        </references>
      </pivotArea>
    </format>
    <format dxfId="3208">
      <pivotArea dataOnly="0" labelOnly="1" outline="0" fieldPosition="0">
        <references count="5">
          <reference field="0" count="1" selected="0">
            <x v="136"/>
          </reference>
          <reference field="1" count="1" selected="0">
            <x v="52"/>
          </reference>
          <reference field="2" count="1" selected="0">
            <x v="1"/>
          </reference>
          <reference field="3" count="1" selected="0">
            <x v="5"/>
          </reference>
          <reference field="4" count="1">
            <x v="2"/>
          </reference>
        </references>
      </pivotArea>
    </format>
    <format dxfId="3207">
      <pivotArea dataOnly="0" labelOnly="1" outline="0" fieldPosition="0">
        <references count="5">
          <reference field="0" count="1" selected="0">
            <x v="137"/>
          </reference>
          <reference field="1" count="1" selected="0">
            <x v="39"/>
          </reference>
          <reference field="2" count="1" selected="0">
            <x v="2"/>
          </reference>
          <reference field="3" count="1" selected="0">
            <x v="0"/>
          </reference>
          <reference field="4" count="1">
            <x v="1"/>
          </reference>
        </references>
      </pivotArea>
    </format>
    <format dxfId="3206">
      <pivotArea dataOnly="0" labelOnly="1" outline="0" fieldPosition="0">
        <references count="5">
          <reference field="0" count="1" selected="0">
            <x v="138"/>
          </reference>
          <reference field="1" count="1" selected="0">
            <x v="45"/>
          </reference>
          <reference field="2" count="1" selected="0">
            <x v="5"/>
          </reference>
          <reference field="3" count="1" selected="0">
            <x v="4"/>
          </reference>
          <reference field="4" count="1">
            <x v="2"/>
          </reference>
        </references>
      </pivotArea>
    </format>
    <format dxfId="3205">
      <pivotArea dataOnly="0" labelOnly="1" outline="0" fieldPosition="0">
        <references count="5">
          <reference field="0" count="1" selected="0">
            <x v="139"/>
          </reference>
          <reference field="1" count="1" selected="0">
            <x v="8"/>
          </reference>
          <reference field="2" count="1" selected="0">
            <x v="5"/>
          </reference>
          <reference field="3" count="1" selected="0">
            <x v="4"/>
          </reference>
          <reference field="4" count="1">
            <x v="4"/>
          </reference>
        </references>
      </pivotArea>
    </format>
    <format dxfId="3204">
      <pivotArea dataOnly="0" labelOnly="1" outline="0" fieldPosition="0">
        <references count="5">
          <reference field="0" count="1" selected="0">
            <x v="140"/>
          </reference>
          <reference field="1" count="1" selected="0">
            <x v="40"/>
          </reference>
          <reference field="2" count="1" selected="0">
            <x v="2"/>
          </reference>
          <reference field="3" count="1" selected="0">
            <x v="6"/>
          </reference>
          <reference field="4" count="1">
            <x v="3"/>
          </reference>
        </references>
      </pivotArea>
    </format>
    <format dxfId="3203">
      <pivotArea dataOnly="0" labelOnly="1" outline="0" fieldPosition="0">
        <references count="5">
          <reference field="0" count="1" selected="0">
            <x v="141"/>
          </reference>
          <reference field="1" count="1" selected="0">
            <x v="1"/>
          </reference>
          <reference field="2" count="1" selected="0">
            <x v="5"/>
          </reference>
          <reference field="3" count="1" selected="0">
            <x v="0"/>
          </reference>
          <reference field="4" count="1">
            <x v="0"/>
          </reference>
        </references>
      </pivotArea>
    </format>
    <format dxfId="3202">
      <pivotArea dataOnly="0" labelOnly="1" outline="0" fieldPosition="0">
        <references count="5">
          <reference field="0" count="1" selected="0">
            <x v="142"/>
          </reference>
          <reference field="1" count="1" selected="0">
            <x v="34"/>
          </reference>
          <reference field="2" count="1" selected="0">
            <x v="5"/>
          </reference>
          <reference field="3" count="1" selected="0">
            <x v="1"/>
          </reference>
          <reference field="4" count="1">
            <x v="3"/>
          </reference>
        </references>
      </pivotArea>
    </format>
    <format dxfId="3201">
      <pivotArea dataOnly="0" labelOnly="1" outline="0" fieldPosition="0">
        <references count="5">
          <reference field="0" count="1" selected="0">
            <x v="143"/>
          </reference>
          <reference field="1" count="1" selected="0">
            <x v="25"/>
          </reference>
          <reference field="2" count="1" selected="0">
            <x v="1"/>
          </reference>
          <reference field="3" count="1" selected="0">
            <x v="0"/>
          </reference>
          <reference field="4" count="1">
            <x v="1"/>
          </reference>
        </references>
      </pivotArea>
    </format>
    <format dxfId="3200">
      <pivotArea dataOnly="0" labelOnly="1" outline="0" fieldPosition="0">
        <references count="5">
          <reference field="0" count="1" selected="0">
            <x v="145"/>
          </reference>
          <reference field="1" count="1" selected="0">
            <x v="58"/>
          </reference>
          <reference field="2" count="1" selected="0">
            <x v="1"/>
          </reference>
          <reference field="3" count="1" selected="0">
            <x v="2"/>
          </reference>
          <reference field="4" count="1">
            <x v="4"/>
          </reference>
        </references>
      </pivotArea>
    </format>
    <format dxfId="3199">
      <pivotArea dataOnly="0" labelOnly="1" outline="0" fieldPosition="0">
        <references count="5">
          <reference field="0" count="1" selected="0">
            <x v="146"/>
          </reference>
          <reference field="1" count="1" selected="0">
            <x v="4"/>
          </reference>
          <reference field="2" count="1" selected="0">
            <x v="0"/>
          </reference>
          <reference field="3" count="1" selected="0">
            <x v="2"/>
          </reference>
          <reference field="4" count="1">
            <x v="1"/>
          </reference>
        </references>
      </pivotArea>
    </format>
    <format dxfId="3198">
      <pivotArea dataOnly="0" labelOnly="1" outline="0" fieldPosition="0">
        <references count="5">
          <reference field="0" count="1" selected="0">
            <x v="147"/>
          </reference>
          <reference field="1" count="1" selected="0">
            <x v="42"/>
          </reference>
          <reference field="2" count="1" selected="0">
            <x v="2"/>
          </reference>
          <reference field="3" count="1" selected="0">
            <x v="5"/>
          </reference>
          <reference field="4" count="1">
            <x v="2"/>
          </reference>
        </references>
      </pivotArea>
    </format>
    <format dxfId="3197">
      <pivotArea dataOnly="0" labelOnly="1" outline="0" fieldPosition="0">
        <references count="5">
          <reference field="0" count="1" selected="0">
            <x v="148"/>
          </reference>
          <reference field="1" count="1" selected="0">
            <x v="19"/>
          </reference>
          <reference field="2" count="1" selected="0">
            <x v="5"/>
          </reference>
          <reference field="3" count="1" selected="0">
            <x v="7"/>
          </reference>
          <reference field="4" count="1">
            <x v="0"/>
          </reference>
        </references>
      </pivotArea>
    </format>
    <format dxfId="3196">
      <pivotArea dataOnly="0" labelOnly="1" outline="0" fieldPosition="0">
        <references count="5">
          <reference field="0" count="1" selected="0">
            <x v="149"/>
          </reference>
          <reference field="1" count="1" selected="0">
            <x v="6"/>
          </reference>
          <reference field="2" count="1" selected="0">
            <x v="3"/>
          </reference>
          <reference field="3" count="1" selected="0">
            <x v="3"/>
          </reference>
          <reference field="4" count="1">
            <x v="2"/>
          </reference>
        </references>
      </pivotArea>
    </format>
    <format dxfId="3195">
      <pivotArea dataOnly="0" labelOnly="1" outline="0" fieldPosition="0">
        <references count="5">
          <reference field="0" count="1" selected="0">
            <x v="150"/>
          </reference>
          <reference field="1" count="1" selected="0">
            <x v="55"/>
          </reference>
          <reference field="2" count="1" selected="0">
            <x v="1"/>
          </reference>
          <reference field="3" count="1" selected="0">
            <x v="7"/>
          </reference>
          <reference field="4" count="1">
            <x v="0"/>
          </reference>
        </references>
      </pivotArea>
    </format>
    <format dxfId="3194">
      <pivotArea dataOnly="0" labelOnly="1" outline="0" fieldPosition="0">
        <references count="5">
          <reference field="0" count="1" selected="0">
            <x v="151"/>
          </reference>
          <reference field="1" count="1" selected="0">
            <x v="18"/>
          </reference>
          <reference field="2" count="1" selected="0">
            <x v="2"/>
          </reference>
          <reference field="3" count="1" selected="0">
            <x v="6"/>
          </reference>
          <reference field="4" count="1">
            <x v="3"/>
          </reference>
        </references>
      </pivotArea>
    </format>
    <format dxfId="3193">
      <pivotArea dataOnly="0" labelOnly="1" outline="0" fieldPosition="0">
        <references count="5">
          <reference field="0" count="1" selected="0">
            <x v="152"/>
          </reference>
          <reference field="1" count="1" selected="0">
            <x v="25"/>
          </reference>
          <reference field="2" count="1" selected="0">
            <x v="1"/>
          </reference>
          <reference field="3" count="1" selected="0">
            <x v="1"/>
          </reference>
          <reference field="4" count="1">
            <x v="4"/>
          </reference>
        </references>
      </pivotArea>
    </format>
    <format dxfId="3192">
      <pivotArea dataOnly="0" labelOnly="1" outline="0" fieldPosition="0">
        <references count="5">
          <reference field="0" count="1" selected="0">
            <x v="153"/>
          </reference>
          <reference field="1" count="1" selected="0">
            <x v="1"/>
          </reference>
          <reference field="2" count="1" selected="0">
            <x v="5"/>
          </reference>
          <reference field="3" count="1" selected="0">
            <x v="1"/>
          </reference>
          <reference field="4" count="1">
            <x v="3"/>
          </reference>
        </references>
      </pivotArea>
    </format>
    <format dxfId="3191">
      <pivotArea dataOnly="0" labelOnly="1" outline="0" fieldPosition="0">
        <references count="5">
          <reference field="0" count="1" selected="0">
            <x v="154"/>
          </reference>
          <reference field="1" count="1" selected="0">
            <x v="44"/>
          </reference>
          <reference field="2" count="1" selected="0">
            <x v="5"/>
          </reference>
          <reference field="3" count="1" selected="0">
            <x v="1"/>
          </reference>
          <reference field="4" count="1">
            <x v="1"/>
          </reference>
        </references>
      </pivotArea>
    </format>
    <format dxfId="3190">
      <pivotArea dataOnly="0" labelOnly="1" outline="0" fieldPosition="0">
        <references count="5">
          <reference field="0" count="1" selected="0">
            <x v="155"/>
          </reference>
          <reference field="1" count="1" selected="0">
            <x v="34"/>
          </reference>
          <reference field="2" count="1" selected="0">
            <x v="5"/>
          </reference>
          <reference field="3" count="1" selected="0">
            <x v="5"/>
          </reference>
          <reference field="4" count="1">
            <x v="4"/>
          </reference>
        </references>
      </pivotArea>
    </format>
    <format dxfId="3189">
      <pivotArea dataOnly="0" labelOnly="1" outline="0" fieldPosition="0">
        <references count="5">
          <reference field="0" count="1" selected="0">
            <x v="156"/>
          </reference>
          <reference field="1" count="1" selected="0">
            <x v="29"/>
          </reference>
          <reference field="2" count="1" selected="0">
            <x v="1"/>
          </reference>
          <reference field="3" count="1" selected="0">
            <x v="5"/>
          </reference>
          <reference field="4" count="1">
            <x v="1"/>
          </reference>
        </references>
      </pivotArea>
    </format>
    <format dxfId="3188">
      <pivotArea dataOnly="0" labelOnly="1" outline="0" fieldPosition="0">
        <references count="5">
          <reference field="0" count="1" selected="0">
            <x v="157"/>
          </reference>
          <reference field="1" count="1" selected="0">
            <x v="38"/>
          </reference>
          <reference field="2" count="1" selected="0">
            <x v="5"/>
          </reference>
          <reference field="3" count="1" selected="0">
            <x v="4"/>
          </reference>
          <reference field="4" count="1">
            <x v="3"/>
          </reference>
        </references>
      </pivotArea>
    </format>
    <format dxfId="3187">
      <pivotArea dataOnly="0" labelOnly="1" outline="0" fieldPosition="0">
        <references count="5">
          <reference field="0" count="1" selected="0">
            <x v="158"/>
          </reference>
          <reference field="1" count="1" selected="0">
            <x v="29"/>
          </reference>
          <reference field="2" count="1" selected="0">
            <x v="1"/>
          </reference>
          <reference field="3" count="1" selected="0">
            <x v="4"/>
          </reference>
          <reference field="4" count="1">
            <x v="2"/>
          </reference>
        </references>
      </pivotArea>
    </format>
    <format dxfId="3186">
      <pivotArea dataOnly="0" labelOnly="1" outline="0" fieldPosition="0">
        <references count="5">
          <reference field="0" count="1" selected="0">
            <x v="159"/>
          </reference>
          <reference field="1" count="1" selected="0">
            <x v="57"/>
          </reference>
          <reference field="2" count="1" selected="0">
            <x v="0"/>
          </reference>
          <reference field="3" count="1" selected="0">
            <x v="2"/>
          </reference>
          <reference field="4" count="1">
            <x v="3"/>
          </reference>
        </references>
      </pivotArea>
    </format>
    <format dxfId="3185">
      <pivotArea dataOnly="0" labelOnly="1" outline="0" fieldPosition="0">
        <references count="5">
          <reference field="0" count="1" selected="0">
            <x v="160"/>
          </reference>
          <reference field="1" count="1" selected="0">
            <x v="27"/>
          </reference>
          <reference field="2" count="1" selected="0">
            <x v="0"/>
          </reference>
          <reference field="3" count="1" selected="0">
            <x v="5"/>
          </reference>
          <reference field="4" count="1">
            <x v="2"/>
          </reference>
        </references>
      </pivotArea>
    </format>
    <format dxfId="3184">
      <pivotArea dataOnly="0" labelOnly="1" outline="0" fieldPosition="0">
        <references count="5">
          <reference field="0" count="1" selected="0">
            <x v="161"/>
          </reference>
          <reference field="1" count="1" selected="0">
            <x v="23"/>
          </reference>
          <reference field="2" count="1" selected="0">
            <x v="2"/>
          </reference>
          <reference field="3" count="1" selected="0">
            <x v="5"/>
          </reference>
          <reference field="4" count="1">
            <x v="1"/>
          </reference>
        </references>
      </pivotArea>
    </format>
    <format dxfId="3183">
      <pivotArea dataOnly="0" labelOnly="1" outline="0" fieldPosition="0">
        <references count="5">
          <reference field="0" count="1" selected="0">
            <x v="162"/>
          </reference>
          <reference field="1" count="1" selected="0">
            <x v="13"/>
          </reference>
          <reference field="2" count="1" selected="0">
            <x v="3"/>
          </reference>
          <reference field="3" count="1" selected="0">
            <x v="5"/>
          </reference>
          <reference field="4" count="1">
            <x v="3"/>
          </reference>
        </references>
      </pivotArea>
    </format>
    <format dxfId="3182">
      <pivotArea dataOnly="0" labelOnly="1" outline="0" fieldPosition="0">
        <references count="5">
          <reference field="0" count="1" selected="0">
            <x v="164"/>
          </reference>
          <reference field="1" count="1" selected="0">
            <x v="50"/>
          </reference>
          <reference field="2" count="1" selected="0">
            <x v="3"/>
          </reference>
          <reference field="3" count="1" selected="0">
            <x v="1"/>
          </reference>
          <reference field="4" count="1">
            <x v="2"/>
          </reference>
        </references>
      </pivotArea>
    </format>
    <format dxfId="3181">
      <pivotArea dataOnly="0" labelOnly="1" outline="0" fieldPosition="0">
        <references count="5">
          <reference field="0" count="1" selected="0">
            <x v="165"/>
          </reference>
          <reference field="1" count="1" selected="0">
            <x v="48"/>
          </reference>
          <reference field="2" count="1" selected="0">
            <x v="5"/>
          </reference>
          <reference field="3" count="1" selected="0">
            <x v="6"/>
          </reference>
          <reference field="4" count="1">
            <x v="3"/>
          </reference>
        </references>
      </pivotArea>
    </format>
    <format dxfId="3180">
      <pivotArea dataOnly="0" labelOnly="1" outline="0" fieldPosition="0">
        <references count="5">
          <reference field="0" count="1" selected="0">
            <x v="166"/>
          </reference>
          <reference field="1" count="1" selected="0">
            <x v="40"/>
          </reference>
          <reference field="2" count="1" selected="0">
            <x v="2"/>
          </reference>
          <reference field="3" count="1" selected="0">
            <x v="0"/>
          </reference>
          <reference field="4" count="1">
            <x v="1"/>
          </reference>
        </references>
      </pivotArea>
    </format>
    <format dxfId="3179">
      <pivotArea dataOnly="0" labelOnly="1" outline="0" fieldPosition="0">
        <references count="5">
          <reference field="0" count="1" selected="0">
            <x v="168"/>
          </reference>
          <reference field="1" count="1" selected="0">
            <x v="11"/>
          </reference>
          <reference field="2" count="1" selected="0">
            <x v="4"/>
          </reference>
          <reference field="3" count="1" selected="0">
            <x v="1"/>
          </reference>
          <reference field="4" count="1">
            <x v="0"/>
          </reference>
        </references>
      </pivotArea>
    </format>
    <format dxfId="3178">
      <pivotArea dataOnly="0" labelOnly="1" outline="0" fieldPosition="0">
        <references count="5">
          <reference field="0" count="1" selected="0">
            <x v="170"/>
          </reference>
          <reference field="1" count="1" selected="0">
            <x v="33"/>
          </reference>
          <reference field="2" count="1" selected="0">
            <x v="4"/>
          </reference>
          <reference field="3" count="1" selected="0">
            <x v="6"/>
          </reference>
          <reference field="4" count="1">
            <x v="4"/>
          </reference>
        </references>
      </pivotArea>
    </format>
    <format dxfId="3177">
      <pivotArea dataOnly="0" labelOnly="1" outline="0" fieldPosition="0">
        <references count="5">
          <reference field="0" count="1" selected="0">
            <x v="171"/>
          </reference>
          <reference field="1" count="1" selected="0">
            <x v="7"/>
          </reference>
          <reference field="2" count="1" selected="0">
            <x v="3"/>
          </reference>
          <reference field="3" count="1" selected="0">
            <x v="3"/>
          </reference>
          <reference field="4" count="1">
            <x v="1"/>
          </reference>
        </references>
      </pivotArea>
    </format>
    <format dxfId="3176">
      <pivotArea dataOnly="0" labelOnly="1" outline="0" fieldPosition="0">
        <references count="5">
          <reference field="0" count="1" selected="0">
            <x v="173"/>
          </reference>
          <reference field="1" count="1" selected="0">
            <x v="48"/>
          </reference>
          <reference field="2" count="1" selected="0">
            <x v="5"/>
          </reference>
          <reference field="3" count="1" selected="0">
            <x v="7"/>
          </reference>
          <reference field="4" count="1">
            <x v="3"/>
          </reference>
        </references>
      </pivotArea>
    </format>
    <format dxfId="3175">
      <pivotArea dataOnly="0" labelOnly="1" outline="0" fieldPosition="0">
        <references count="5">
          <reference field="0" count="1" selected="0">
            <x v="174"/>
          </reference>
          <reference field="1" count="1" selected="0">
            <x v="23"/>
          </reference>
          <reference field="2" count="1" selected="0">
            <x v="2"/>
          </reference>
          <reference field="3" count="1" selected="0">
            <x v="3"/>
          </reference>
          <reference field="4" count="1">
            <x v="2"/>
          </reference>
        </references>
      </pivotArea>
    </format>
    <format dxfId="3174">
      <pivotArea dataOnly="0" labelOnly="1" outline="0" fieldPosition="0">
        <references count="5">
          <reference field="0" count="1" selected="0">
            <x v="175"/>
          </reference>
          <reference field="1" count="1" selected="0">
            <x v="2"/>
          </reference>
          <reference field="2" count="1" selected="0">
            <x v="3"/>
          </reference>
          <reference field="3" count="1" selected="0">
            <x v="1"/>
          </reference>
          <reference field="4" count="1">
            <x v="0"/>
          </reference>
        </references>
      </pivotArea>
    </format>
    <format dxfId="3173">
      <pivotArea dataOnly="0" labelOnly="1" outline="0" fieldPosition="0">
        <references count="5">
          <reference field="0" count="1" selected="0">
            <x v="176"/>
          </reference>
          <reference field="1" count="1" selected="0">
            <x v="58"/>
          </reference>
          <reference field="2" count="1" selected="0">
            <x v="1"/>
          </reference>
          <reference field="3" count="1" selected="0">
            <x v="7"/>
          </reference>
          <reference field="4" count="1">
            <x v="1"/>
          </reference>
        </references>
      </pivotArea>
    </format>
    <format dxfId="3172">
      <pivotArea dataOnly="0" labelOnly="1" outline="0" fieldPosition="0">
        <references count="5">
          <reference field="0" count="1" selected="0">
            <x v="177"/>
          </reference>
          <reference field="1" count="1" selected="0">
            <x v="42"/>
          </reference>
          <reference field="2" count="1" selected="0">
            <x v="2"/>
          </reference>
          <reference field="3" count="1" selected="0">
            <x v="0"/>
          </reference>
          <reference field="4" count="1">
            <x v="4"/>
          </reference>
        </references>
      </pivotArea>
    </format>
    <format dxfId="3171">
      <pivotArea dataOnly="0" labelOnly="1" outline="0" fieldPosition="0">
        <references count="5">
          <reference field="0" count="1" selected="0">
            <x v="178"/>
          </reference>
          <reference field="1" count="1" selected="0">
            <x v="44"/>
          </reference>
          <reference field="2" count="1" selected="0">
            <x v="5"/>
          </reference>
          <reference field="3" count="1" selected="0">
            <x v="7"/>
          </reference>
          <reference field="4" count="1">
            <x v="0"/>
          </reference>
        </references>
      </pivotArea>
    </format>
    <format dxfId="3170">
      <pivotArea dataOnly="0" labelOnly="1" outline="0" fieldPosition="0">
        <references count="5">
          <reference field="0" count="1" selected="0">
            <x v="179"/>
          </reference>
          <reference field="1" count="1" selected="0">
            <x v="8"/>
          </reference>
          <reference field="2" count="1" selected="0">
            <x v="5"/>
          </reference>
          <reference field="3" count="1" selected="0">
            <x v="2"/>
          </reference>
          <reference field="4" count="1">
            <x v="3"/>
          </reference>
        </references>
      </pivotArea>
    </format>
    <format dxfId="3169">
      <pivotArea dataOnly="0" labelOnly="1" outline="0" fieldPosition="0">
        <references count="5">
          <reference field="0" count="1" selected="0">
            <x v="180"/>
          </reference>
          <reference field="1" count="1" selected="0">
            <x v="37"/>
          </reference>
          <reference field="2" count="1" selected="0">
            <x v="1"/>
          </reference>
          <reference field="3" count="1" selected="0">
            <x v="5"/>
          </reference>
          <reference field="4" count="1">
            <x v="1"/>
          </reference>
        </references>
      </pivotArea>
    </format>
    <format dxfId="3168">
      <pivotArea dataOnly="0" labelOnly="1" outline="0" fieldPosition="0">
        <references count="5">
          <reference field="0" count="1" selected="0">
            <x v="181"/>
          </reference>
          <reference field="1" count="1" selected="0">
            <x v="51"/>
          </reference>
          <reference field="2" count="1" selected="0">
            <x v="0"/>
          </reference>
          <reference field="3" count="1" selected="0">
            <x v="0"/>
          </reference>
          <reference field="4" count="1">
            <x v="2"/>
          </reference>
        </references>
      </pivotArea>
    </format>
    <format dxfId="3167">
      <pivotArea dataOnly="0" labelOnly="1" outline="0" fieldPosition="0">
        <references count="5">
          <reference field="0" count="1" selected="0">
            <x v="182"/>
          </reference>
          <reference field="1" count="1" selected="0">
            <x v="48"/>
          </reference>
          <reference field="2" count="1" selected="0">
            <x v="5"/>
          </reference>
          <reference field="3" count="1" selected="0">
            <x v="3"/>
          </reference>
          <reference field="4" count="1">
            <x v="0"/>
          </reference>
        </references>
      </pivotArea>
    </format>
    <format dxfId="3166">
      <pivotArea dataOnly="0" labelOnly="1" outline="0" fieldPosition="0">
        <references count="5">
          <reference field="0" count="1" selected="0">
            <x v="184"/>
          </reference>
          <reference field="1" count="1" selected="0">
            <x v="26"/>
          </reference>
          <reference field="2" count="1" selected="0">
            <x v="5"/>
          </reference>
          <reference field="3" count="1" selected="0">
            <x v="6"/>
          </reference>
          <reference field="4" count="1">
            <x v="3"/>
          </reference>
        </references>
      </pivotArea>
    </format>
    <format dxfId="3165">
      <pivotArea dataOnly="0" labelOnly="1" outline="0" fieldPosition="0">
        <references count="5">
          <reference field="0" count="1" selected="0">
            <x v="185"/>
          </reference>
          <reference field="1" count="1" selected="0">
            <x v="54"/>
          </reference>
          <reference field="2" count="1" selected="0">
            <x v="2"/>
          </reference>
          <reference field="3" count="1" selected="0">
            <x v="6"/>
          </reference>
          <reference field="4" count="1">
            <x v="1"/>
          </reference>
        </references>
      </pivotArea>
    </format>
    <format dxfId="3164">
      <pivotArea dataOnly="0" labelOnly="1" outline="0" fieldPosition="0">
        <references count="5">
          <reference field="0" count="1" selected="0">
            <x v="186"/>
          </reference>
          <reference field="1" count="1" selected="0">
            <x v="53"/>
          </reference>
          <reference field="2" count="1" selected="0">
            <x v="1"/>
          </reference>
          <reference field="3" count="1" selected="0">
            <x v="1"/>
          </reference>
          <reference field="4" count="1">
            <x v="0"/>
          </reference>
        </references>
      </pivotArea>
    </format>
    <format dxfId="3163">
      <pivotArea dataOnly="0" labelOnly="1" outline="0" fieldPosition="0">
        <references count="5">
          <reference field="0" count="1" selected="0">
            <x v="187"/>
          </reference>
          <reference field="1" count="1" selected="0">
            <x v="12"/>
          </reference>
          <reference field="2" count="1" selected="0">
            <x v="4"/>
          </reference>
          <reference field="3" count="1" selected="0">
            <x v="4"/>
          </reference>
          <reference field="4" count="1">
            <x v="1"/>
          </reference>
        </references>
      </pivotArea>
    </format>
    <format dxfId="3162">
      <pivotArea dataOnly="0" labelOnly="1" outline="0" fieldPosition="0">
        <references count="5">
          <reference field="0" count="1" selected="0">
            <x v="189"/>
          </reference>
          <reference field="1" count="1" selected="0">
            <x v="52"/>
          </reference>
          <reference field="2" count="1" selected="0">
            <x v="1"/>
          </reference>
          <reference field="3" count="1" selected="0">
            <x v="5"/>
          </reference>
          <reference field="4" count="1">
            <x v="0"/>
          </reference>
        </references>
      </pivotArea>
    </format>
    <format dxfId="3161">
      <pivotArea dataOnly="0" labelOnly="1" outline="0" fieldPosition="0">
        <references count="5">
          <reference field="0" count="1" selected="0">
            <x v="190"/>
          </reference>
          <reference field="1" count="1" selected="0">
            <x v="20"/>
          </reference>
          <reference field="2" count="1" selected="0">
            <x v="4"/>
          </reference>
          <reference field="3" count="1" selected="0">
            <x v="2"/>
          </reference>
          <reference field="4" count="1">
            <x v="3"/>
          </reference>
        </references>
      </pivotArea>
    </format>
    <format dxfId="3160">
      <pivotArea dataOnly="0" labelOnly="1" outline="0" fieldPosition="0">
        <references count="5">
          <reference field="0" count="1" selected="0">
            <x v="191"/>
          </reference>
          <reference field="1" count="1" selected="0">
            <x v="8"/>
          </reference>
          <reference field="2" count="1" selected="0">
            <x v="5"/>
          </reference>
          <reference field="3" count="1" selected="0">
            <x v="2"/>
          </reference>
          <reference field="4" count="1">
            <x v="1"/>
          </reference>
        </references>
      </pivotArea>
    </format>
    <format dxfId="3159">
      <pivotArea dataOnly="0" labelOnly="1" outline="0" fieldPosition="0">
        <references count="5">
          <reference field="0" count="1" selected="0">
            <x v="193"/>
          </reference>
          <reference field="1" count="1" selected="0">
            <x v="24"/>
          </reference>
          <reference field="2" count="1" selected="0">
            <x v="0"/>
          </reference>
          <reference field="3" count="1" selected="0">
            <x v="7"/>
          </reference>
          <reference field="4" count="1">
            <x v="0"/>
          </reference>
        </references>
      </pivotArea>
    </format>
    <format dxfId="3158">
      <pivotArea dataOnly="0" labelOnly="1" outline="0" fieldPosition="0">
        <references count="5">
          <reference field="0" count="1" selected="0">
            <x v="194"/>
          </reference>
          <reference field="1" count="1" selected="0">
            <x v="4"/>
          </reference>
          <reference field="2" count="1" selected="0">
            <x v="0"/>
          </reference>
          <reference field="3" count="1" selected="0">
            <x v="6"/>
          </reference>
          <reference field="4" count="1">
            <x v="3"/>
          </reference>
        </references>
      </pivotArea>
    </format>
    <format dxfId="3157">
      <pivotArea dataOnly="0" labelOnly="1" outline="0" fieldPosition="0">
        <references count="5">
          <reference field="0" count="1" selected="0">
            <x v="195"/>
          </reference>
          <reference field="1" count="1" selected="0">
            <x v="24"/>
          </reference>
          <reference field="2" count="1" selected="0">
            <x v="0"/>
          </reference>
          <reference field="3" count="1" selected="0">
            <x v="3"/>
          </reference>
          <reference field="4" count="1">
            <x v="4"/>
          </reference>
        </references>
      </pivotArea>
    </format>
    <format dxfId="3156">
      <pivotArea dataOnly="0" labelOnly="1" outline="0" fieldPosition="0">
        <references count="5">
          <reference field="0" count="1" selected="0">
            <x v="196"/>
          </reference>
          <reference field="1" count="1" selected="0">
            <x v="18"/>
          </reference>
          <reference field="2" count="1" selected="0">
            <x v="2"/>
          </reference>
          <reference field="3" count="1" selected="0">
            <x v="3"/>
          </reference>
          <reference field="4" count="1">
            <x v="3"/>
          </reference>
        </references>
      </pivotArea>
    </format>
    <format dxfId="3155">
      <pivotArea dataOnly="0" labelOnly="1" outline="0" fieldPosition="0">
        <references count="5">
          <reference field="0" count="1" selected="0">
            <x v="197"/>
          </reference>
          <reference field="1" count="1" selected="0">
            <x v="50"/>
          </reference>
          <reference field="2" count="1" selected="0">
            <x v="3"/>
          </reference>
          <reference field="3" count="1" selected="0">
            <x v="3"/>
          </reference>
          <reference field="4" count="1">
            <x v="2"/>
          </reference>
        </references>
      </pivotArea>
    </format>
    <format dxfId="3154">
      <pivotArea dataOnly="0" labelOnly="1" outline="0" fieldPosition="0">
        <references count="5">
          <reference field="0" count="1" selected="0">
            <x v="198"/>
          </reference>
          <reference field="1" count="1" selected="0">
            <x v="17"/>
          </reference>
          <reference field="2" count="1" selected="0">
            <x v="4"/>
          </reference>
          <reference field="3" count="1" selected="0">
            <x v="1"/>
          </reference>
          <reference field="4" count="1">
            <x v="4"/>
          </reference>
        </references>
      </pivotArea>
    </format>
    <format dxfId="3153">
      <pivotArea dataOnly="0" labelOnly="1" outline="0" fieldPosition="0">
        <references count="5">
          <reference field="0" count="1" selected="0">
            <x v="199"/>
          </reference>
          <reference field="1" count="1" selected="0">
            <x v="30"/>
          </reference>
          <reference field="2" count="1" selected="0">
            <x v="1"/>
          </reference>
          <reference field="3" count="1" selected="0">
            <x v="5"/>
          </reference>
          <reference field="4" count="1">
            <x v="3"/>
          </reference>
        </references>
      </pivotArea>
    </format>
    <format dxfId="3152">
      <pivotArea dataOnly="0" labelOnly="1" outline="0" fieldPosition="0">
        <references count="5">
          <reference field="0" count="1" selected="0">
            <x v="200"/>
          </reference>
          <reference field="1" count="1" selected="0">
            <x v="52"/>
          </reference>
          <reference field="2" count="1" selected="0">
            <x v="1"/>
          </reference>
          <reference field="3" count="1" selected="0">
            <x v="1"/>
          </reference>
          <reference field="4" count="1">
            <x v="1"/>
          </reference>
        </references>
      </pivotArea>
    </format>
    <format dxfId="3151">
      <pivotArea dataOnly="0" labelOnly="1" outline="0" fieldPosition="0">
        <references count="5">
          <reference field="0" count="1" selected="0">
            <x v="201"/>
          </reference>
          <reference field="1" count="1" selected="0">
            <x v="14"/>
          </reference>
          <reference field="2" count="1" selected="0">
            <x v="4"/>
          </reference>
          <reference field="3" count="1" selected="0">
            <x v="1"/>
          </reference>
          <reference field="4" count="1">
            <x v="3"/>
          </reference>
        </references>
      </pivotArea>
    </format>
    <format dxfId="3150">
      <pivotArea dataOnly="0" labelOnly="1" outline="0" fieldPosition="0">
        <references count="5">
          <reference field="0" count="1" selected="0">
            <x v="202"/>
          </reference>
          <reference field="1" count="1" selected="0">
            <x v="3"/>
          </reference>
          <reference field="2" count="1" selected="0">
            <x v="4"/>
          </reference>
          <reference field="3" count="1" selected="0">
            <x v="0"/>
          </reference>
          <reference field="4" count="1">
            <x v="1"/>
          </reference>
        </references>
      </pivotArea>
    </format>
    <format dxfId="3149">
      <pivotArea dataOnly="0" labelOnly="1" outline="0" fieldPosition="0">
        <references count="5">
          <reference field="0" count="1" selected="0">
            <x v="203"/>
          </reference>
          <reference field="1" count="1" selected="0">
            <x v="11"/>
          </reference>
          <reference field="2" count="1" selected="0">
            <x v="4"/>
          </reference>
          <reference field="3" count="1" selected="0">
            <x v="2"/>
          </reference>
          <reference field="4" count="1">
            <x v="4"/>
          </reference>
        </references>
      </pivotArea>
    </format>
    <format dxfId="3148">
      <pivotArea dataOnly="0" labelOnly="1" outline="0" fieldPosition="0">
        <references count="5">
          <reference field="0" count="1" selected="0">
            <x v="204"/>
          </reference>
          <reference field="1" count="1" selected="0">
            <x v="59"/>
          </reference>
          <reference field="2" count="1" selected="0">
            <x v="2"/>
          </reference>
          <reference field="3" count="1" selected="0">
            <x v="2"/>
          </reference>
          <reference field="4" count="1">
            <x v="1"/>
          </reference>
        </references>
      </pivotArea>
    </format>
    <format dxfId="3147">
      <pivotArea dataOnly="0" labelOnly="1" outline="0" fieldPosition="0">
        <references count="5">
          <reference field="0" count="1" selected="0">
            <x v="205"/>
          </reference>
          <reference field="1" count="1" selected="0">
            <x v="12"/>
          </reference>
          <reference field="2" count="1" selected="0">
            <x v="4"/>
          </reference>
          <reference field="3" count="1" selected="0">
            <x v="2"/>
          </reference>
          <reference field="4" count="1">
            <x v="2"/>
          </reference>
        </references>
      </pivotArea>
    </format>
    <format dxfId="3146">
      <pivotArea dataOnly="0" labelOnly="1" outline="0" fieldPosition="0">
        <references count="5">
          <reference field="0" count="1" selected="0">
            <x v="206"/>
          </reference>
          <reference field="1" count="1" selected="0">
            <x v="42"/>
          </reference>
          <reference field="2" count="1" selected="0">
            <x v="2"/>
          </reference>
          <reference field="3" count="1" selected="0">
            <x v="2"/>
          </reference>
          <reference field="4" count="1">
            <x v="0"/>
          </reference>
        </references>
      </pivotArea>
    </format>
    <format dxfId="3145">
      <pivotArea dataOnly="0" labelOnly="1" outline="0" fieldPosition="0">
        <references count="5">
          <reference field="0" count="1" selected="0">
            <x v="207"/>
          </reference>
          <reference field="1" count="1" selected="0">
            <x v="47"/>
          </reference>
          <reference field="2" count="1" selected="0">
            <x v="0"/>
          </reference>
          <reference field="3" count="1" selected="0">
            <x v="4"/>
          </reference>
          <reference field="4" count="1">
            <x v="3"/>
          </reference>
        </references>
      </pivotArea>
    </format>
    <format dxfId="3144">
      <pivotArea dataOnly="0" labelOnly="1" outline="0" fieldPosition="0">
        <references count="5">
          <reference field="0" count="1" selected="0">
            <x v="208"/>
          </reference>
          <reference field="1" count="1" selected="0">
            <x v="16"/>
          </reference>
          <reference field="2" count="1" selected="0">
            <x v="5"/>
          </reference>
          <reference field="3" count="1" selected="0">
            <x v="0"/>
          </reference>
          <reference field="4" count="1">
            <x v="2"/>
          </reference>
        </references>
      </pivotArea>
    </format>
    <format dxfId="3143">
      <pivotArea dataOnly="0" labelOnly="1" outline="0" fieldPosition="0">
        <references count="5">
          <reference field="0" count="1" selected="0">
            <x v="210"/>
          </reference>
          <reference field="1" count="1" selected="0">
            <x v="1"/>
          </reference>
          <reference field="2" count="1" selected="0">
            <x v="5"/>
          </reference>
          <reference field="3" count="1" selected="0">
            <x v="2"/>
          </reference>
          <reference field="4" count="1">
            <x v="3"/>
          </reference>
        </references>
      </pivotArea>
    </format>
    <format dxfId="3142">
      <pivotArea dataOnly="0" labelOnly="1" outline="0" fieldPosition="0">
        <references count="5">
          <reference field="0" count="1" selected="0">
            <x v="211"/>
          </reference>
          <reference field="1" count="1" selected="0">
            <x v="4"/>
          </reference>
          <reference field="2" count="1" selected="0">
            <x v="0"/>
          </reference>
          <reference field="3" count="1" selected="0">
            <x v="2"/>
          </reference>
          <reference field="4" count="1">
            <x v="4"/>
          </reference>
        </references>
      </pivotArea>
    </format>
    <format dxfId="3141">
      <pivotArea dataOnly="0" labelOnly="1" outline="0" fieldPosition="0">
        <references count="5">
          <reference field="0" count="1" selected="0">
            <x v="213"/>
          </reference>
          <reference field="1" count="1" selected="0">
            <x v="19"/>
          </reference>
          <reference field="2" count="1" selected="0">
            <x v="5"/>
          </reference>
          <reference field="3" count="1" selected="0">
            <x v="3"/>
          </reference>
          <reference field="4" count="1">
            <x v="2"/>
          </reference>
        </references>
      </pivotArea>
    </format>
    <format dxfId="3140">
      <pivotArea dataOnly="0" labelOnly="1" outline="0" fieldPosition="0">
        <references count="5">
          <reference field="0" count="1" selected="0">
            <x v="214"/>
          </reference>
          <reference field="1" count="1" selected="0">
            <x v="38"/>
          </reference>
          <reference field="2" count="1" selected="0">
            <x v="5"/>
          </reference>
          <reference field="3" count="1" selected="0">
            <x v="1"/>
          </reference>
          <reference field="4" count="1">
            <x v="3"/>
          </reference>
        </references>
      </pivotArea>
    </format>
    <format dxfId="3139">
      <pivotArea dataOnly="0" labelOnly="1" outline="0" fieldPosition="0">
        <references count="5">
          <reference field="0" count="1" selected="0">
            <x v="215"/>
          </reference>
          <reference field="1" count="1" selected="0">
            <x v="26"/>
          </reference>
          <reference field="2" count="1" selected="0">
            <x v="5"/>
          </reference>
          <reference field="3" count="1" selected="0">
            <x v="2"/>
          </reference>
          <reference field="4" count="1">
            <x v="0"/>
          </reference>
        </references>
      </pivotArea>
    </format>
    <format dxfId="3138">
      <pivotArea dataOnly="0" labelOnly="1" outline="0" fieldPosition="0">
        <references count="5">
          <reference field="0" count="1" selected="0">
            <x v="216"/>
          </reference>
          <reference field="1" count="1" selected="0">
            <x v="57"/>
          </reference>
          <reference field="2" count="1" selected="0">
            <x v="0"/>
          </reference>
          <reference field="3" count="1" selected="0">
            <x v="4"/>
          </reference>
          <reference field="4" count="1">
            <x v="1"/>
          </reference>
        </references>
      </pivotArea>
    </format>
    <format dxfId="3137">
      <pivotArea dataOnly="0" labelOnly="1" outline="0" fieldPosition="0">
        <references count="5">
          <reference field="0" count="1" selected="0">
            <x v="217"/>
          </reference>
          <reference field="1" count="1" selected="0">
            <x v="59"/>
          </reference>
          <reference field="2" count="1" selected="0">
            <x v="2"/>
          </reference>
          <reference field="3" count="1" selected="0">
            <x v="5"/>
          </reference>
          <reference field="4" count="1">
            <x v="3"/>
          </reference>
        </references>
      </pivotArea>
    </format>
    <format dxfId="3136">
      <pivotArea dataOnly="0" labelOnly="1" outline="0" fieldPosition="0">
        <references count="5">
          <reference field="0" count="1" selected="0">
            <x v="220"/>
          </reference>
          <reference field="1" count="1" selected="0">
            <x v="53"/>
          </reference>
          <reference field="2" count="1" selected="0">
            <x v="1"/>
          </reference>
          <reference field="3" count="1" selected="0">
            <x v="0"/>
          </reference>
          <reference field="4" count="1">
            <x v="1"/>
          </reference>
        </references>
      </pivotArea>
    </format>
    <format dxfId="3135">
      <pivotArea dataOnly="0" labelOnly="1" outline="0" fieldPosition="0">
        <references count="5">
          <reference field="0" count="1" selected="0">
            <x v="222"/>
          </reference>
          <reference field="1" count="1" selected="0">
            <x v="36"/>
          </reference>
          <reference field="2" count="1" selected="0">
            <x v="1"/>
          </reference>
          <reference field="3" count="1" selected="0">
            <x v="1"/>
          </reference>
          <reference field="4" count="1">
            <x v="4"/>
          </reference>
        </references>
      </pivotArea>
    </format>
    <format dxfId="3134">
      <pivotArea dataOnly="0" labelOnly="1" outline="0" fieldPosition="0">
        <references count="5">
          <reference field="0" count="1" selected="0">
            <x v="223"/>
          </reference>
          <reference field="1" count="1" selected="0">
            <x v="15"/>
          </reference>
          <reference field="2" count="1" selected="0">
            <x v="2"/>
          </reference>
          <reference field="3" count="1" selected="0">
            <x v="7"/>
          </reference>
          <reference field="4" count="1">
            <x v="1"/>
          </reference>
        </references>
      </pivotArea>
    </format>
    <format dxfId="3133">
      <pivotArea dataOnly="0" labelOnly="1" outline="0" fieldPosition="0">
        <references count="5">
          <reference field="0" count="1" selected="0">
            <x v="224"/>
          </reference>
          <reference field="1" count="1" selected="0">
            <x v="59"/>
          </reference>
          <reference field="2" count="1" selected="0">
            <x v="2"/>
          </reference>
          <reference field="3" count="1" selected="0">
            <x v="0"/>
          </reference>
          <reference field="4" count="1">
            <x v="0"/>
          </reference>
        </references>
      </pivotArea>
    </format>
    <format dxfId="3132">
      <pivotArea dataOnly="0" labelOnly="1" outline="0" fieldPosition="0">
        <references count="5">
          <reference field="0" count="1" selected="0">
            <x v="225"/>
          </reference>
          <reference field="1" count="1" selected="0">
            <x v="26"/>
          </reference>
          <reference field="2" count="1" selected="0">
            <x v="5"/>
          </reference>
          <reference field="3" count="1" selected="0">
            <x v="2"/>
          </reference>
          <reference field="4" count="1">
            <x v="2"/>
          </reference>
        </references>
      </pivotArea>
    </format>
    <format dxfId="3131">
      <pivotArea dataOnly="0" labelOnly="1" outline="0" fieldPosition="0">
        <references count="5">
          <reference field="0" count="1" selected="0">
            <x v="226"/>
          </reference>
          <reference field="1" count="1" selected="0">
            <x v="42"/>
          </reference>
          <reference field="2" count="1" selected="0">
            <x v="2"/>
          </reference>
          <reference field="3" count="1" selected="0">
            <x v="7"/>
          </reference>
          <reference field="4" count="1">
            <x v="3"/>
          </reference>
        </references>
      </pivotArea>
    </format>
    <format dxfId="3130">
      <pivotArea dataOnly="0" labelOnly="1" outline="0" fieldPosition="0">
        <references count="5">
          <reference field="0" count="1" selected="0">
            <x v="227"/>
          </reference>
          <reference field="1" count="1" selected="0">
            <x v="52"/>
          </reference>
          <reference field="2" count="1" selected="0">
            <x v="1"/>
          </reference>
          <reference field="3" count="1" selected="0">
            <x v="4"/>
          </reference>
          <reference field="4" count="1">
            <x v="4"/>
          </reference>
        </references>
      </pivotArea>
    </format>
    <format dxfId="3129">
      <pivotArea dataOnly="0" labelOnly="1" outline="0" fieldPosition="0">
        <references count="5">
          <reference field="0" count="1" selected="0">
            <x v="228"/>
          </reference>
          <reference field="1" count="1" selected="0">
            <x v="54"/>
          </reference>
          <reference field="2" count="1" selected="0">
            <x v="2"/>
          </reference>
          <reference field="3" count="1" selected="0">
            <x v="2"/>
          </reference>
          <reference field="4" count="1">
            <x v="3"/>
          </reference>
        </references>
      </pivotArea>
    </format>
    <format dxfId="3128">
      <pivotArea dataOnly="0" labelOnly="1" outline="0" fieldPosition="0">
        <references count="5">
          <reference field="0" count="1" selected="0">
            <x v="229"/>
          </reference>
          <reference field="1" count="1" selected="0">
            <x v="53"/>
          </reference>
          <reference field="2" count="1" selected="0">
            <x v="1"/>
          </reference>
          <reference field="3" count="1" selected="0">
            <x v="7"/>
          </reference>
          <reference field="4" count="1">
            <x v="0"/>
          </reference>
        </references>
      </pivotArea>
    </format>
    <format dxfId="3127">
      <pivotArea dataOnly="0" labelOnly="1" outline="0" fieldPosition="0">
        <references count="5">
          <reference field="0" count="1" selected="0">
            <x v="230"/>
          </reference>
          <reference field="1" count="1" selected="0">
            <x v="21"/>
          </reference>
          <reference field="2" count="1" selected="0">
            <x v="2"/>
          </reference>
          <reference field="3" count="1" selected="0">
            <x v="1"/>
          </reference>
          <reference field="4" count="1">
            <x v="3"/>
          </reference>
        </references>
      </pivotArea>
    </format>
    <format dxfId="3126">
      <pivotArea dataOnly="0" labelOnly="1" outline="0" fieldPosition="0">
        <references count="5">
          <reference field="0" count="1" selected="0">
            <x v="231"/>
          </reference>
          <reference field="1" count="1" selected="0">
            <x v="52"/>
          </reference>
          <reference field="2" count="1" selected="0">
            <x v="1"/>
          </reference>
          <reference field="3" count="1" selected="0">
            <x v="1"/>
          </reference>
          <reference field="4" count="1">
            <x v="4"/>
          </reference>
        </references>
      </pivotArea>
    </format>
    <format dxfId="3125">
      <pivotArea dataOnly="0" labelOnly="1" outline="0" fieldPosition="0">
        <references count="5">
          <reference field="0" count="1" selected="0">
            <x v="232"/>
          </reference>
          <reference field="1" count="1" selected="0">
            <x v="47"/>
          </reference>
          <reference field="2" count="1" selected="0">
            <x v="0"/>
          </reference>
          <reference field="3" count="1" selected="0">
            <x v="0"/>
          </reference>
          <reference field="4" count="1">
            <x v="1"/>
          </reference>
        </references>
      </pivotArea>
    </format>
    <format dxfId="3124">
      <pivotArea dataOnly="0" labelOnly="1" outline="0" fieldPosition="0">
        <references count="5">
          <reference field="0" count="1" selected="0">
            <x v="233"/>
          </reference>
          <reference field="1" count="1" selected="0">
            <x v="33"/>
          </reference>
          <reference field="2" count="1" selected="0">
            <x v="4"/>
          </reference>
          <reference field="3" count="1" selected="0">
            <x v="3"/>
          </reference>
          <reference field="4" count="1">
            <x v="0"/>
          </reference>
        </references>
      </pivotArea>
    </format>
    <format dxfId="3123">
      <pivotArea dataOnly="0" labelOnly="1" outline="0" fieldPosition="0">
        <references count="5">
          <reference field="0" count="1" selected="0">
            <x v="235"/>
          </reference>
          <reference field="1" count="1" selected="0">
            <x v="38"/>
          </reference>
          <reference field="2" count="1" selected="0">
            <x v="5"/>
          </reference>
          <reference field="3" count="1" selected="0">
            <x v="2"/>
          </reference>
          <reference field="4" count="1">
            <x v="4"/>
          </reference>
        </references>
      </pivotArea>
    </format>
    <format dxfId="3122">
      <pivotArea dataOnly="0" labelOnly="1" outline="0" fieldPosition="0">
        <references count="5">
          <reference field="0" count="1" selected="0">
            <x v="236"/>
          </reference>
          <reference field="1" count="1" selected="0">
            <x v="7"/>
          </reference>
          <reference field="2" count="1" selected="0">
            <x v="3"/>
          </reference>
          <reference field="3" count="1" selected="0">
            <x v="1"/>
          </reference>
          <reference field="4" count="1">
            <x v="0"/>
          </reference>
        </references>
      </pivotArea>
    </format>
    <format dxfId="3121">
      <pivotArea dataOnly="0" labelOnly="1" outline="0" fieldPosition="0">
        <references count="5">
          <reference field="0" count="1" selected="0">
            <x v="237"/>
          </reference>
          <reference field="1" count="1" selected="0">
            <x v="55"/>
          </reference>
          <reference field="2" count="1" selected="0">
            <x v="1"/>
          </reference>
          <reference field="3" count="1" selected="0">
            <x v="2"/>
          </reference>
          <reference field="4" count="1">
            <x v="4"/>
          </reference>
        </references>
      </pivotArea>
    </format>
    <format dxfId="3120">
      <pivotArea dataOnly="0" labelOnly="1" outline="0" fieldPosition="0">
        <references count="5">
          <reference field="0" count="1" selected="0">
            <x v="238"/>
          </reference>
          <reference field="1" count="1" selected="0">
            <x v="9"/>
          </reference>
          <reference field="2" count="1" selected="0">
            <x v="3"/>
          </reference>
          <reference field="3" count="1" selected="0">
            <x v="2"/>
          </reference>
          <reference field="4" count="1">
            <x v="0"/>
          </reference>
        </references>
      </pivotArea>
    </format>
    <format dxfId="3119">
      <pivotArea dataOnly="0" labelOnly="1" outline="0" fieldPosition="0">
        <references count="5">
          <reference field="0" count="1" selected="0">
            <x v="239"/>
          </reference>
          <reference field="1" count="1" selected="0">
            <x v="3"/>
          </reference>
          <reference field="2" count="1" selected="0">
            <x v="4"/>
          </reference>
          <reference field="3" count="1" selected="0">
            <x v="1"/>
          </reference>
          <reference field="4" count="1">
            <x v="2"/>
          </reference>
        </references>
      </pivotArea>
    </format>
    <format dxfId="3118">
      <pivotArea dataOnly="0" labelOnly="1" outline="0" fieldPosition="0">
        <references count="5">
          <reference field="0" count="1" selected="0">
            <x v="241"/>
          </reference>
          <reference field="1" count="1" selected="0">
            <x v="58"/>
          </reference>
          <reference field="2" count="1" selected="0">
            <x v="1"/>
          </reference>
          <reference field="3" count="1" selected="0">
            <x v="5"/>
          </reference>
          <reference field="4" count="1">
            <x v="0"/>
          </reference>
        </references>
      </pivotArea>
    </format>
    <format dxfId="3117">
      <pivotArea dataOnly="0" labelOnly="1" outline="0" fieldPosition="0">
        <references count="5">
          <reference field="0" count="1" selected="0">
            <x v="243"/>
          </reference>
          <reference field="1" count="1" selected="0">
            <x v="19"/>
          </reference>
          <reference field="2" count="1" selected="0">
            <x v="5"/>
          </reference>
          <reference field="3" count="1" selected="0">
            <x v="3"/>
          </reference>
          <reference field="4" count="1">
            <x v="4"/>
          </reference>
        </references>
      </pivotArea>
    </format>
    <format dxfId="3116">
      <pivotArea dataOnly="0" labelOnly="1" outline="0" fieldPosition="0">
        <references count="5">
          <reference field="0" count="1" selected="0">
            <x v="244"/>
          </reference>
          <reference field="1" count="1" selected="0">
            <x v="34"/>
          </reference>
          <reference field="2" count="1" selected="0">
            <x v="5"/>
          </reference>
          <reference field="3" count="1" selected="0">
            <x v="5"/>
          </reference>
          <reference field="4" count="1">
            <x v="3"/>
          </reference>
        </references>
      </pivotArea>
    </format>
    <format dxfId="3115">
      <pivotArea dataOnly="0" labelOnly="1" outline="0" fieldPosition="0">
        <references count="5">
          <reference field="0" count="1" selected="0">
            <x v="245"/>
          </reference>
          <reference field="1" count="1" selected="0">
            <x v="40"/>
          </reference>
          <reference field="2" count="1" selected="0">
            <x v="2"/>
          </reference>
          <reference field="3" count="1" selected="0">
            <x v="3"/>
          </reference>
          <reference field="4" count="1">
            <x v="2"/>
          </reference>
        </references>
      </pivotArea>
    </format>
    <format dxfId="3114">
      <pivotArea dataOnly="0" labelOnly="1" outline="0" fieldPosition="0">
        <references count="5">
          <reference field="0" count="1" selected="0">
            <x v="246"/>
          </reference>
          <reference field="1" count="1" selected="0">
            <x v="37"/>
          </reference>
          <reference field="2" count="1" selected="0">
            <x v="1"/>
          </reference>
          <reference field="3" count="1" selected="0">
            <x v="2"/>
          </reference>
          <reference field="4" count="1">
            <x v="4"/>
          </reference>
        </references>
      </pivotArea>
    </format>
    <format dxfId="3113">
      <pivotArea dataOnly="0" labelOnly="1" outline="0" fieldPosition="0">
        <references count="5">
          <reference field="0" count="1" selected="0">
            <x v="247"/>
          </reference>
          <reference field="1" count="1" selected="0">
            <x v="40"/>
          </reference>
          <reference field="2" count="1" selected="0">
            <x v="2"/>
          </reference>
          <reference field="3" count="1" selected="0">
            <x v="3"/>
          </reference>
          <reference field="4" count="1">
            <x v="0"/>
          </reference>
        </references>
      </pivotArea>
    </format>
    <format dxfId="3112">
      <pivotArea dataOnly="0" labelOnly="1" outline="0" fieldPosition="0">
        <references count="5">
          <reference field="0" count="1" selected="0">
            <x v="249"/>
          </reference>
          <reference field="1" count="1" selected="0">
            <x v="43"/>
          </reference>
          <reference field="2" count="1" selected="0">
            <x v="0"/>
          </reference>
          <reference field="3" count="1" selected="0">
            <x v="3"/>
          </reference>
          <reference field="4" count="1">
            <x v="3"/>
          </reference>
        </references>
      </pivotArea>
    </format>
    <format dxfId="3111">
      <pivotArea dataOnly="0" labelOnly="1" outline="0" fieldPosition="0">
        <references count="5">
          <reference field="0" count="1" selected="0">
            <x v="250"/>
          </reference>
          <reference field="1" count="1" selected="0">
            <x v="39"/>
          </reference>
          <reference field="2" count="1" selected="0">
            <x v="2"/>
          </reference>
          <reference field="3" count="1" selected="0">
            <x v="1"/>
          </reference>
          <reference field="4" count="1">
            <x v="1"/>
          </reference>
        </references>
      </pivotArea>
    </format>
    <format dxfId="3110">
      <pivotArea dataOnly="0" labelOnly="1" outline="0" fieldPosition="0">
        <references count="5">
          <reference field="0" count="1" selected="0">
            <x v="251"/>
          </reference>
          <reference field="1" count="1" selected="0">
            <x v="35"/>
          </reference>
          <reference field="2" count="1" selected="0">
            <x v="4"/>
          </reference>
          <reference field="3" count="1" selected="0">
            <x v="7"/>
          </reference>
          <reference field="4" count="1">
            <x v="0"/>
          </reference>
        </references>
      </pivotArea>
    </format>
    <format dxfId="3109">
      <pivotArea dataOnly="0" labelOnly="1" outline="0" fieldPosition="0">
        <references count="5">
          <reference field="0" count="1" selected="0">
            <x v="252"/>
          </reference>
          <reference field="1" count="1" selected="0">
            <x v="12"/>
          </reference>
          <reference field="2" count="1" selected="0">
            <x v="4"/>
          </reference>
          <reference field="3" count="1" selected="0">
            <x v="1"/>
          </reference>
          <reference field="4" count="1">
            <x v="4"/>
          </reference>
        </references>
      </pivotArea>
    </format>
    <format dxfId="3108">
      <pivotArea dataOnly="0" labelOnly="1" outline="0" fieldPosition="0">
        <references count="5">
          <reference field="0" count="1" selected="0">
            <x v="253"/>
          </reference>
          <reference field="1" count="1" selected="0">
            <x v="28"/>
          </reference>
          <reference field="2" count="1" selected="0">
            <x v="3"/>
          </reference>
          <reference field="3" count="1" selected="0">
            <x v="6"/>
          </reference>
          <reference field="4" count="1">
            <x v="1"/>
          </reference>
        </references>
      </pivotArea>
    </format>
    <format dxfId="3107">
      <pivotArea dataOnly="0" labelOnly="1" outline="0" fieldPosition="0">
        <references count="5">
          <reference field="0" count="1" selected="0">
            <x v="254"/>
          </reference>
          <reference field="1" count="1" selected="0">
            <x v="48"/>
          </reference>
          <reference field="2" count="1" selected="0">
            <x v="5"/>
          </reference>
          <reference field="3" count="1" selected="0">
            <x v="7"/>
          </reference>
          <reference field="4" count="1">
            <x v="4"/>
          </reference>
        </references>
      </pivotArea>
    </format>
    <format dxfId="3106">
      <pivotArea dataOnly="0" labelOnly="1" outline="0" fieldPosition="0">
        <references count="5">
          <reference field="0" count="1" selected="0">
            <x v="255"/>
          </reference>
          <reference field="1" count="1" selected="0">
            <x v="20"/>
          </reference>
          <reference field="2" count="1" selected="0">
            <x v="4"/>
          </reference>
          <reference field="3" count="1" selected="0">
            <x v="3"/>
          </reference>
          <reference field="4" count="1">
            <x v="3"/>
          </reference>
        </references>
      </pivotArea>
    </format>
    <format dxfId="3105">
      <pivotArea dataOnly="0" labelOnly="1" outline="0" fieldPosition="0">
        <references count="5">
          <reference field="0" count="1" selected="0">
            <x v="256"/>
          </reference>
          <reference field="1" count="1" selected="0">
            <x v="24"/>
          </reference>
          <reference field="2" count="1" selected="0">
            <x v="0"/>
          </reference>
          <reference field="3" count="1" selected="0">
            <x v="1"/>
          </reference>
          <reference field="4" count="1">
            <x v="1"/>
          </reference>
        </references>
      </pivotArea>
    </format>
    <format dxfId="3104">
      <pivotArea dataOnly="0" labelOnly="1" outline="0" fieldPosition="0">
        <references count="5">
          <reference field="0" count="1" selected="0">
            <x v="257"/>
          </reference>
          <reference field="1" count="1" selected="0">
            <x v="8"/>
          </reference>
          <reference field="2" count="1" selected="0">
            <x v="5"/>
          </reference>
          <reference field="3" count="1" selected="0">
            <x v="0"/>
          </reference>
          <reference field="4" count="1">
            <x v="0"/>
          </reference>
        </references>
      </pivotArea>
    </format>
    <format dxfId="3103">
      <pivotArea dataOnly="0" labelOnly="1" outline="0" fieldPosition="0">
        <references count="5">
          <reference field="0" count="1" selected="0">
            <x v="258"/>
          </reference>
          <reference field="1" count="1" selected="0">
            <x v="52"/>
          </reference>
          <reference field="2" count="1" selected="0">
            <x v="1"/>
          </reference>
          <reference field="3" count="1" selected="0">
            <x v="0"/>
          </reference>
          <reference field="4" count="1">
            <x v="1"/>
          </reference>
        </references>
      </pivotArea>
    </format>
    <format dxfId="3102">
      <pivotArea dataOnly="0" labelOnly="1" outline="0" fieldPosition="0">
        <references count="5">
          <reference field="0" count="1" selected="0">
            <x v="259"/>
          </reference>
          <reference field="1" count="1" selected="0">
            <x v="54"/>
          </reference>
          <reference field="2" count="1" selected="0">
            <x v="2"/>
          </reference>
          <reference field="3" count="1" selected="0">
            <x v="1"/>
          </reference>
          <reference field="4" count="1">
            <x v="4"/>
          </reference>
        </references>
      </pivotArea>
    </format>
    <format dxfId="3101">
      <pivotArea dataOnly="0" labelOnly="1" outline="0" fieldPosition="0">
        <references count="5">
          <reference field="0" count="1" selected="0">
            <x v="260"/>
          </reference>
          <reference field="1" count="1" selected="0">
            <x v="8"/>
          </reference>
          <reference field="2" count="1" selected="0">
            <x v="5"/>
          </reference>
          <reference field="3" count="1" selected="0">
            <x v="7"/>
          </reference>
          <reference field="4" count="1">
            <x v="3"/>
          </reference>
        </references>
      </pivotArea>
    </format>
    <format dxfId="3100">
      <pivotArea dataOnly="0" labelOnly="1" outline="0" fieldPosition="0">
        <references count="5">
          <reference field="0" count="1" selected="0">
            <x v="261"/>
          </reference>
          <reference field="1" count="1" selected="0">
            <x v="11"/>
          </reference>
          <reference field="2" count="1" selected="0">
            <x v="4"/>
          </reference>
          <reference field="3" count="1" selected="0">
            <x v="4"/>
          </reference>
          <reference field="4" count="1">
            <x v="0"/>
          </reference>
        </references>
      </pivotArea>
    </format>
    <format dxfId="3099">
      <pivotArea dataOnly="0" labelOnly="1" outline="0" fieldPosition="0">
        <references count="5">
          <reference field="0" count="1" selected="0">
            <x v="262"/>
          </reference>
          <reference field="1" count="1" selected="0">
            <x v="51"/>
          </reference>
          <reference field="2" count="1" selected="0">
            <x v="0"/>
          </reference>
          <reference field="3" count="1" selected="0">
            <x v="7"/>
          </reference>
          <reference field="4" count="1">
            <x v="3"/>
          </reference>
        </references>
      </pivotArea>
    </format>
    <format dxfId="3098">
      <pivotArea dataOnly="0" labelOnly="1" outline="0" fieldPosition="0">
        <references count="5">
          <reference field="0" count="1" selected="0">
            <x v="263"/>
          </reference>
          <reference field="1" count="1" selected="0">
            <x v="50"/>
          </reference>
          <reference field="2" count="1" selected="0">
            <x v="3"/>
          </reference>
          <reference field="3" count="1" selected="0">
            <x v="6"/>
          </reference>
          <reference field="4" count="1">
            <x v="1"/>
          </reference>
        </references>
      </pivotArea>
    </format>
    <format dxfId="3097">
      <pivotArea dataOnly="0" labelOnly="1" outline="0" fieldPosition="0">
        <references count="5">
          <reference field="0" count="1" selected="0">
            <x v="265"/>
          </reference>
          <reference field="1" count="1" selected="0">
            <x v="18"/>
          </reference>
          <reference field="2" count="1" selected="0">
            <x v="2"/>
          </reference>
          <reference field="3" count="1" selected="0">
            <x v="7"/>
          </reference>
          <reference field="4" count="1">
            <x v="3"/>
          </reference>
        </references>
      </pivotArea>
    </format>
    <format dxfId="3096">
      <pivotArea dataOnly="0" labelOnly="1" outline="0" fieldPosition="0">
        <references count="5">
          <reference field="0" count="1" selected="0">
            <x v="267"/>
          </reference>
          <reference field="1" count="1" selected="0">
            <x v="32"/>
          </reference>
          <reference field="2" count="1" selected="0">
            <x v="1"/>
          </reference>
          <reference field="3" count="1" selected="0">
            <x v="7"/>
          </reference>
          <reference field="4" count="1">
            <x v="2"/>
          </reference>
        </references>
      </pivotArea>
    </format>
    <format dxfId="3095">
      <pivotArea dataOnly="0" labelOnly="1" outline="0" fieldPosition="0">
        <references count="5">
          <reference field="0" count="1" selected="0">
            <x v="268"/>
          </reference>
          <reference field="1" count="1" selected="0">
            <x v="18"/>
          </reference>
          <reference field="2" count="1" selected="0">
            <x v="2"/>
          </reference>
          <reference field="3" count="1" selected="0">
            <x v="2"/>
          </reference>
          <reference field="4" count="1">
            <x v="3"/>
          </reference>
        </references>
      </pivotArea>
    </format>
    <format dxfId="3094">
      <pivotArea dataOnly="0" labelOnly="1" outline="0" fieldPosition="0">
        <references count="5">
          <reference field="0" count="1" selected="0">
            <x v="269"/>
          </reference>
          <reference field="1" count="1" selected="0">
            <x v="26"/>
          </reference>
          <reference field="2" count="1" selected="0">
            <x v="5"/>
          </reference>
          <reference field="3" count="1" selected="0">
            <x v="2"/>
          </reference>
          <reference field="4" count="1">
            <x v="0"/>
          </reference>
        </references>
      </pivotArea>
    </format>
    <format dxfId="3093">
      <pivotArea dataOnly="0" labelOnly="1" outline="0" fieldPosition="0">
        <references count="5">
          <reference field="0" count="1" selected="0">
            <x v="270"/>
          </reference>
          <reference field="1" count="1" selected="0">
            <x v="5"/>
          </reference>
          <reference field="2" count="1" selected="0">
            <x v="0"/>
          </reference>
          <reference field="3" count="1" selected="0">
            <x v="2"/>
          </reference>
          <reference field="4" count="1">
            <x v="2"/>
          </reference>
        </references>
      </pivotArea>
    </format>
    <format dxfId="3092">
      <pivotArea dataOnly="0" labelOnly="1" outline="0" fieldPosition="0">
        <references count="5">
          <reference field="0" count="1" selected="0">
            <x v="272"/>
          </reference>
          <reference field="1" count="1" selected="0">
            <x v="40"/>
          </reference>
          <reference field="2" count="1" selected="0">
            <x v="2"/>
          </reference>
          <reference field="3" count="1" selected="0">
            <x v="4"/>
          </reference>
          <reference field="4" count="1">
            <x v="3"/>
          </reference>
        </references>
      </pivotArea>
    </format>
    <format dxfId="3091">
      <pivotArea dataOnly="0" labelOnly="1" outline="0" fieldPosition="0">
        <references count="5">
          <reference field="0" count="1" selected="0">
            <x v="273"/>
          </reference>
          <reference field="1" count="1" selected="0">
            <x v="54"/>
          </reference>
          <reference field="2" count="1" selected="0">
            <x v="2"/>
          </reference>
          <reference field="3" count="1" selected="0">
            <x v="1"/>
          </reference>
          <reference field="4" count="1">
            <x v="4"/>
          </reference>
        </references>
      </pivotArea>
    </format>
    <format dxfId="3090">
      <pivotArea dataOnly="0" labelOnly="1" outline="0" fieldPosition="0">
        <references count="5">
          <reference field="0" count="1" selected="0">
            <x v="274"/>
          </reference>
          <reference field="1" count="1" selected="0">
            <x v="32"/>
          </reference>
          <reference field="2" count="1" selected="0">
            <x v="1"/>
          </reference>
          <reference field="3" count="1" selected="0">
            <x v="2"/>
          </reference>
          <reference field="4" count="1">
            <x v="1"/>
          </reference>
        </references>
      </pivotArea>
    </format>
    <format dxfId="3089">
      <pivotArea dataOnly="0" labelOnly="1" outline="0" fieldPosition="0">
        <references count="5">
          <reference field="0" count="1" selected="0">
            <x v="275"/>
          </reference>
          <reference field="1" count="1" selected="0">
            <x v="47"/>
          </reference>
          <reference field="2" count="1" selected="0">
            <x v="0"/>
          </reference>
          <reference field="3" count="1" selected="0">
            <x v="2"/>
          </reference>
          <reference field="4" count="1">
            <x v="3"/>
          </reference>
        </references>
      </pivotArea>
    </format>
    <format dxfId="3088">
      <pivotArea dataOnly="0" labelOnly="1" outline="0" fieldPosition="0">
        <references count="5">
          <reference field="0" count="1" selected="0">
            <x v="280"/>
          </reference>
          <reference field="1" count="1" selected="0">
            <x v="39"/>
          </reference>
          <reference field="2" count="1" selected="0">
            <x v="2"/>
          </reference>
          <reference field="3" count="1" selected="0">
            <x v="2"/>
          </reference>
          <reference field="4" count="1">
            <x v="0"/>
          </reference>
        </references>
      </pivotArea>
    </format>
    <format dxfId="3087">
      <pivotArea dataOnly="0" labelOnly="1" outline="0" fieldPosition="0">
        <references count="5">
          <reference field="0" count="1" selected="0">
            <x v="281"/>
          </reference>
          <reference field="1" count="1" selected="0">
            <x v="51"/>
          </reference>
          <reference field="2" count="1" selected="0">
            <x v="0"/>
          </reference>
          <reference field="3" count="1" selected="0">
            <x v="0"/>
          </reference>
          <reference field="4" count="1">
            <x v="1"/>
          </reference>
        </references>
      </pivotArea>
    </format>
    <format dxfId="3086">
      <pivotArea dataOnly="0" labelOnly="1" outline="0" fieldPosition="0">
        <references count="5">
          <reference field="0" count="1" selected="0">
            <x v="282"/>
          </reference>
          <reference field="1" count="1" selected="0">
            <x v="1"/>
          </reference>
          <reference field="2" count="1" selected="0">
            <x v="5"/>
          </reference>
          <reference field="3" count="1" selected="0">
            <x v="4"/>
          </reference>
          <reference field="4" count="1">
            <x v="3"/>
          </reference>
        </references>
      </pivotArea>
    </format>
    <format dxfId="3085">
      <pivotArea dataOnly="0" labelOnly="1" outline="0" fieldPosition="0">
        <references count="5">
          <reference field="0" count="1" selected="0">
            <x v="283"/>
          </reference>
          <reference field="1" count="1" selected="0">
            <x v="18"/>
          </reference>
          <reference field="2" count="1" selected="0">
            <x v="2"/>
          </reference>
          <reference field="3" count="1" selected="0">
            <x v="2"/>
          </reference>
          <reference field="4" count="1">
            <x v="2"/>
          </reference>
        </references>
      </pivotArea>
    </format>
    <format dxfId="3084">
      <pivotArea dataOnly="0" labelOnly="1" outline="0" fieldPosition="0">
        <references count="5">
          <reference field="0" count="1" selected="0">
            <x v="284"/>
          </reference>
          <reference field="1" count="1" selected="0">
            <x v="34"/>
          </reference>
          <reference field="2" count="1" selected="0">
            <x v="5"/>
          </reference>
          <reference field="3" count="1" selected="0">
            <x v="1"/>
          </reference>
          <reference field="4" count="1">
            <x v="0"/>
          </reference>
        </references>
      </pivotArea>
    </format>
    <format dxfId="3083">
      <pivotArea dataOnly="0" labelOnly="1" outline="0" fieldPosition="0">
        <references count="5">
          <reference field="0" count="1" selected="0">
            <x v="285"/>
          </reference>
          <reference field="1" count="1" selected="0">
            <x v="58"/>
          </reference>
          <reference field="2" count="1" selected="0">
            <x v="1"/>
          </reference>
          <reference field="3" count="1" selected="0">
            <x v="2"/>
          </reference>
          <reference field="4" count="1">
            <x v="2"/>
          </reference>
        </references>
      </pivotArea>
    </format>
    <format dxfId="3082">
      <pivotArea dataOnly="0" labelOnly="1" outline="0" fieldPosition="0">
        <references count="5">
          <reference field="0" count="1" selected="0">
            <x v="287"/>
          </reference>
          <reference field="1" count="1" selected="0">
            <x v="27"/>
          </reference>
          <reference field="2" count="1" selected="0">
            <x v="0"/>
          </reference>
          <reference field="3" count="1" selected="0">
            <x v="3"/>
          </reference>
          <reference field="4" count="1">
            <x v="4"/>
          </reference>
        </references>
      </pivotArea>
    </format>
    <format dxfId="3081">
      <pivotArea dataOnly="0" labelOnly="1" outline="0" fieldPosition="0">
        <references count="5">
          <reference field="0" count="1" selected="0">
            <x v="288"/>
          </reference>
          <reference field="1" count="1" selected="0">
            <x v="46"/>
          </reference>
          <reference field="2" count="1" selected="0">
            <x v="3"/>
          </reference>
          <reference field="3" count="1" selected="0">
            <x v="4"/>
          </reference>
          <reference field="4" count="1">
            <x v="0"/>
          </reference>
        </references>
      </pivotArea>
    </format>
    <format dxfId="3080">
      <pivotArea dataOnly="0" labelOnly="1" outline="0" fieldPosition="0">
        <references count="5">
          <reference field="0" count="1" selected="0">
            <x v="290"/>
          </reference>
          <reference field="1" count="1" selected="0">
            <x v="41"/>
          </reference>
          <reference field="2" count="1" selected="0">
            <x v="0"/>
          </reference>
          <reference field="3" count="1" selected="0">
            <x v="3"/>
          </reference>
          <reference field="4" count="1">
            <x v="4"/>
          </reference>
        </references>
      </pivotArea>
    </format>
    <format dxfId="3079">
      <pivotArea dataOnly="0" labelOnly="1" outline="0" fieldPosition="0">
        <references count="5">
          <reference field="0" count="1" selected="0">
            <x v="291"/>
          </reference>
          <reference field="1" count="1" selected="0">
            <x v="3"/>
          </reference>
          <reference field="2" count="1" selected="0">
            <x v="4"/>
          </reference>
          <reference field="3" count="1" selected="0">
            <x v="2"/>
          </reference>
          <reference field="4" count="1">
            <x v="3"/>
          </reference>
        </references>
      </pivotArea>
    </format>
    <format dxfId="3078">
      <pivotArea dataOnly="0" labelOnly="1" outline="0" fieldPosition="0">
        <references count="5">
          <reference field="0" count="1" selected="0">
            <x v="292"/>
          </reference>
          <reference field="1" count="1" selected="0">
            <x v="56"/>
          </reference>
          <reference field="2" count="1" selected="0">
            <x v="4"/>
          </reference>
          <reference field="3" count="1" selected="0">
            <x v="5"/>
          </reference>
          <reference field="4" count="1">
            <x v="2"/>
          </reference>
        </references>
      </pivotArea>
    </format>
    <format dxfId="3077">
      <pivotArea dataOnly="0" labelOnly="1" outline="0" fieldPosition="0">
        <references count="5">
          <reference field="0" count="1" selected="0">
            <x v="293"/>
          </reference>
          <reference field="1" count="1" selected="0">
            <x v="25"/>
          </reference>
          <reference field="2" count="1" selected="0">
            <x v="1"/>
          </reference>
          <reference field="3" count="1" selected="0">
            <x v="5"/>
          </reference>
          <reference field="4" count="1">
            <x v="3"/>
          </reference>
        </references>
      </pivotArea>
    </format>
    <format dxfId="3076">
      <pivotArea dataOnly="0" labelOnly="1" outline="0" fieldPosition="0">
        <references count="5">
          <reference field="0" count="1" selected="0">
            <x v="294"/>
          </reference>
          <reference field="1" count="1" selected="0">
            <x v="14"/>
          </reference>
          <reference field="2" count="1" selected="0">
            <x v="4"/>
          </reference>
          <reference field="3" count="1" selected="0">
            <x v="0"/>
          </reference>
          <reference field="4" count="1">
            <x v="0"/>
          </reference>
        </references>
      </pivotArea>
    </format>
    <format dxfId="3075">
      <pivotArea dataOnly="0" labelOnly="1" outline="0" fieldPosition="0">
        <references count="5">
          <reference field="0" count="1" selected="0">
            <x v="295"/>
          </reference>
          <reference field="1" count="1" selected="0">
            <x v="5"/>
          </reference>
          <reference field="2" count="1" selected="0">
            <x v="0"/>
          </reference>
          <reference field="3" count="1" selected="0">
            <x v="4"/>
          </reference>
          <reference field="4" count="1">
            <x v="4"/>
          </reference>
        </references>
      </pivotArea>
    </format>
    <format dxfId="3074">
      <pivotArea dataOnly="0" labelOnly="1" outline="0" fieldPosition="0">
        <references count="5">
          <reference field="0" count="1" selected="0">
            <x v="297"/>
          </reference>
          <reference field="1" count="1" selected="0">
            <x v="20"/>
          </reference>
          <reference field="2" count="1" selected="0">
            <x v="4"/>
          </reference>
          <reference field="3" count="1" selected="0">
            <x v="0"/>
          </reference>
          <reference field="4" count="1">
            <x v="3"/>
          </reference>
        </references>
      </pivotArea>
    </format>
    <format dxfId="3073">
      <pivotArea dataOnly="0" labelOnly="1" outline="0" fieldPosition="0">
        <references count="5">
          <reference field="0" count="1" selected="0">
            <x v="298"/>
          </reference>
          <reference field="1" count="1" selected="0">
            <x v="42"/>
          </reference>
          <reference field="2" count="1" selected="0">
            <x v="2"/>
          </reference>
          <reference field="3" count="1" selected="0">
            <x v="2"/>
          </reference>
          <reference field="4" count="1">
            <x v="1"/>
          </reference>
        </references>
      </pivotArea>
    </format>
    <format dxfId="3072">
      <pivotArea dataOnly="0" labelOnly="1" outline="0" fieldPosition="0">
        <references count="6">
          <reference field="0" count="1" selected="0">
            <x v="0"/>
          </reference>
          <reference field="1" count="1" selected="0">
            <x v="0"/>
          </reference>
          <reference field="2" count="1" selected="0">
            <x v="0"/>
          </reference>
          <reference field="3" count="1" selected="0">
            <x v="7"/>
          </reference>
          <reference field="4" count="1" selected="0">
            <x v="0"/>
          </reference>
          <reference field="16" count="1">
            <x v="2"/>
          </reference>
        </references>
      </pivotArea>
    </format>
    <format dxfId="3071">
      <pivotArea dataOnly="0" labelOnly="1" outline="0" fieldPosition="0">
        <references count="6">
          <reference field="0" count="1" selected="0">
            <x v="1"/>
          </reference>
          <reference field="1" count="1" selected="0">
            <x v="58"/>
          </reference>
          <reference field="2" count="1" selected="0">
            <x v="1"/>
          </reference>
          <reference field="3" count="1" selected="0">
            <x v="5"/>
          </reference>
          <reference field="4" count="1" selected="0">
            <x v="1"/>
          </reference>
          <reference field="16" count="1">
            <x v="2"/>
          </reference>
        </references>
      </pivotArea>
    </format>
    <format dxfId="3070">
      <pivotArea dataOnly="0" labelOnly="1" outline="0" fieldPosition="0">
        <references count="6">
          <reference field="0" count="1" selected="0">
            <x v="2"/>
          </reference>
          <reference field="1" count="1" selected="0">
            <x v="35"/>
          </reference>
          <reference field="2" count="1" selected="0">
            <x v="4"/>
          </reference>
          <reference field="3" count="1" selected="0">
            <x v="6"/>
          </reference>
          <reference field="4" count="1" selected="0">
            <x v="3"/>
          </reference>
          <reference field="16" count="1">
            <x v="2"/>
          </reference>
        </references>
      </pivotArea>
    </format>
    <format dxfId="3069">
      <pivotArea dataOnly="0" labelOnly="1" outline="0" fieldPosition="0">
        <references count="6">
          <reference field="0" count="1" selected="0">
            <x v="3"/>
          </reference>
          <reference field="1" count="1" selected="0">
            <x v="33"/>
          </reference>
          <reference field="2" count="1" selected="0">
            <x v="4"/>
          </reference>
          <reference field="3" count="1" selected="0">
            <x v="3"/>
          </reference>
          <reference field="4" count="1" selected="0">
            <x v="0"/>
          </reference>
          <reference field="16" count="1">
            <x v="2"/>
          </reference>
        </references>
      </pivotArea>
    </format>
    <format dxfId="3068">
      <pivotArea dataOnly="0" labelOnly="1" outline="0" fieldPosition="0">
        <references count="6">
          <reference field="0" count="1" selected="0">
            <x v="4"/>
          </reference>
          <reference field="1" count="1" selected="0">
            <x v="8"/>
          </reference>
          <reference field="2" count="1" selected="0">
            <x v="5"/>
          </reference>
          <reference field="3" count="1" selected="0">
            <x v="3"/>
          </reference>
          <reference field="4" count="1" selected="0">
            <x v="2"/>
          </reference>
          <reference field="16" count="1">
            <x v="2"/>
          </reference>
        </references>
      </pivotArea>
    </format>
    <format dxfId="3067">
      <pivotArea dataOnly="0" labelOnly="1" outline="0" fieldPosition="0">
        <references count="6">
          <reference field="0" count="1" selected="0">
            <x v="5"/>
          </reference>
          <reference field="1" count="1" selected="0">
            <x v="36"/>
          </reference>
          <reference field="2" count="1" selected="0">
            <x v="1"/>
          </reference>
          <reference field="3" count="1" selected="0">
            <x v="6"/>
          </reference>
          <reference field="4" count="1" selected="0">
            <x v="4"/>
          </reference>
          <reference field="16" count="1">
            <x v="2"/>
          </reference>
        </references>
      </pivotArea>
    </format>
    <format dxfId="3066">
      <pivotArea dataOnly="0" labelOnly="1" outline="0" fieldPosition="0">
        <references count="6">
          <reference field="0" count="1" selected="0">
            <x v="6"/>
          </reference>
          <reference field="1" count="1" selected="0">
            <x v="23"/>
          </reference>
          <reference field="2" count="1" selected="0">
            <x v="2"/>
          </reference>
          <reference field="3" count="1" selected="0">
            <x v="0"/>
          </reference>
          <reference field="4" count="1" selected="0">
            <x v="4"/>
          </reference>
          <reference field="16" count="1">
            <x v="2"/>
          </reference>
        </references>
      </pivotArea>
    </format>
    <format dxfId="3065">
      <pivotArea dataOnly="0" labelOnly="1" outline="0" fieldPosition="0">
        <references count="6">
          <reference field="0" count="1" selected="0">
            <x v="7"/>
          </reference>
          <reference field="1" count="1" selected="0">
            <x v="16"/>
          </reference>
          <reference field="2" count="1" selected="0">
            <x v="5"/>
          </reference>
          <reference field="3" count="1" selected="0">
            <x v="6"/>
          </reference>
          <reference field="4" count="1" selected="0">
            <x v="3"/>
          </reference>
          <reference field="16" count="1">
            <x v="2"/>
          </reference>
        </references>
      </pivotArea>
    </format>
    <format dxfId="3064">
      <pivotArea dataOnly="0" labelOnly="1" outline="0" fieldPosition="0">
        <references count="6">
          <reference field="0" count="1" selected="0">
            <x v="8"/>
          </reference>
          <reference field="1" count="1" selected="0">
            <x v="9"/>
          </reference>
          <reference field="2" count="1" selected="0">
            <x v="3"/>
          </reference>
          <reference field="3" count="1" selected="0">
            <x v="0"/>
          </reference>
          <reference field="4" count="1" selected="0">
            <x v="1"/>
          </reference>
          <reference field="16" count="1">
            <x v="2"/>
          </reference>
        </references>
      </pivotArea>
    </format>
    <format dxfId="3063">
      <pivotArea dataOnly="0" labelOnly="1" outline="0" fieldPosition="0">
        <references count="6">
          <reference field="0" count="1" selected="0">
            <x v="9"/>
          </reference>
          <reference field="1" count="1" selected="0">
            <x v="50"/>
          </reference>
          <reference field="2" count="1" selected="0">
            <x v="3"/>
          </reference>
          <reference field="3" count="1" selected="0">
            <x v="4"/>
          </reference>
          <reference field="4" count="1" selected="0">
            <x v="3"/>
          </reference>
          <reference field="16" count="1">
            <x v="2"/>
          </reference>
        </references>
      </pivotArea>
    </format>
    <format dxfId="3062">
      <pivotArea dataOnly="0" labelOnly="1" outline="0" fieldPosition="0">
        <references count="6">
          <reference field="0" count="1" selected="0">
            <x v="10"/>
          </reference>
          <reference field="1" count="1" selected="0">
            <x v="14"/>
          </reference>
          <reference field="2" count="1" selected="0">
            <x v="4"/>
          </reference>
          <reference field="3" count="1" selected="0">
            <x v="4"/>
          </reference>
          <reference field="4" count="1" selected="0">
            <x v="2"/>
          </reference>
          <reference field="16" count="1">
            <x v="2"/>
          </reference>
        </references>
      </pivotArea>
    </format>
    <format dxfId="3061">
      <pivotArea dataOnly="0" labelOnly="1" outline="0" fieldPosition="0">
        <references count="6">
          <reference field="0" count="1" selected="0">
            <x v="11"/>
          </reference>
          <reference field="1" count="1" selected="0">
            <x v="27"/>
          </reference>
          <reference field="2" count="1" selected="0">
            <x v="0"/>
          </reference>
          <reference field="3" count="1" selected="0">
            <x v="5"/>
          </reference>
          <reference field="4" count="1" selected="0">
            <x v="0"/>
          </reference>
          <reference field="16" count="1">
            <x v="2"/>
          </reference>
        </references>
      </pivotArea>
    </format>
    <format dxfId="3060">
      <pivotArea dataOnly="0" labelOnly="1" outline="0" fieldPosition="0">
        <references count="6">
          <reference field="0" count="1" selected="0">
            <x v="12"/>
          </reference>
          <reference field="1" count="1" selected="0">
            <x v="28"/>
          </reference>
          <reference field="2" count="1" selected="0">
            <x v="3"/>
          </reference>
          <reference field="3" count="1" selected="0">
            <x v="5"/>
          </reference>
          <reference field="4" count="1" selected="0">
            <x v="0"/>
          </reference>
          <reference field="16" count="1">
            <x v="2"/>
          </reference>
        </references>
      </pivotArea>
    </format>
    <format dxfId="3059">
      <pivotArea dataOnly="0" labelOnly="1" outline="0" fieldPosition="0">
        <references count="6">
          <reference field="0" count="1" selected="0">
            <x v="13"/>
          </reference>
          <reference field="1" count="1" selected="0">
            <x v="37"/>
          </reference>
          <reference field="2" count="1" selected="0">
            <x v="1"/>
          </reference>
          <reference field="3" count="1" selected="0">
            <x v="3"/>
          </reference>
          <reference field="4" count="1" selected="0">
            <x v="4"/>
          </reference>
          <reference field="16" count="1">
            <x v="2"/>
          </reference>
        </references>
      </pivotArea>
    </format>
    <format dxfId="3058">
      <pivotArea dataOnly="0" labelOnly="1" outline="0" fieldPosition="0">
        <references count="6">
          <reference field="0" count="1" selected="0">
            <x v="14"/>
          </reference>
          <reference field="1" count="1" selected="0">
            <x v="15"/>
          </reference>
          <reference field="2" count="1" selected="0">
            <x v="2"/>
          </reference>
          <reference field="3" count="1" selected="0">
            <x v="5"/>
          </reference>
          <reference field="4" count="1" selected="0">
            <x v="4"/>
          </reference>
          <reference field="16" count="1">
            <x v="2"/>
          </reference>
        </references>
      </pivotArea>
    </format>
    <format dxfId="3057">
      <pivotArea dataOnly="0" labelOnly="1" outline="0" fieldPosition="0">
        <references count="6">
          <reference field="0" count="1" selected="0">
            <x v="15"/>
          </reference>
          <reference field="1" count="1" selected="0">
            <x v="9"/>
          </reference>
          <reference field="2" count="1" selected="0">
            <x v="3"/>
          </reference>
          <reference field="3" count="1" selected="0">
            <x v="1"/>
          </reference>
          <reference field="4" count="1" selected="0">
            <x v="1"/>
          </reference>
          <reference field="16" count="1">
            <x v="1"/>
          </reference>
        </references>
      </pivotArea>
    </format>
    <format dxfId="3056">
      <pivotArea dataOnly="0" labelOnly="1" outline="0" fieldPosition="0">
        <references count="6">
          <reference field="0" count="1" selected="0">
            <x v="16"/>
          </reference>
          <reference field="1" count="1" selected="0">
            <x v="3"/>
          </reference>
          <reference field="2" count="1" selected="0">
            <x v="4"/>
          </reference>
          <reference field="3" count="1" selected="0">
            <x v="4"/>
          </reference>
          <reference field="4" count="1" selected="0">
            <x v="3"/>
          </reference>
          <reference field="16" count="1">
            <x v="1"/>
          </reference>
        </references>
      </pivotArea>
    </format>
    <format dxfId="3055">
      <pivotArea dataOnly="0" labelOnly="1" outline="0" fieldPosition="0">
        <references count="6">
          <reference field="0" count="1" selected="0">
            <x v="17"/>
          </reference>
          <reference field="1" count="1" selected="0">
            <x v="58"/>
          </reference>
          <reference field="2" count="1" selected="0">
            <x v="1"/>
          </reference>
          <reference field="3" count="1" selected="0">
            <x v="2"/>
          </reference>
          <reference field="4" count="1" selected="0">
            <x v="3"/>
          </reference>
          <reference field="16" count="1">
            <x v="1"/>
          </reference>
        </references>
      </pivotArea>
    </format>
    <format dxfId="3054">
      <pivotArea dataOnly="0" labelOnly="1" outline="0" fieldPosition="0">
        <references count="6">
          <reference field="0" count="1" selected="0">
            <x v="18"/>
          </reference>
          <reference field="1" count="1" selected="0">
            <x v="40"/>
          </reference>
          <reference field="2" count="1" selected="0">
            <x v="2"/>
          </reference>
          <reference field="3" count="1" selected="0">
            <x v="4"/>
          </reference>
          <reference field="4" count="1" selected="0">
            <x v="1"/>
          </reference>
          <reference field="16" count="1">
            <x v="1"/>
          </reference>
        </references>
      </pivotArea>
    </format>
    <format dxfId="3053">
      <pivotArea dataOnly="0" labelOnly="1" outline="0" fieldPosition="0">
        <references count="6">
          <reference field="0" count="1" selected="0">
            <x v="19"/>
          </reference>
          <reference field="1" count="1" selected="0">
            <x v="12"/>
          </reference>
          <reference field="2" count="1" selected="0">
            <x v="4"/>
          </reference>
          <reference field="3" count="1" selected="0">
            <x v="7"/>
          </reference>
          <reference field="4" count="1" selected="0">
            <x v="3"/>
          </reference>
          <reference field="16" count="1">
            <x v="1"/>
          </reference>
        </references>
      </pivotArea>
    </format>
    <format dxfId="3052">
      <pivotArea dataOnly="0" labelOnly="1" outline="0" fieldPosition="0">
        <references count="6">
          <reference field="0" count="1" selected="0">
            <x v="20"/>
          </reference>
          <reference field="1" count="1" selected="0">
            <x v="17"/>
          </reference>
          <reference field="2" count="1" selected="0">
            <x v="4"/>
          </reference>
          <reference field="3" count="1" selected="0">
            <x v="1"/>
          </reference>
          <reference field="4" count="1" selected="0">
            <x v="1"/>
          </reference>
          <reference field="16" count="1">
            <x v="1"/>
          </reference>
        </references>
      </pivotArea>
    </format>
    <format dxfId="3051">
      <pivotArea dataOnly="0" labelOnly="1" outline="0" fieldPosition="0">
        <references count="6">
          <reference field="0" count="1" selected="0">
            <x v="21"/>
          </reference>
          <reference field="1" count="1" selected="0">
            <x v="4"/>
          </reference>
          <reference field="2" count="1" selected="0">
            <x v="0"/>
          </reference>
          <reference field="3" count="1" selected="0">
            <x v="7"/>
          </reference>
          <reference field="4" count="1" selected="0">
            <x v="3"/>
          </reference>
          <reference field="16" count="1">
            <x v="1"/>
          </reference>
        </references>
      </pivotArea>
    </format>
    <format dxfId="3050">
      <pivotArea dataOnly="0" labelOnly="1" outline="0" fieldPosition="0">
        <references count="6">
          <reference field="0" count="1" selected="0">
            <x v="22"/>
          </reference>
          <reference field="1" count="1" selected="0">
            <x v="49"/>
          </reference>
          <reference field="2" count="1" selected="0">
            <x v="3"/>
          </reference>
          <reference field="3" count="1" selected="0">
            <x v="7"/>
          </reference>
          <reference field="4" count="1" selected="0">
            <x v="4"/>
          </reference>
          <reference field="16" count="1">
            <x v="1"/>
          </reference>
        </references>
      </pivotArea>
    </format>
    <format dxfId="3049">
      <pivotArea dataOnly="0" labelOnly="1" outline="0" fieldPosition="0">
        <references count="6">
          <reference field="0" count="1" selected="0">
            <x v="23"/>
          </reference>
          <reference field="1" count="1" selected="0">
            <x v="31"/>
          </reference>
          <reference field="2" count="1" selected="0">
            <x v="3"/>
          </reference>
          <reference field="3" count="1" selected="0">
            <x v="6"/>
          </reference>
          <reference field="4" count="1" selected="0">
            <x v="1"/>
          </reference>
          <reference field="16" count="1">
            <x v="1"/>
          </reference>
        </references>
      </pivotArea>
    </format>
    <format dxfId="3048">
      <pivotArea dataOnly="0" labelOnly="1" outline="0" fieldPosition="0">
        <references count="6">
          <reference field="0" count="1" selected="0">
            <x v="24"/>
          </reference>
          <reference field="1" count="1" selected="0">
            <x v="21"/>
          </reference>
          <reference field="2" count="1" selected="0">
            <x v="2"/>
          </reference>
          <reference field="3" count="1" selected="0">
            <x v="0"/>
          </reference>
          <reference field="4" count="1" selected="0">
            <x v="3"/>
          </reference>
          <reference field="16" count="1">
            <x v="1"/>
          </reference>
        </references>
      </pivotArea>
    </format>
    <format dxfId="3047">
      <pivotArea dataOnly="0" labelOnly="1" outline="0" fieldPosition="0">
        <references count="6">
          <reference field="0" count="1" selected="0">
            <x v="25"/>
          </reference>
          <reference field="1" count="1" selected="0">
            <x v="23"/>
          </reference>
          <reference field="2" count="1" selected="0">
            <x v="2"/>
          </reference>
          <reference field="3" count="1" selected="0">
            <x v="7"/>
          </reference>
          <reference field="4" count="1" selected="0">
            <x v="2"/>
          </reference>
          <reference field="16" count="1">
            <x v="1"/>
          </reference>
        </references>
      </pivotArea>
    </format>
    <format dxfId="3046">
      <pivotArea dataOnly="0" labelOnly="1" outline="0" fieldPosition="0">
        <references count="6">
          <reference field="0" count="1" selected="0">
            <x v="26"/>
          </reference>
          <reference field="1" count="1" selected="0">
            <x v="9"/>
          </reference>
          <reference field="2" count="1" selected="0">
            <x v="3"/>
          </reference>
          <reference field="3" count="1" selected="0">
            <x v="1"/>
          </reference>
          <reference field="4" count="1" selected="0">
            <x v="1"/>
          </reference>
          <reference field="16" count="1">
            <x v="1"/>
          </reference>
        </references>
      </pivotArea>
    </format>
    <format dxfId="3045">
      <pivotArea dataOnly="0" labelOnly="1" outline="0" fieldPosition="0">
        <references count="6">
          <reference field="0" count="1" selected="0">
            <x v="27"/>
          </reference>
          <reference field="1" count="1" selected="0">
            <x v="22"/>
          </reference>
          <reference field="2" count="1" selected="0">
            <x v="2"/>
          </reference>
          <reference field="3" count="1" selected="0">
            <x v="5"/>
          </reference>
          <reference field="4" count="1" selected="0">
            <x v="3"/>
          </reference>
          <reference field="16" count="1">
            <x v="1"/>
          </reference>
        </references>
      </pivotArea>
    </format>
    <format dxfId="3044">
      <pivotArea dataOnly="0" labelOnly="1" outline="0" fieldPosition="0">
        <references count="6">
          <reference field="0" count="1" selected="0">
            <x v="28"/>
          </reference>
          <reference field="1" count="1" selected="0">
            <x v="19"/>
          </reference>
          <reference field="2" count="1" selected="0">
            <x v="5"/>
          </reference>
          <reference field="3" count="1" selected="0">
            <x v="0"/>
          </reference>
          <reference field="4" count="1" selected="0">
            <x v="4"/>
          </reference>
          <reference field="16" count="1">
            <x v="1"/>
          </reference>
        </references>
      </pivotArea>
    </format>
    <format dxfId="3043">
      <pivotArea dataOnly="0" labelOnly="1" outline="0" fieldPosition="0">
        <references count="6">
          <reference field="0" count="1" selected="0">
            <x v="29"/>
          </reference>
          <reference field="1" count="1" selected="0">
            <x v="4"/>
          </reference>
          <reference field="2" count="1" selected="0">
            <x v="0"/>
          </reference>
          <reference field="3" count="1" selected="0">
            <x v="6"/>
          </reference>
          <reference field="4" count="1" selected="0">
            <x v="3"/>
          </reference>
          <reference field="16" count="1">
            <x v="1"/>
          </reference>
        </references>
      </pivotArea>
    </format>
    <format dxfId="3042">
      <pivotArea dataOnly="0" labelOnly="1" outline="0" fieldPosition="0">
        <references count="6">
          <reference field="0" count="1" selected="0">
            <x v="30"/>
          </reference>
          <reference field="1" count="1" selected="0">
            <x v="23"/>
          </reference>
          <reference field="2" count="1" selected="0">
            <x v="2"/>
          </reference>
          <reference field="3" count="1" selected="0">
            <x v="3"/>
          </reference>
          <reference field="4" count="1" selected="0">
            <x v="1"/>
          </reference>
          <reference field="16" count="1">
            <x v="1"/>
          </reference>
        </references>
      </pivotArea>
    </format>
    <format dxfId="3041">
      <pivotArea dataOnly="0" labelOnly="1" outline="0" fieldPosition="0">
        <references count="6">
          <reference field="0" count="1" selected="0">
            <x v="31"/>
          </reference>
          <reference field="1" count="1" selected="0">
            <x v="34"/>
          </reference>
          <reference field="2" count="1" selected="0">
            <x v="5"/>
          </reference>
          <reference field="3" count="1" selected="0">
            <x v="7"/>
          </reference>
          <reference field="4" count="1" selected="0">
            <x v="0"/>
          </reference>
          <reference field="16" count="1">
            <x v="1"/>
          </reference>
        </references>
      </pivotArea>
    </format>
    <format dxfId="3040">
      <pivotArea dataOnly="0" labelOnly="1" outline="0" fieldPosition="0">
        <references count="6">
          <reference field="0" count="1" selected="0">
            <x v="32"/>
          </reference>
          <reference field="1" count="1" selected="0">
            <x v="53"/>
          </reference>
          <reference field="2" count="1" selected="0">
            <x v="1"/>
          </reference>
          <reference field="3" count="1" selected="0">
            <x v="0"/>
          </reference>
          <reference field="4" count="1" selected="0">
            <x v="2"/>
          </reference>
          <reference field="16" count="1">
            <x v="1"/>
          </reference>
        </references>
      </pivotArea>
    </format>
    <format dxfId="3039">
      <pivotArea dataOnly="0" labelOnly="1" outline="0" fieldPosition="0">
        <references count="6">
          <reference field="0" count="1" selected="0">
            <x v="33"/>
          </reference>
          <reference field="1" count="1" selected="0">
            <x v="45"/>
          </reference>
          <reference field="2" count="1" selected="0">
            <x v="5"/>
          </reference>
          <reference field="3" count="1" selected="0">
            <x v="2"/>
          </reference>
          <reference field="4" count="1" selected="0">
            <x v="3"/>
          </reference>
          <reference field="16" count="1">
            <x v="1"/>
          </reference>
        </references>
      </pivotArea>
    </format>
    <format dxfId="3038">
      <pivotArea dataOnly="0" labelOnly="1" outline="0" fieldPosition="0">
        <references count="6">
          <reference field="0" count="1" selected="0">
            <x v="34"/>
          </reference>
          <reference field="1" count="1" selected="0">
            <x v="49"/>
          </reference>
          <reference field="2" count="1" selected="0">
            <x v="3"/>
          </reference>
          <reference field="3" count="1" selected="0">
            <x v="7"/>
          </reference>
          <reference field="4" count="1" selected="0">
            <x v="1"/>
          </reference>
          <reference field="16" count="1">
            <x v="1"/>
          </reference>
        </references>
      </pivotArea>
    </format>
    <format dxfId="3037">
      <pivotArea dataOnly="0" labelOnly="1" outline="0" fieldPosition="0">
        <references count="6">
          <reference field="0" count="1" selected="0">
            <x v="35"/>
          </reference>
          <reference field="1" count="1" selected="0">
            <x v="0"/>
          </reference>
          <reference field="2" count="1" selected="0">
            <x v="0"/>
          </reference>
          <reference field="3" count="1" selected="0">
            <x v="1"/>
          </reference>
          <reference field="4" count="1" selected="0">
            <x v="3"/>
          </reference>
          <reference field="16" count="1">
            <x v="1"/>
          </reference>
        </references>
      </pivotArea>
    </format>
    <format dxfId="3036">
      <pivotArea dataOnly="0" labelOnly="1" outline="0" fieldPosition="0">
        <references count="6">
          <reference field="0" count="1" selected="0">
            <x v="36"/>
          </reference>
          <reference field="1" count="1" selected="0">
            <x v="6"/>
          </reference>
          <reference field="2" count="1" selected="0">
            <x v="3"/>
          </reference>
          <reference field="3" count="1" selected="0">
            <x v="2"/>
          </reference>
          <reference field="4" count="1" selected="0">
            <x v="4"/>
          </reference>
          <reference field="16" count="1">
            <x v="1"/>
          </reference>
        </references>
      </pivotArea>
    </format>
    <format dxfId="3035">
      <pivotArea dataOnly="0" labelOnly="1" outline="0" fieldPosition="0">
        <references count="6">
          <reference field="0" count="1" selected="0">
            <x v="37"/>
          </reference>
          <reference field="1" count="1" selected="0">
            <x v="4"/>
          </reference>
          <reference field="2" count="1" selected="0">
            <x v="0"/>
          </reference>
          <reference field="3" count="1" selected="0">
            <x v="3"/>
          </reference>
          <reference field="4" count="1" selected="0">
            <x v="3"/>
          </reference>
          <reference field="16" count="1">
            <x v="1"/>
          </reference>
        </references>
      </pivotArea>
    </format>
    <format dxfId="3034">
      <pivotArea dataOnly="0" labelOnly="1" outline="0" fieldPosition="0">
        <references count="6">
          <reference field="0" count="1" selected="0">
            <x v="38"/>
          </reference>
          <reference field="1" count="1" selected="0">
            <x v="35"/>
          </reference>
          <reference field="2" count="1" selected="0">
            <x v="4"/>
          </reference>
          <reference field="3" count="1" selected="0">
            <x v="5"/>
          </reference>
          <reference field="4" count="1" selected="0">
            <x v="4"/>
          </reference>
          <reference field="16" count="1">
            <x v="1"/>
          </reference>
        </references>
      </pivotArea>
    </format>
    <format dxfId="3033">
      <pivotArea dataOnly="0" labelOnly="1" outline="0" fieldPosition="0">
        <references count="6">
          <reference field="0" count="1" selected="0">
            <x v="39"/>
          </reference>
          <reference field="1" count="1" selected="0">
            <x v="41"/>
          </reference>
          <reference field="2" count="1" selected="0">
            <x v="0"/>
          </reference>
          <reference field="3" count="1" selected="0">
            <x v="3"/>
          </reference>
          <reference field="4" count="1" selected="0">
            <x v="4"/>
          </reference>
          <reference field="16" count="1">
            <x v="1"/>
          </reference>
        </references>
      </pivotArea>
    </format>
    <format dxfId="3032">
      <pivotArea dataOnly="0" labelOnly="1" outline="0" fieldPosition="0">
        <references count="6">
          <reference field="0" count="1" selected="0">
            <x v="40"/>
          </reference>
          <reference field="1" count="1" selected="0">
            <x v="47"/>
          </reference>
          <reference field="2" count="1" selected="0">
            <x v="0"/>
          </reference>
          <reference field="3" count="1" selected="0">
            <x v="3"/>
          </reference>
          <reference field="4" count="1" selected="0">
            <x v="4"/>
          </reference>
          <reference field="16" count="1">
            <x v="1"/>
          </reference>
        </references>
      </pivotArea>
    </format>
    <format dxfId="3031">
      <pivotArea dataOnly="0" labelOnly="1" outline="0" fieldPosition="0">
        <references count="6">
          <reference field="0" count="1" selected="0">
            <x v="41"/>
          </reference>
          <reference field="1" count="1" selected="0">
            <x v="22"/>
          </reference>
          <reference field="2" count="1" selected="0">
            <x v="2"/>
          </reference>
          <reference field="3" count="1" selected="0">
            <x v="6"/>
          </reference>
          <reference field="4" count="1" selected="0">
            <x v="4"/>
          </reference>
          <reference field="16" count="1">
            <x v="1"/>
          </reference>
        </references>
      </pivotArea>
    </format>
    <format dxfId="3030">
      <pivotArea dataOnly="0" labelOnly="1" outline="0" fieldPosition="0">
        <references count="6">
          <reference field="0" count="1" selected="0">
            <x v="42"/>
          </reference>
          <reference field="1" count="1" selected="0">
            <x v="12"/>
          </reference>
          <reference field="2" count="1" selected="0">
            <x v="4"/>
          </reference>
          <reference field="3" count="1" selected="0">
            <x v="4"/>
          </reference>
          <reference field="4" count="1" selected="0">
            <x v="1"/>
          </reference>
          <reference field="16" count="1">
            <x v="1"/>
          </reference>
        </references>
      </pivotArea>
    </format>
    <format dxfId="3029">
      <pivotArea dataOnly="0" labelOnly="1" outline="0" fieldPosition="0">
        <references count="6">
          <reference field="0" count="1" selected="0">
            <x v="43"/>
          </reference>
          <reference field="1" count="1" selected="0">
            <x v="30"/>
          </reference>
          <reference field="2" count="1" selected="0">
            <x v="1"/>
          </reference>
          <reference field="3" count="1" selected="0">
            <x v="6"/>
          </reference>
          <reference field="4" count="1" selected="0">
            <x v="1"/>
          </reference>
          <reference field="16" count="1">
            <x v="1"/>
          </reference>
        </references>
      </pivotArea>
    </format>
    <format dxfId="3028">
      <pivotArea dataOnly="0" labelOnly="1" outline="0" fieldPosition="0">
        <references count="6">
          <reference field="0" count="1" selected="0">
            <x v="44"/>
          </reference>
          <reference field="1" count="1" selected="0">
            <x v="14"/>
          </reference>
          <reference field="2" count="1" selected="0">
            <x v="4"/>
          </reference>
          <reference field="3" count="1" selected="0">
            <x v="2"/>
          </reference>
          <reference field="4" count="1" selected="0">
            <x v="4"/>
          </reference>
          <reference field="16" count="1">
            <x v="1"/>
          </reference>
        </references>
      </pivotArea>
    </format>
    <format dxfId="3027">
      <pivotArea dataOnly="0" labelOnly="1" outline="0" fieldPosition="0">
        <references count="6">
          <reference field="0" count="1" selected="0">
            <x v="45"/>
          </reference>
          <reference field="1" count="1" selected="0">
            <x v="50"/>
          </reference>
          <reference field="2" count="1" selected="0">
            <x v="3"/>
          </reference>
          <reference field="3" count="1" selected="0">
            <x v="4"/>
          </reference>
          <reference field="4" count="1" selected="0">
            <x v="3"/>
          </reference>
          <reference field="16" count="1">
            <x v="1"/>
          </reference>
        </references>
      </pivotArea>
    </format>
    <format dxfId="3026">
      <pivotArea dataOnly="0" labelOnly="1" outline="0" fieldPosition="0">
        <references count="6">
          <reference field="0" count="1" selected="0">
            <x v="46"/>
          </reference>
          <reference field="1" count="1" selected="0">
            <x v="42"/>
          </reference>
          <reference field="2" count="1" selected="0">
            <x v="2"/>
          </reference>
          <reference field="3" count="1" selected="0">
            <x v="4"/>
          </reference>
          <reference field="4" count="1" selected="0">
            <x v="2"/>
          </reference>
          <reference field="16" count="1">
            <x v="1"/>
          </reference>
        </references>
      </pivotArea>
    </format>
    <format dxfId="3025">
      <pivotArea dataOnly="0" labelOnly="1" outline="0" fieldPosition="0">
        <references count="6">
          <reference field="0" count="1" selected="0">
            <x v="47"/>
          </reference>
          <reference field="1" count="1" selected="0">
            <x v="9"/>
          </reference>
          <reference field="2" count="1" selected="0">
            <x v="3"/>
          </reference>
          <reference field="3" count="1" selected="0">
            <x v="4"/>
          </reference>
          <reference field="4" count="1" selected="0">
            <x v="1"/>
          </reference>
          <reference field="16" count="1">
            <x v="1"/>
          </reference>
        </references>
      </pivotArea>
    </format>
    <format dxfId="3024">
      <pivotArea dataOnly="0" labelOnly="1" outline="0" fieldPosition="0">
        <references count="6">
          <reference field="0" count="1" selected="0">
            <x v="48"/>
          </reference>
          <reference field="1" count="1" selected="0">
            <x v="31"/>
          </reference>
          <reference field="2" count="1" selected="0">
            <x v="3"/>
          </reference>
          <reference field="3" count="1" selected="0">
            <x v="1"/>
          </reference>
          <reference field="4" count="1" selected="0">
            <x v="1"/>
          </reference>
          <reference field="16" count="1">
            <x v="1"/>
          </reference>
        </references>
      </pivotArea>
    </format>
    <format dxfId="3023">
      <pivotArea dataOnly="0" labelOnly="1" outline="0" fieldPosition="0">
        <references count="6">
          <reference field="0" count="1" selected="0">
            <x v="49"/>
          </reference>
          <reference field="1" count="1" selected="0">
            <x v="14"/>
          </reference>
          <reference field="2" count="1" selected="0">
            <x v="4"/>
          </reference>
          <reference field="3" count="1" selected="0">
            <x v="7"/>
          </reference>
          <reference field="4" count="1" selected="0">
            <x v="2"/>
          </reference>
          <reference field="16" count="1">
            <x v="1"/>
          </reference>
        </references>
      </pivotArea>
    </format>
    <format dxfId="3022">
      <pivotArea dataOnly="0" labelOnly="1" outline="0" fieldPosition="0">
        <references count="6">
          <reference field="0" count="1" selected="0">
            <x v="50"/>
          </reference>
          <reference field="1" count="1" selected="0">
            <x v="23"/>
          </reference>
          <reference field="2" count="1" selected="0">
            <x v="2"/>
          </reference>
          <reference field="3" count="1" selected="0">
            <x v="4"/>
          </reference>
          <reference field="4" count="1" selected="0">
            <x v="1"/>
          </reference>
          <reference field="16" count="1">
            <x v="1"/>
          </reference>
        </references>
      </pivotArea>
    </format>
    <format dxfId="3021">
      <pivotArea dataOnly="0" labelOnly="1" outline="0" fieldPosition="0">
        <references count="6">
          <reference field="0" count="1" selected="0">
            <x v="51"/>
          </reference>
          <reference field="1" count="1" selected="0">
            <x v="17"/>
          </reference>
          <reference field="2" count="1" selected="0">
            <x v="4"/>
          </reference>
          <reference field="3" count="1" selected="0">
            <x v="7"/>
          </reference>
          <reference field="4" count="1" selected="0">
            <x v="4"/>
          </reference>
          <reference field="16" count="1">
            <x v="1"/>
          </reference>
        </references>
      </pivotArea>
    </format>
    <format dxfId="3020">
      <pivotArea dataOnly="0" labelOnly="1" outline="0" fieldPosition="0">
        <references count="6">
          <reference field="0" count="1" selected="0">
            <x v="52"/>
          </reference>
          <reference field="1" count="1" selected="0">
            <x v="16"/>
          </reference>
          <reference field="2" count="1" selected="0">
            <x v="5"/>
          </reference>
          <reference field="3" count="1" selected="0">
            <x v="3"/>
          </reference>
          <reference field="4" count="1" selected="0">
            <x v="1"/>
          </reference>
          <reference field="16" count="1">
            <x v="1"/>
          </reference>
        </references>
      </pivotArea>
    </format>
    <format dxfId="3019">
      <pivotArea dataOnly="0" labelOnly="1" outline="0" fieldPosition="0">
        <references count="6">
          <reference field="0" count="1" selected="0">
            <x v="53"/>
          </reference>
          <reference field="1" count="1" selected="0">
            <x v="10"/>
          </reference>
          <reference field="2" count="1" selected="0">
            <x v="4"/>
          </reference>
          <reference field="3" count="1" selected="0">
            <x v="7"/>
          </reference>
          <reference field="4" count="1" selected="0">
            <x v="0"/>
          </reference>
          <reference field="16" count="1">
            <x v="1"/>
          </reference>
        </references>
      </pivotArea>
    </format>
    <format dxfId="3018">
      <pivotArea dataOnly="0" labelOnly="1" outline="0" fieldPosition="0">
        <references count="6">
          <reference field="0" count="1" selected="0">
            <x v="54"/>
          </reference>
          <reference field="1" count="1" selected="0">
            <x v="40"/>
          </reference>
          <reference field="2" count="1" selected="0">
            <x v="2"/>
          </reference>
          <reference field="3" count="1" selected="0">
            <x v="2"/>
          </reference>
          <reference field="4" count="1" selected="0">
            <x v="1"/>
          </reference>
          <reference field="16" count="1">
            <x v="1"/>
          </reference>
        </references>
      </pivotArea>
    </format>
    <format dxfId="3017">
      <pivotArea dataOnly="0" labelOnly="1" outline="0" fieldPosition="0">
        <references count="6">
          <reference field="0" count="1" selected="0">
            <x v="55"/>
          </reference>
          <reference field="1" count="1" selected="0">
            <x v="13"/>
          </reference>
          <reference field="2" count="1" selected="0">
            <x v="3"/>
          </reference>
          <reference field="3" count="1" selected="0">
            <x v="5"/>
          </reference>
          <reference field="4" count="1" selected="0">
            <x v="1"/>
          </reference>
          <reference field="16" count="1">
            <x v="1"/>
          </reference>
        </references>
      </pivotArea>
    </format>
    <format dxfId="3016">
      <pivotArea dataOnly="0" labelOnly="1" outline="0" fieldPosition="0">
        <references count="6">
          <reference field="0" count="1" selected="0">
            <x v="56"/>
          </reference>
          <reference field="1" count="1" selected="0">
            <x v="37"/>
          </reference>
          <reference field="2" count="1" selected="0">
            <x v="1"/>
          </reference>
          <reference field="3" count="1" selected="0">
            <x v="2"/>
          </reference>
          <reference field="4" count="1" selected="0">
            <x v="3"/>
          </reference>
          <reference field="16" count="1">
            <x v="1"/>
          </reference>
        </references>
      </pivotArea>
    </format>
    <format dxfId="3015">
      <pivotArea dataOnly="0" labelOnly="1" outline="0" fieldPosition="0">
        <references count="6">
          <reference field="0" count="1" selected="0">
            <x v="57"/>
          </reference>
          <reference field="1" count="1" selected="0">
            <x v="48"/>
          </reference>
          <reference field="2" count="1" selected="0">
            <x v="5"/>
          </reference>
          <reference field="3" count="1" selected="0">
            <x v="1"/>
          </reference>
          <reference field="4" count="1" selected="0">
            <x v="0"/>
          </reference>
          <reference field="16" count="1">
            <x v="1"/>
          </reference>
        </references>
      </pivotArea>
    </format>
    <format dxfId="3014">
      <pivotArea dataOnly="0" labelOnly="1" outline="0" fieldPosition="0">
        <references count="6">
          <reference field="0" count="1" selected="0">
            <x v="58"/>
          </reference>
          <reference field="1" count="1" selected="0">
            <x v="44"/>
          </reference>
          <reference field="2" count="1" selected="0">
            <x v="5"/>
          </reference>
          <reference field="3" count="1" selected="0">
            <x v="0"/>
          </reference>
          <reference field="4" count="1" selected="0">
            <x v="4"/>
          </reference>
          <reference field="16" count="1">
            <x v="1"/>
          </reference>
        </references>
      </pivotArea>
    </format>
    <format dxfId="3013">
      <pivotArea dataOnly="0" labelOnly="1" outline="0" fieldPosition="0">
        <references count="6">
          <reference field="0" count="1" selected="0">
            <x v="59"/>
          </reference>
          <reference field="1" count="1" selected="0">
            <x v="24"/>
          </reference>
          <reference field="2" count="1" selected="0">
            <x v="0"/>
          </reference>
          <reference field="3" count="1" selected="0">
            <x v="6"/>
          </reference>
          <reference field="4" count="1" selected="0">
            <x v="0"/>
          </reference>
          <reference field="16" count="1">
            <x v="1"/>
          </reference>
        </references>
      </pivotArea>
    </format>
    <format dxfId="3012">
      <pivotArea dataOnly="0" labelOnly="1" outline="0" fieldPosition="0">
        <references count="6">
          <reference field="0" count="1" selected="0">
            <x v="60"/>
          </reference>
          <reference field="1" count="1" selected="0">
            <x v="34"/>
          </reference>
          <reference field="2" count="1" selected="0">
            <x v="5"/>
          </reference>
          <reference field="3" count="1" selected="0">
            <x v="4"/>
          </reference>
          <reference field="4" count="1" selected="0">
            <x v="0"/>
          </reference>
          <reference field="16" count="1">
            <x v="1"/>
          </reference>
        </references>
      </pivotArea>
    </format>
    <format dxfId="3011">
      <pivotArea dataOnly="0" labelOnly="1" outline="0" fieldPosition="0">
        <references count="6">
          <reference field="0" count="1" selected="0">
            <x v="61"/>
          </reference>
          <reference field="1" count="1" selected="0">
            <x v="59"/>
          </reference>
          <reference field="2" count="1" selected="0">
            <x v="2"/>
          </reference>
          <reference field="3" count="1" selected="0">
            <x v="2"/>
          </reference>
          <reference field="4" count="1" selected="0">
            <x v="3"/>
          </reference>
          <reference field="16" count="1">
            <x v="1"/>
          </reference>
        </references>
      </pivotArea>
    </format>
    <format dxfId="3010">
      <pivotArea dataOnly="0" labelOnly="1" outline="0" fieldPosition="0">
        <references count="6">
          <reference field="0" count="1" selected="0">
            <x v="62"/>
          </reference>
          <reference field="1" count="1" selected="0">
            <x v="10"/>
          </reference>
          <reference field="2" count="1" selected="0">
            <x v="4"/>
          </reference>
          <reference field="3" count="1" selected="0">
            <x v="5"/>
          </reference>
          <reference field="4" count="1" selected="0">
            <x v="0"/>
          </reference>
          <reference field="16" count="1">
            <x v="1"/>
          </reference>
        </references>
      </pivotArea>
    </format>
    <format dxfId="3009">
      <pivotArea dataOnly="0" labelOnly="1" outline="0" fieldPosition="0">
        <references count="6">
          <reference field="0" count="1" selected="0">
            <x v="63"/>
          </reference>
          <reference field="1" count="1" selected="0">
            <x v="16"/>
          </reference>
          <reference field="2" count="1" selected="0">
            <x v="5"/>
          </reference>
          <reference field="3" count="1" selected="0">
            <x v="3"/>
          </reference>
          <reference field="4" count="1" selected="0">
            <x v="0"/>
          </reference>
          <reference field="16" count="1">
            <x v="1"/>
          </reference>
        </references>
      </pivotArea>
    </format>
    <format dxfId="3008">
      <pivotArea dataOnly="0" labelOnly="1" outline="0" fieldPosition="0">
        <references count="6">
          <reference field="0" count="1" selected="0">
            <x v="64"/>
          </reference>
          <reference field="1" count="1" selected="0">
            <x v="4"/>
          </reference>
          <reference field="2" count="1" selected="0">
            <x v="0"/>
          </reference>
          <reference field="3" count="1" selected="0">
            <x v="0"/>
          </reference>
          <reference field="4" count="1" selected="0">
            <x v="1"/>
          </reference>
          <reference field="16" count="1">
            <x v="1"/>
          </reference>
        </references>
      </pivotArea>
    </format>
    <format dxfId="3007">
      <pivotArea dataOnly="0" labelOnly="1" outline="0" fieldPosition="0">
        <references count="6">
          <reference field="0" count="1" selected="0">
            <x v="65"/>
          </reference>
          <reference field="1" count="1" selected="0">
            <x v="9"/>
          </reference>
          <reference field="2" count="1" selected="0">
            <x v="3"/>
          </reference>
          <reference field="3" count="1" selected="0">
            <x v="2"/>
          </reference>
          <reference field="4" count="1" selected="0">
            <x v="0"/>
          </reference>
          <reference field="16" count="1">
            <x v="1"/>
          </reference>
        </references>
      </pivotArea>
    </format>
    <format dxfId="3006">
      <pivotArea dataOnly="0" labelOnly="1" outline="0" fieldPosition="0">
        <references count="6">
          <reference field="0" count="1" selected="0">
            <x v="66"/>
          </reference>
          <reference field="1" count="1" selected="0">
            <x v="43"/>
          </reference>
          <reference field="2" count="1" selected="0">
            <x v="0"/>
          </reference>
          <reference field="3" count="1" selected="0">
            <x v="4"/>
          </reference>
          <reference field="4" count="1" selected="0">
            <x v="3"/>
          </reference>
          <reference field="16" count="1">
            <x v="1"/>
          </reference>
        </references>
      </pivotArea>
    </format>
    <format dxfId="3005">
      <pivotArea dataOnly="0" labelOnly="1" outline="0" fieldPosition="0">
        <references count="6">
          <reference field="0" count="1" selected="0">
            <x v="67"/>
          </reference>
          <reference field="1" count="1" selected="0">
            <x v="44"/>
          </reference>
          <reference field="2" count="1" selected="0">
            <x v="5"/>
          </reference>
          <reference field="3" count="1" selected="0">
            <x v="5"/>
          </reference>
          <reference field="4" count="1" selected="0">
            <x v="3"/>
          </reference>
          <reference field="16" count="1">
            <x v="1"/>
          </reference>
        </references>
      </pivotArea>
    </format>
    <format dxfId="3004">
      <pivotArea dataOnly="0" labelOnly="1" outline="0" fieldPosition="0">
        <references count="6">
          <reference field="0" count="1" selected="0">
            <x v="68"/>
          </reference>
          <reference field="1" count="1" selected="0">
            <x v="1"/>
          </reference>
          <reference field="2" count="1" selected="0">
            <x v="5"/>
          </reference>
          <reference field="3" count="1" selected="0">
            <x v="2"/>
          </reference>
          <reference field="4" count="1" selected="0">
            <x v="3"/>
          </reference>
          <reference field="16" count="1">
            <x v="1"/>
          </reference>
        </references>
      </pivotArea>
    </format>
    <format dxfId="3003">
      <pivotArea dataOnly="0" labelOnly="1" outline="0" fieldPosition="0">
        <references count="6">
          <reference field="0" count="1" selected="0">
            <x v="69"/>
          </reference>
          <reference field="1" count="1" selected="0">
            <x v="20"/>
          </reference>
          <reference field="2" count="1" selected="0">
            <x v="4"/>
          </reference>
          <reference field="3" count="1" selected="0">
            <x v="1"/>
          </reference>
          <reference field="4" count="1" selected="0">
            <x v="0"/>
          </reference>
          <reference field="16" count="1">
            <x v="1"/>
          </reference>
        </references>
      </pivotArea>
    </format>
    <format dxfId="3002">
      <pivotArea dataOnly="0" labelOnly="1" outline="0" fieldPosition="0">
        <references count="6">
          <reference field="0" count="1" selected="0">
            <x v="70"/>
          </reference>
          <reference field="1" count="1" selected="0">
            <x v="1"/>
          </reference>
          <reference field="2" count="1" selected="0">
            <x v="5"/>
          </reference>
          <reference field="3" count="1" selected="0">
            <x v="0"/>
          </reference>
          <reference field="4" count="1" selected="0">
            <x v="1"/>
          </reference>
          <reference field="16" count="1">
            <x v="1"/>
          </reference>
        </references>
      </pivotArea>
    </format>
    <format dxfId="3001">
      <pivotArea dataOnly="0" labelOnly="1" outline="0" fieldPosition="0">
        <references count="6">
          <reference field="0" count="1" selected="0">
            <x v="71"/>
          </reference>
          <reference field="1" count="1" selected="0">
            <x v="30"/>
          </reference>
          <reference field="2" count="1" selected="0">
            <x v="1"/>
          </reference>
          <reference field="3" count="1" selected="0">
            <x v="6"/>
          </reference>
          <reference field="4" count="1" selected="0">
            <x v="0"/>
          </reference>
          <reference field="16" count="1">
            <x v="1"/>
          </reference>
        </references>
      </pivotArea>
    </format>
    <format dxfId="3000">
      <pivotArea dataOnly="0" labelOnly="1" outline="0" fieldPosition="0">
        <references count="6">
          <reference field="0" count="1" selected="0">
            <x v="72"/>
          </reference>
          <reference field="1" count="1" selected="0">
            <x v="33"/>
          </reference>
          <reference field="2" count="1" selected="0">
            <x v="4"/>
          </reference>
          <reference field="3" count="1" selected="0">
            <x v="2"/>
          </reference>
          <reference field="4" count="1" selected="0">
            <x v="1"/>
          </reference>
          <reference field="16" count="1">
            <x v="1"/>
          </reference>
        </references>
      </pivotArea>
    </format>
    <format dxfId="2999">
      <pivotArea dataOnly="0" labelOnly="1" outline="0" fieldPosition="0">
        <references count="6">
          <reference field="0" count="1" selected="0">
            <x v="73"/>
          </reference>
          <reference field="1" count="1" selected="0">
            <x v="44"/>
          </reference>
          <reference field="2" count="1" selected="0">
            <x v="5"/>
          </reference>
          <reference field="3" count="1" selected="0">
            <x v="5"/>
          </reference>
          <reference field="4" count="1" selected="0">
            <x v="4"/>
          </reference>
          <reference field="16" count="1">
            <x v="1"/>
          </reference>
        </references>
      </pivotArea>
    </format>
    <format dxfId="2998">
      <pivotArea dataOnly="0" labelOnly="1" outline="0" fieldPosition="0">
        <references count="6">
          <reference field="0" count="1" selected="0">
            <x v="74"/>
          </reference>
          <reference field="1" count="1" selected="0">
            <x v="59"/>
          </reference>
          <reference field="2" count="1" selected="0">
            <x v="2"/>
          </reference>
          <reference field="3" count="1" selected="0">
            <x v="1"/>
          </reference>
          <reference field="4" count="1" selected="0">
            <x v="0"/>
          </reference>
          <reference field="16" count="1">
            <x v="1"/>
          </reference>
        </references>
      </pivotArea>
    </format>
    <format dxfId="2997">
      <pivotArea dataOnly="0" labelOnly="1" outline="0" fieldPosition="0">
        <references count="6">
          <reference field="0" count="1" selected="0">
            <x v="75"/>
          </reference>
          <reference field="1" count="1" selected="0">
            <x v="5"/>
          </reference>
          <reference field="2" count="1" selected="0">
            <x v="0"/>
          </reference>
          <reference field="3" count="1" selected="0">
            <x v="7"/>
          </reference>
          <reference field="4" count="1" selected="0">
            <x v="1"/>
          </reference>
          <reference field="16" count="1">
            <x v="0"/>
          </reference>
        </references>
      </pivotArea>
    </format>
    <format dxfId="2996">
      <pivotArea dataOnly="0" labelOnly="1" outline="0" fieldPosition="0">
        <references count="6">
          <reference field="0" count="1" selected="0">
            <x v="76"/>
          </reference>
          <reference field="1" count="1" selected="0">
            <x v="55"/>
          </reference>
          <reference field="2" count="1" selected="0">
            <x v="1"/>
          </reference>
          <reference field="3" count="1" selected="0">
            <x v="3"/>
          </reference>
          <reference field="4" count="1" selected="0">
            <x v="4"/>
          </reference>
          <reference field="16" count="1">
            <x v="1"/>
          </reference>
        </references>
      </pivotArea>
    </format>
    <format dxfId="2995">
      <pivotArea dataOnly="0" labelOnly="1" outline="0" fieldPosition="0">
        <references count="6">
          <reference field="0" count="1" selected="0">
            <x v="77"/>
          </reference>
          <reference field="1" count="1" selected="0">
            <x v="59"/>
          </reference>
          <reference field="2" count="1" selected="0">
            <x v="2"/>
          </reference>
          <reference field="3" count="1" selected="0">
            <x v="4"/>
          </reference>
          <reference field="4" count="1" selected="0">
            <x v="3"/>
          </reference>
          <reference field="16" count="1">
            <x v="1"/>
          </reference>
        </references>
      </pivotArea>
    </format>
    <format dxfId="2994">
      <pivotArea dataOnly="0" labelOnly="1" outline="0" fieldPosition="0">
        <references count="6">
          <reference field="0" count="1" selected="0">
            <x v="78"/>
          </reference>
          <reference field="1" count="1" selected="0">
            <x v="4"/>
          </reference>
          <reference field="2" count="1" selected="0">
            <x v="0"/>
          </reference>
          <reference field="3" count="1" selected="0">
            <x v="4"/>
          </reference>
          <reference field="4" count="1" selected="0">
            <x v="4"/>
          </reference>
          <reference field="16" count="1">
            <x v="0"/>
          </reference>
        </references>
      </pivotArea>
    </format>
    <format dxfId="2993">
      <pivotArea dataOnly="0" labelOnly="1" outline="0" fieldPosition="0">
        <references count="6">
          <reference field="0" count="1" selected="0">
            <x v="79"/>
          </reference>
          <reference field="1" count="1" selected="0">
            <x v="9"/>
          </reference>
          <reference field="2" count="1" selected="0">
            <x v="3"/>
          </reference>
          <reference field="3" count="1" selected="0">
            <x v="0"/>
          </reference>
          <reference field="4" count="1" selected="0">
            <x v="0"/>
          </reference>
          <reference field="16" count="1">
            <x v="0"/>
          </reference>
        </references>
      </pivotArea>
    </format>
    <format dxfId="2992">
      <pivotArea dataOnly="0" labelOnly="1" outline="0" fieldPosition="0">
        <references count="6">
          <reference field="0" count="1" selected="0">
            <x v="80"/>
          </reference>
          <reference field="1" count="1" selected="0">
            <x v="48"/>
          </reference>
          <reference field="2" count="1" selected="0">
            <x v="5"/>
          </reference>
          <reference field="3" count="1" selected="0">
            <x v="7"/>
          </reference>
          <reference field="4" count="1" selected="0">
            <x v="2"/>
          </reference>
          <reference field="16" count="1">
            <x v="1"/>
          </reference>
        </references>
      </pivotArea>
    </format>
    <format dxfId="2991">
      <pivotArea dataOnly="0" labelOnly="1" outline="0" fieldPosition="0">
        <references count="6">
          <reference field="0" count="1" selected="0">
            <x v="81"/>
          </reference>
          <reference field="1" count="1" selected="0">
            <x v="54"/>
          </reference>
          <reference field="2" count="1" selected="0">
            <x v="2"/>
          </reference>
          <reference field="3" count="1" selected="0">
            <x v="1"/>
          </reference>
          <reference field="4" count="1" selected="0">
            <x v="4"/>
          </reference>
          <reference field="16" count="1">
            <x v="0"/>
          </reference>
        </references>
      </pivotArea>
    </format>
    <format dxfId="2990">
      <pivotArea dataOnly="0" labelOnly="1" outline="0" fieldPosition="0">
        <references count="6">
          <reference field="0" count="1" selected="0">
            <x v="82"/>
          </reference>
          <reference field="1" count="1" selected="0">
            <x v="52"/>
          </reference>
          <reference field="2" count="1" selected="0">
            <x v="1"/>
          </reference>
          <reference field="3" count="1" selected="0">
            <x v="1"/>
          </reference>
          <reference field="4" count="1" selected="0">
            <x v="0"/>
          </reference>
          <reference field="16" count="1">
            <x v="2"/>
          </reference>
        </references>
      </pivotArea>
    </format>
    <format dxfId="2989">
      <pivotArea dataOnly="0" labelOnly="1" outline="0" fieldPosition="0">
        <references count="6">
          <reference field="0" count="1" selected="0">
            <x v="83"/>
          </reference>
          <reference field="1" count="1" selected="0">
            <x v="46"/>
          </reference>
          <reference field="2" count="1" selected="0">
            <x v="3"/>
          </reference>
          <reference field="3" count="1" selected="0">
            <x v="4"/>
          </reference>
          <reference field="4" count="1" selected="0">
            <x v="0"/>
          </reference>
          <reference field="16" count="1">
            <x v="0"/>
          </reference>
        </references>
      </pivotArea>
    </format>
    <format dxfId="2988">
      <pivotArea dataOnly="0" labelOnly="1" outline="0" fieldPosition="0">
        <references count="6">
          <reference field="0" count="1" selected="0">
            <x v="84"/>
          </reference>
          <reference field="1" count="1" selected="0">
            <x v="39"/>
          </reference>
          <reference field="2" count="1" selected="0">
            <x v="2"/>
          </reference>
          <reference field="3" count="1" selected="0">
            <x v="2"/>
          </reference>
          <reference field="4" count="1" selected="0">
            <x v="4"/>
          </reference>
          <reference field="16" count="1">
            <x v="0"/>
          </reference>
        </references>
      </pivotArea>
    </format>
    <format dxfId="2987">
      <pivotArea dataOnly="0" labelOnly="1" outline="0" fieldPosition="0">
        <references count="6">
          <reference field="0" count="1" selected="0">
            <x v="85"/>
          </reference>
          <reference field="1" count="1" selected="0">
            <x v="10"/>
          </reference>
          <reference field="2" count="1" selected="0">
            <x v="4"/>
          </reference>
          <reference field="3" count="1" selected="0">
            <x v="0"/>
          </reference>
          <reference field="4" count="1" selected="0">
            <x v="2"/>
          </reference>
          <reference field="16" count="1">
            <x v="1"/>
          </reference>
        </references>
      </pivotArea>
    </format>
    <format dxfId="2986">
      <pivotArea dataOnly="0" labelOnly="1" outline="0" fieldPosition="0">
        <references count="6">
          <reference field="0" count="1" selected="0">
            <x v="86"/>
          </reference>
          <reference field="1" count="1" selected="0">
            <x v="29"/>
          </reference>
          <reference field="2" count="1" selected="0">
            <x v="1"/>
          </reference>
          <reference field="3" count="1" selected="0">
            <x v="1"/>
          </reference>
          <reference field="4" count="1" selected="0">
            <x v="1"/>
          </reference>
          <reference field="16" count="1">
            <x v="0"/>
          </reference>
        </references>
      </pivotArea>
    </format>
    <format dxfId="2985">
      <pivotArea dataOnly="0" labelOnly="1" outline="0" fieldPosition="0">
        <references count="6">
          <reference field="0" count="1" selected="0">
            <x v="87"/>
          </reference>
          <reference field="1" count="1" selected="0">
            <x v="4"/>
          </reference>
          <reference field="2" count="1" selected="0">
            <x v="0"/>
          </reference>
          <reference field="3" count="1" selected="0">
            <x v="1"/>
          </reference>
          <reference field="4" count="1" selected="0">
            <x v="0"/>
          </reference>
          <reference field="16" count="1">
            <x v="0"/>
          </reference>
        </references>
      </pivotArea>
    </format>
    <format dxfId="2984">
      <pivotArea dataOnly="0" labelOnly="1" outline="0" fieldPosition="0">
        <references count="6">
          <reference field="0" count="1" selected="0">
            <x v="88"/>
          </reference>
          <reference field="1" count="1" selected="0">
            <x v="2"/>
          </reference>
          <reference field="2" count="1" selected="0">
            <x v="3"/>
          </reference>
          <reference field="3" count="1" selected="0">
            <x v="1"/>
          </reference>
          <reference field="4" count="1" selected="0">
            <x v="3"/>
          </reference>
          <reference field="16" count="1">
            <x v="0"/>
          </reference>
        </references>
      </pivotArea>
    </format>
    <format dxfId="2983">
      <pivotArea dataOnly="0" labelOnly="1" outline="0" fieldPosition="0">
        <references count="6">
          <reference field="0" count="1" selected="0">
            <x v="89"/>
          </reference>
          <reference field="1" count="1" selected="0">
            <x v="52"/>
          </reference>
          <reference field="2" count="1" selected="0">
            <x v="1"/>
          </reference>
          <reference field="3" count="1" selected="0">
            <x v="3"/>
          </reference>
          <reference field="4" count="1" selected="0">
            <x v="0"/>
          </reference>
          <reference field="16" count="1">
            <x v="0"/>
          </reference>
        </references>
      </pivotArea>
    </format>
    <format dxfId="2982">
      <pivotArea dataOnly="0" labelOnly="1" outline="0" fieldPosition="0">
        <references count="6">
          <reference field="0" count="1" selected="0">
            <x v="90"/>
          </reference>
          <reference field="1" count="1" selected="0">
            <x v="37"/>
          </reference>
          <reference field="2" count="1" selected="0">
            <x v="1"/>
          </reference>
          <reference field="3" count="1" selected="0">
            <x v="1"/>
          </reference>
          <reference field="4" count="1" selected="0">
            <x v="2"/>
          </reference>
          <reference field="16" count="1">
            <x v="0"/>
          </reference>
        </references>
      </pivotArea>
    </format>
    <format dxfId="2981">
      <pivotArea dataOnly="0" labelOnly="1" outline="0" fieldPosition="0">
        <references count="6">
          <reference field="0" count="1" selected="0">
            <x v="91"/>
          </reference>
          <reference field="1" count="1" selected="0">
            <x v="51"/>
          </reference>
          <reference field="2" count="1" selected="0">
            <x v="0"/>
          </reference>
          <reference field="3" count="1" selected="0">
            <x v="4"/>
          </reference>
          <reference field="4" count="1" selected="0">
            <x v="0"/>
          </reference>
          <reference field="16" count="1">
            <x v="1"/>
          </reference>
        </references>
      </pivotArea>
    </format>
    <format dxfId="2980">
      <pivotArea dataOnly="0" labelOnly="1" outline="0" fieldPosition="0">
        <references count="6">
          <reference field="0" count="1" selected="0">
            <x v="92"/>
          </reference>
          <reference field="1" count="1" selected="0">
            <x v="5"/>
          </reference>
          <reference field="2" count="1" selected="0">
            <x v="0"/>
          </reference>
          <reference field="3" count="1" selected="0">
            <x v="4"/>
          </reference>
          <reference field="4" count="1" selected="0">
            <x v="0"/>
          </reference>
          <reference field="16" count="1">
            <x v="0"/>
          </reference>
        </references>
      </pivotArea>
    </format>
    <format dxfId="2979">
      <pivotArea dataOnly="0" labelOnly="1" outline="0" fieldPosition="0">
        <references count="6">
          <reference field="0" count="1" selected="0">
            <x v="93"/>
          </reference>
          <reference field="1" count="1" selected="0">
            <x v="5"/>
          </reference>
          <reference field="2" count="1" selected="0">
            <x v="0"/>
          </reference>
          <reference field="3" count="1" selected="0">
            <x v="7"/>
          </reference>
          <reference field="4" count="1" selected="0">
            <x v="4"/>
          </reference>
          <reference field="16" count="1">
            <x v="1"/>
          </reference>
        </references>
      </pivotArea>
    </format>
    <format dxfId="2978">
      <pivotArea dataOnly="0" labelOnly="1" outline="0" fieldPosition="0">
        <references count="6">
          <reference field="0" count="1" selected="0">
            <x v="94"/>
          </reference>
          <reference field="1" count="1" selected="0">
            <x v="42"/>
          </reference>
          <reference field="2" count="1" selected="0">
            <x v="2"/>
          </reference>
          <reference field="3" count="1" selected="0">
            <x v="2"/>
          </reference>
          <reference field="4" count="1" selected="0">
            <x v="1"/>
          </reference>
          <reference field="16" count="1">
            <x v="0"/>
          </reference>
        </references>
      </pivotArea>
    </format>
    <format dxfId="2977">
      <pivotArea dataOnly="0" labelOnly="1" outline="0" fieldPosition="0">
        <references count="6">
          <reference field="0" count="1" selected="0">
            <x v="95"/>
          </reference>
          <reference field="1" count="1" selected="0">
            <x v="51"/>
          </reference>
          <reference field="2" count="1" selected="0">
            <x v="0"/>
          </reference>
          <reference field="3" count="1" selected="0">
            <x v="6"/>
          </reference>
          <reference field="4" count="1" selected="0">
            <x v="4"/>
          </reference>
          <reference field="16" count="1">
            <x v="0"/>
          </reference>
        </references>
      </pivotArea>
    </format>
    <format dxfId="2976">
      <pivotArea dataOnly="0" labelOnly="1" outline="0" fieldPosition="0">
        <references count="6">
          <reference field="0" count="1" selected="0">
            <x v="96"/>
          </reference>
          <reference field="1" count="1" selected="0">
            <x v="31"/>
          </reference>
          <reference field="2" count="1" selected="0">
            <x v="3"/>
          </reference>
          <reference field="3" count="1" selected="0">
            <x v="0"/>
          </reference>
          <reference field="4" count="1" selected="0">
            <x v="2"/>
          </reference>
          <reference field="16" count="1">
            <x v="0"/>
          </reference>
        </references>
      </pivotArea>
    </format>
    <format dxfId="2975">
      <pivotArea dataOnly="0" labelOnly="1" outline="0" fieldPosition="0">
        <references count="6">
          <reference field="0" count="1" selected="0">
            <x v="97"/>
          </reference>
          <reference field="1" count="1" selected="0">
            <x v="38"/>
          </reference>
          <reference field="2" count="1" selected="0">
            <x v="5"/>
          </reference>
          <reference field="3" count="1" selected="0">
            <x v="5"/>
          </reference>
          <reference field="4" count="1" selected="0">
            <x v="4"/>
          </reference>
          <reference field="16" count="1">
            <x v="0"/>
          </reference>
        </references>
      </pivotArea>
    </format>
    <format dxfId="2974">
      <pivotArea dataOnly="0" labelOnly="1" outline="0" fieldPosition="0">
        <references count="6">
          <reference field="0" count="1" selected="0">
            <x v="98"/>
          </reference>
          <reference field="1" count="1" selected="0">
            <x v="1"/>
          </reference>
          <reference field="2" count="1" selected="0">
            <x v="5"/>
          </reference>
          <reference field="3" count="1" selected="0">
            <x v="1"/>
          </reference>
          <reference field="4" count="1" selected="0">
            <x v="3"/>
          </reference>
          <reference field="16" count="1">
            <x v="0"/>
          </reference>
        </references>
      </pivotArea>
    </format>
    <format dxfId="2973">
      <pivotArea dataOnly="0" labelOnly="1" outline="0" fieldPosition="0">
        <references count="6">
          <reference field="0" count="1" selected="0">
            <x v="99"/>
          </reference>
          <reference field="1" count="1" selected="0">
            <x v="27"/>
          </reference>
          <reference field="2" count="1" selected="0">
            <x v="0"/>
          </reference>
          <reference field="3" count="1" selected="0">
            <x v="5"/>
          </reference>
          <reference field="4" count="1" selected="0">
            <x v="1"/>
          </reference>
          <reference field="16" count="1">
            <x v="0"/>
          </reference>
        </references>
      </pivotArea>
    </format>
    <format dxfId="2972">
      <pivotArea dataOnly="0" labelOnly="1" outline="0" fieldPosition="0">
        <references count="6">
          <reference field="0" count="1" selected="0">
            <x v="100"/>
          </reference>
          <reference field="1" count="1" selected="0">
            <x v="5"/>
          </reference>
          <reference field="2" count="1" selected="0">
            <x v="0"/>
          </reference>
          <reference field="3" count="1" selected="0">
            <x v="1"/>
          </reference>
          <reference field="4" count="1" selected="0">
            <x v="3"/>
          </reference>
          <reference field="16" count="1">
            <x v="1"/>
          </reference>
        </references>
      </pivotArea>
    </format>
    <format dxfId="2971">
      <pivotArea dataOnly="0" labelOnly="1" outline="0" fieldPosition="0">
        <references count="6">
          <reference field="0" count="1" selected="0">
            <x v="101"/>
          </reference>
          <reference field="1" count="1" selected="0">
            <x v="49"/>
          </reference>
          <reference field="2" count="1" selected="0">
            <x v="3"/>
          </reference>
          <reference field="3" count="1" selected="0">
            <x v="4"/>
          </reference>
          <reference field="4" count="1" selected="0">
            <x v="0"/>
          </reference>
          <reference field="16" count="1">
            <x v="0"/>
          </reference>
        </references>
      </pivotArea>
    </format>
    <format dxfId="2970">
      <pivotArea dataOnly="0" labelOnly="1" outline="0" fieldPosition="0">
        <references count="6">
          <reference field="0" count="1" selected="0">
            <x v="102"/>
          </reference>
          <reference field="1" count="1" selected="0">
            <x v="35"/>
          </reference>
          <reference field="2" count="1" selected="0">
            <x v="4"/>
          </reference>
          <reference field="3" count="1" selected="0">
            <x v="1"/>
          </reference>
          <reference field="4" count="1" selected="0">
            <x v="0"/>
          </reference>
          <reference field="16" count="1">
            <x v="1"/>
          </reference>
        </references>
      </pivotArea>
    </format>
    <format dxfId="2969">
      <pivotArea dataOnly="0" labelOnly="1" outline="0" fieldPosition="0">
        <references count="6">
          <reference field="0" count="1" selected="0">
            <x v="103"/>
          </reference>
          <reference field="1" count="1" selected="0">
            <x v="42"/>
          </reference>
          <reference field="2" count="1" selected="0">
            <x v="2"/>
          </reference>
          <reference field="3" count="1" selected="0">
            <x v="7"/>
          </reference>
          <reference field="4" count="1" selected="0">
            <x v="4"/>
          </reference>
          <reference field="16" count="1">
            <x v="0"/>
          </reference>
        </references>
      </pivotArea>
    </format>
    <format dxfId="2968">
      <pivotArea dataOnly="0" labelOnly="1" outline="0" fieldPosition="0">
        <references count="6">
          <reference field="0" count="1" selected="0">
            <x v="104"/>
          </reference>
          <reference field="1" count="1" selected="0">
            <x v="25"/>
          </reference>
          <reference field="2" count="1" selected="0">
            <x v="1"/>
          </reference>
          <reference field="3" count="1" selected="0">
            <x v="2"/>
          </reference>
          <reference field="4" count="1" selected="0">
            <x v="1"/>
          </reference>
          <reference field="16" count="1">
            <x v="1"/>
          </reference>
        </references>
      </pivotArea>
    </format>
    <format dxfId="2967">
      <pivotArea dataOnly="0" labelOnly="1" outline="0" fieldPosition="0">
        <references count="6">
          <reference field="0" count="1" selected="0">
            <x v="105"/>
          </reference>
          <reference field="1" count="1" selected="0">
            <x v="26"/>
          </reference>
          <reference field="2" count="1" selected="0">
            <x v="5"/>
          </reference>
          <reference field="3" count="1" selected="0">
            <x v="7"/>
          </reference>
          <reference field="4" count="1" selected="0">
            <x v="0"/>
          </reference>
          <reference field="16" count="1">
            <x v="1"/>
          </reference>
        </references>
      </pivotArea>
    </format>
    <format dxfId="2966">
      <pivotArea dataOnly="0" labelOnly="1" outline="0" fieldPosition="0">
        <references count="6">
          <reference field="0" count="1" selected="0">
            <x v="106"/>
          </reference>
          <reference field="1" count="1" selected="0">
            <x v="6"/>
          </reference>
          <reference field="2" count="1" selected="0">
            <x v="3"/>
          </reference>
          <reference field="3" count="1" selected="0">
            <x v="3"/>
          </reference>
          <reference field="4" count="1" selected="0">
            <x v="1"/>
          </reference>
          <reference field="16" count="1">
            <x v="1"/>
          </reference>
        </references>
      </pivotArea>
    </format>
    <format dxfId="2965">
      <pivotArea dataOnly="0" labelOnly="1" outline="0" fieldPosition="0">
        <references count="6">
          <reference field="0" count="1" selected="0">
            <x v="107"/>
          </reference>
          <reference field="1" count="1" selected="0">
            <x v="0"/>
          </reference>
          <reference field="2" count="1" selected="0">
            <x v="0"/>
          </reference>
          <reference field="3" count="1" selected="0">
            <x v="4"/>
          </reference>
          <reference field="4" count="1" selected="0">
            <x v="4"/>
          </reference>
          <reference field="16" count="1">
            <x v="0"/>
          </reference>
        </references>
      </pivotArea>
    </format>
    <format dxfId="2964">
      <pivotArea dataOnly="0" labelOnly="1" outline="0" fieldPosition="0">
        <references count="6">
          <reference field="0" count="1" selected="0">
            <x v="108"/>
          </reference>
          <reference field="1" count="1" selected="0">
            <x v="44"/>
          </reference>
          <reference field="2" count="1" selected="0">
            <x v="5"/>
          </reference>
          <reference field="3" count="1" selected="0">
            <x v="7"/>
          </reference>
          <reference field="4" count="1" selected="0">
            <x v="3"/>
          </reference>
          <reference field="16" count="1">
            <x v="0"/>
          </reference>
        </references>
      </pivotArea>
    </format>
    <format dxfId="2963">
      <pivotArea dataOnly="0" labelOnly="1" outline="0" fieldPosition="0">
        <references count="6">
          <reference field="0" count="1" selected="0">
            <x v="109"/>
          </reference>
          <reference field="1" count="1" selected="0">
            <x v="8"/>
          </reference>
          <reference field="2" count="1" selected="0">
            <x v="5"/>
          </reference>
          <reference field="3" count="1" selected="0">
            <x v="0"/>
          </reference>
          <reference field="4" count="1" selected="0">
            <x v="3"/>
          </reference>
          <reference field="16" count="1">
            <x v="0"/>
          </reference>
        </references>
      </pivotArea>
    </format>
    <format dxfId="2962">
      <pivotArea dataOnly="0" labelOnly="1" outline="0" fieldPosition="0">
        <references count="6">
          <reference field="0" count="1" selected="0">
            <x v="110"/>
          </reference>
          <reference field="1" count="1" selected="0">
            <x v="44"/>
          </reference>
          <reference field="2" count="1" selected="0">
            <x v="5"/>
          </reference>
          <reference field="3" count="1" selected="0">
            <x v="1"/>
          </reference>
          <reference field="4" count="1" selected="0">
            <x v="3"/>
          </reference>
          <reference field="16" count="1">
            <x v="0"/>
          </reference>
        </references>
      </pivotArea>
    </format>
    <format dxfId="2961">
      <pivotArea dataOnly="0" labelOnly="1" outline="0" fieldPosition="0">
        <references count="6">
          <reference field="0" count="1" selected="0">
            <x v="111"/>
          </reference>
          <reference field="1" count="1" selected="0">
            <x v="49"/>
          </reference>
          <reference field="2" count="1" selected="0">
            <x v="3"/>
          </reference>
          <reference field="3" count="1" selected="0">
            <x v="3"/>
          </reference>
          <reference field="4" count="1" selected="0">
            <x v="4"/>
          </reference>
          <reference field="16" count="1">
            <x v="0"/>
          </reference>
        </references>
      </pivotArea>
    </format>
    <format dxfId="2960">
      <pivotArea dataOnly="0" labelOnly="1" outline="0" fieldPosition="0">
        <references count="6">
          <reference field="0" count="1" selected="0">
            <x v="112"/>
          </reference>
          <reference field="1" count="1" selected="0">
            <x v="57"/>
          </reference>
          <reference field="2" count="1" selected="0">
            <x v="0"/>
          </reference>
          <reference field="3" count="1" selected="0">
            <x v="5"/>
          </reference>
          <reference field="4" count="1" selected="0">
            <x v="3"/>
          </reference>
          <reference field="16" count="1">
            <x v="0"/>
          </reference>
        </references>
      </pivotArea>
    </format>
    <format dxfId="2959">
      <pivotArea dataOnly="0" labelOnly="1" outline="0" fieldPosition="0">
        <references count="6">
          <reference field="0" count="1" selected="0">
            <x v="113"/>
          </reference>
          <reference field="1" count="1" selected="0">
            <x v="21"/>
          </reference>
          <reference field="2" count="1" selected="0">
            <x v="2"/>
          </reference>
          <reference field="3" count="1" selected="0">
            <x v="3"/>
          </reference>
          <reference field="4" count="1" selected="0">
            <x v="3"/>
          </reference>
          <reference field="16" count="1">
            <x v="0"/>
          </reference>
        </references>
      </pivotArea>
    </format>
    <format dxfId="2958">
      <pivotArea dataOnly="0" labelOnly="1" outline="0" fieldPosition="0">
        <references count="6">
          <reference field="0" count="1" selected="0">
            <x v="114"/>
          </reference>
          <reference field="1" count="1" selected="0">
            <x v="54"/>
          </reference>
          <reference field="2" count="1" selected="0">
            <x v="2"/>
          </reference>
          <reference field="3" count="1" selected="0">
            <x v="3"/>
          </reference>
          <reference field="4" count="1" selected="0">
            <x v="3"/>
          </reference>
          <reference field="16" count="1">
            <x v="0"/>
          </reference>
        </references>
      </pivotArea>
    </format>
    <format dxfId="2957">
      <pivotArea dataOnly="0" labelOnly="1" outline="0" fieldPosition="0">
        <references count="6">
          <reference field="0" count="1" selected="0">
            <x v="115"/>
          </reference>
          <reference field="1" count="1" selected="0">
            <x v="1"/>
          </reference>
          <reference field="2" count="1" selected="0">
            <x v="5"/>
          </reference>
          <reference field="3" count="1" selected="0">
            <x v="6"/>
          </reference>
          <reference field="4" count="1" selected="0">
            <x v="2"/>
          </reference>
          <reference field="16" count="1">
            <x v="0"/>
          </reference>
        </references>
      </pivotArea>
    </format>
    <format dxfId="2956">
      <pivotArea dataOnly="0" labelOnly="1" outline="0" fieldPosition="0">
        <references count="6">
          <reference field="0" count="1" selected="0">
            <x v="116"/>
          </reference>
          <reference field="1" count="1" selected="0">
            <x v="37"/>
          </reference>
          <reference field="2" count="1" selected="0">
            <x v="1"/>
          </reference>
          <reference field="3" count="1" selected="0">
            <x v="6"/>
          </reference>
          <reference field="4" count="1" selected="0">
            <x v="3"/>
          </reference>
          <reference field="16" count="1">
            <x v="0"/>
          </reference>
        </references>
      </pivotArea>
    </format>
    <format dxfId="2955">
      <pivotArea dataOnly="0" labelOnly="1" outline="0" fieldPosition="0">
        <references count="6">
          <reference field="0" count="1" selected="0">
            <x v="117"/>
          </reference>
          <reference field="1" count="1" selected="0">
            <x v="39"/>
          </reference>
          <reference field="2" count="1" selected="0">
            <x v="2"/>
          </reference>
          <reference field="3" count="1" selected="0">
            <x v="5"/>
          </reference>
          <reference field="4" count="1" selected="0">
            <x v="1"/>
          </reference>
          <reference field="16" count="1">
            <x v="1"/>
          </reference>
        </references>
      </pivotArea>
    </format>
    <format dxfId="2954">
      <pivotArea dataOnly="0" labelOnly="1" outline="0" fieldPosition="0">
        <references count="6">
          <reference field="0" count="1" selected="0">
            <x v="118"/>
          </reference>
          <reference field="1" count="1" selected="0">
            <x v="7"/>
          </reference>
          <reference field="2" count="1" selected="0">
            <x v="3"/>
          </reference>
          <reference field="3" count="1" selected="0">
            <x v="6"/>
          </reference>
          <reference field="4" count="1" selected="0">
            <x v="0"/>
          </reference>
          <reference field="16" count="1">
            <x v="1"/>
          </reference>
        </references>
      </pivotArea>
    </format>
    <format dxfId="2953">
      <pivotArea dataOnly="0" labelOnly="1" outline="0" fieldPosition="0">
        <references count="6">
          <reference field="0" count="1" selected="0">
            <x v="119"/>
          </reference>
          <reference field="1" count="1" selected="0">
            <x v="44"/>
          </reference>
          <reference field="2" count="1" selected="0">
            <x v="5"/>
          </reference>
          <reference field="3" count="1" selected="0">
            <x v="1"/>
          </reference>
          <reference field="4" count="1" selected="0">
            <x v="4"/>
          </reference>
          <reference field="16" count="1">
            <x v="0"/>
          </reference>
        </references>
      </pivotArea>
    </format>
    <format dxfId="2952">
      <pivotArea dataOnly="0" labelOnly="1" outline="0" fieldPosition="0">
        <references count="6">
          <reference field="0" count="1" selected="0">
            <x v="120"/>
          </reference>
          <reference field="1" count="1" selected="0">
            <x v="8"/>
          </reference>
          <reference field="2" count="1" selected="0">
            <x v="5"/>
          </reference>
          <reference field="3" count="1" selected="0">
            <x v="4"/>
          </reference>
          <reference field="4" count="1" selected="0">
            <x v="2"/>
          </reference>
          <reference field="16" count="1">
            <x v="0"/>
          </reference>
        </references>
      </pivotArea>
    </format>
    <format dxfId="2951">
      <pivotArea dataOnly="0" labelOnly="1" outline="0" fieldPosition="0">
        <references count="6">
          <reference field="0" count="1" selected="0">
            <x v="121"/>
          </reference>
          <reference field="1" count="1" selected="0">
            <x v="50"/>
          </reference>
          <reference field="2" count="1" selected="0">
            <x v="3"/>
          </reference>
          <reference field="3" count="1" selected="0">
            <x v="6"/>
          </reference>
          <reference field="4" count="1" selected="0">
            <x v="0"/>
          </reference>
          <reference field="16" count="1">
            <x v="1"/>
          </reference>
        </references>
      </pivotArea>
    </format>
    <format dxfId="2950">
      <pivotArea dataOnly="0" labelOnly="1" outline="0" fieldPosition="0">
        <references count="6">
          <reference field="0" count="1" selected="0">
            <x v="122"/>
          </reference>
          <reference field="1" count="1" selected="0">
            <x v="21"/>
          </reference>
          <reference field="2" count="1" selected="0">
            <x v="2"/>
          </reference>
          <reference field="3" count="1" selected="0">
            <x v="3"/>
          </reference>
          <reference field="4" count="1" selected="0">
            <x v="3"/>
          </reference>
          <reference field="16" count="1">
            <x v="1"/>
          </reference>
        </references>
      </pivotArea>
    </format>
    <format dxfId="2949">
      <pivotArea dataOnly="0" labelOnly="1" outline="0" fieldPosition="0">
        <references count="6">
          <reference field="0" count="1" selected="0">
            <x v="123"/>
          </reference>
          <reference field="1" count="1" selected="0">
            <x v="39"/>
          </reference>
          <reference field="2" count="1" selected="0">
            <x v="2"/>
          </reference>
          <reference field="3" count="1" selected="0">
            <x v="1"/>
          </reference>
          <reference field="4" count="1" selected="0">
            <x v="0"/>
          </reference>
          <reference field="16" count="1">
            <x v="1"/>
          </reference>
        </references>
      </pivotArea>
    </format>
    <format dxfId="2948">
      <pivotArea dataOnly="0" labelOnly="1" outline="0" fieldPosition="0">
        <references count="6">
          <reference field="0" count="1" selected="0">
            <x v="124"/>
          </reference>
          <reference field="1" count="1" selected="0">
            <x v="36"/>
          </reference>
          <reference field="2" count="1" selected="0">
            <x v="1"/>
          </reference>
          <reference field="3" count="1" selected="0">
            <x v="5"/>
          </reference>
          <reference field="4" count="1" selected="0">
            <x v="1"/>
          </reference>
          <reference field="16" count="1">
            <x v="1"/>
          </reference>
        </references>
      </pivotArea>
    </format>
    <format dxfId="2947">
      <pivotArea dataOnly="0" labelOnly="1" outline="0" fieldPosition="0">
        <references count="6">
          <reference field="0" count="1" selected="0">
            <x v="125"/>
          </reference>
          <reference field="1" count="1" selected="0">
            <x v="2"/>
          </reference>
          <reference field="2" count="1" selected="0">
            <x v="3"/>
          </reference>
          <reference field="3" count="1" selected="0">
            <x v="5"/>
          </reference>
          <reference field="4" count="1" selected="0">
            <x v="2"/>
          </reference>
          <reference field="16" count="1">
            <x v="0"/>
          </reference>
        </references>
      </pivotArea>
    </format>
    <format dxfId="2946">
      <pivotArea dataOnly="0" labelOnly="1" outline="0" fieldPosition="0">
        <references count="6">
          <reference field="0" count="1" selected="0">
            <x v="126"/>
          </reference>
          <reference field="1" count="1" selected="0">
            <x v="2"/>
          </reference>
          <reference field="2" count="1" selected="0">
            <x v="3"/>
          </reference>
          <reference field="3" count="1" selected="0">
            <x v="0"/>
          </reference>
          <reference field="4" count="1" selected="0">
            <x v="0"/>
          </reference>
          <reference field="16" count="1">
            <x v="0"/>
          </reference>
        </references>
      </pivotArea>
    </format>
    <format dxfId="2945">
      <pivotArea dataOnly="0" labelOnly="1" outline="0" fieldPosition="0">
        <references count="6">
          <reference field="0" count="1" selected="0">
            <x v="127"/>
          </reference>
          <reference field="1" count="1" selected="0">
            <x v="35"/>
          </reference>
          <reference field="2" count="1" selected="0">
            <x v="4"/>
          </reference>
          <reference field="3" count="1" selected="0">
            <x v="4"/>
          </reference>
          <reference field="4" count="1" selected="0">
            <x v="2"/>
          </reference>
          <reference field="16" count="1">
            <x v="0"/>
          </reference>
        </references>
      </pivotArea>
    </format>
    <format dxfId="2944">
      <pivotArea dataOnly="0" labelOnly="1" outline="0" fieldPosition="0">
        <references count="6">
          <reference field="0" count="1" selected="0">
            <x v="128"/>
          </reference>
          <reference field="1" count="1" selected="0">
            <x v="12"/>
          </reference>
          <reference field="2" count="1" selected="0">
            <x v="4"/>
          </reference>
          <reference field="3" count="1" selected="0">
            <x v="6"/>
          </reference>
          <reference field="4" count="1" selected="0">
            <x v="0"/>
          </reference>
          <reference field="16" count="1">
            <x v="0"/>
          </reference>
        </references>
      </pivotArea>
    </format>
    <format dxfId="2943">
      <pivotArea dataOnly="0" labelOnly="1" outline="0" fieldPosition="0">
        <references count="6">
          <reference field="0" count="1" selected="0">
            <x v="129"/>
          </reference>
          <reference field="1" count="1" selected="0">
            <x v="1"/>
          </reference>
          <reference field="2" count="1" selected="0">
            <x v="5"/>
          </reference>
          <reference field="3" count="1" selected="0">
            <x v="5"/>
          </reference>
          <reference field="4" count="1" selected="0">
            <x v="2"/>
          </reference>
          <reference field="16" count="1">
            <x v="0"/>
          </reference>
        </references>
      </pivotArea>
    </format>
    <format dxfId="2942">
      <pivotArea dataOnly="0" labelOnly="1" outline="0" fieldPosition="0">
        <references count="6">
          <reference field="0" count="1" selected="0">
            <x v="130"/>
          </reference>
          <reference field="1" count="1" selected="0">
            <x v="41"/>
          </reference>
          <reference field="2" count="1" selected="0">
            <x v="0"/>
          </reference>
          <reference field="3" count="1" selected="0">
            <x v="3"/>
          </reference>
          <reference field="4" count="1" selected="0">
            <x v="2"/>
          </reference>
          <reference field="16" count="1">
            <x v="1"/>
          </reference>
        </references>
      </pivotArea>
    </format>
    <format dxfId="2941">
      <pivotArea dataOnly="0" labelOnly="1" outline="0" fieldPosition="0">
        <references count="6">
          <reference field="0" count="1" selected="0">
            <x v="131"/>
          </reference>
          <reference field="1" count="1" selected="0">
            <x v="40"/>
          </reference>
          <reference field="2" count="1" selected="0">
            <x v="2"/>
          </reference>
          <reference field="3" count="1" selected="0">
            <x v="7"/>
          </reference>
          <reference field="4" count="1" selected="0">
            <x v="1"/>
          </reference>
          <reference field="16" count="1">
            <x v="0"/>
          </reference>
        </references>
      </pivotArea>
    </format>
    <format dxfId="2940">
      <pivotArea dataOnly="0" labelOnly="1" outline="0" fieldPosition="0">
        <references count="6">
          <reference field="0" count="1" selected="0">
            <x v="132"/>
          </reference>
          <reference field="1" count="1" selected="0">
            <x v="14"/>
          </reference>
          <reference field="2" count="1" selected="0">
            <x v="4"/>
          </reference>
          <reference field="3" count="1" selected="0">
            <x v="3"/>
          </reference>
          <reference field="4" count="1" selected="0">
            <x v="2"/>
          </reference>
          <reference field="16" count="1">
            <x v="0"/>
          </reference>
        </references>
      </pivotArea>
    </format>
    <format dxfId="2939">
      <pivotArea dataOnly="0" labelOnly="1" outline="0" fieldPosition="0">
        <references count="6">
          <reference field="0" count="1" selected="0">
            <x v="133"/>
          </reference>
          <reference field="1" count="1" selected="0">
            <x v="24"/>
          </reference>
          <reference field="2" count="1" selected="0">
            <x v="0"/>
          </reference>
          <reference field="3" count="1" selected="0">
            <x v="0"/>
          </reference>
          <reference field="4" count="1" selected="0">
            <x v="0"/>
          </reference>
          <reference field="16" count="1">
            <x v="1"/>
          </reference>
        </references>
      </pivotArea>
    </format>
    <format dxfId="2938">
      <pivotArea dataOnly="0" labelOnly="1" outline="0" fieldPosition="0">
        <references count="6">
          <reference field="0" count="1" selected="0">
            <x v="134"/>
          </reference>
          <reference field="1" count="1" selected="0">
            <x v="13"/>
          </reference>
          <reference field="2" count="1" selected="0">
            <x v="3"/>
          </reference>
          <reference field="3" count="1" selected="0">
            <x v="5"/>
          </reference>
          <reference field="4" count="1" selected="0">
            <x v="0"/>
          </reference>
          <reference field="16" count="1">
            <x v="0"/>
          </reference>
        </references>
      </pivotArea>
    </format>
    <format dxfId="2937">
      <pivotArea dataOnly="0" labelOnly="1" outline="0" fieldPosition="0">
        <references count="6">
          <reference field="0" count="1" selected="0">
            <x v="135"/>
          </reference>
          <reference field="1" count="1" selected="0">
            <x v="42"/>
          </reference>
          <reference field="2" count="1" selected="0">
            <x v="2"/>
          </reference>
          <reference field="3" count="1" selected="0">
            <x v="7"/>
          </reference>
          <reference field="4" count="1" selected="0">
            <x v="0"/>
          </reference>
          <reference field="16" count="1">
            <x v="0"/>
          </reference>
        </references>
      </pivotArea>
    </format>
    <format dxfId="2936">
      <pivotArea dataOnly="0" labelOnly="1" outline="0" fieldPosition="0">
        <references count="6">
          <reference field="0" count="1" selected="0">
            <x v="136"/>
          </reference>
          <reference field="1" count="1" selected="0">
            <x v="52"/>
          </reference>
          <reference field="2" count="1" selected="0">
            <x v="1"/>
          </reference>
          <reference field="3" count="1" selected="0">
            <x v="5"/>
          </reference>
          <reference field="4" count="1" selected="0">
            <x v="2"/>
          </reference>
          <reference field="16" count="1">
            <x v="0"/>
          </reference>
        </references>
      </pivotArea>
    </format>
    <format dxfId="2935">
      <pivotArea dataOnly="0" labelOnly="1" outline="0" fieldPosition="0">
        <references count="6">
          <reference field="0" count="1" selected="0">
            <x v="137"/>
          </reference>
          <reference field="1" count="1" selected="0">
            <x v="39"/>
          </reference>
          <reference field="2" count="1" selected="0">
            <x v="2"/>
          </reference>
          <reference field="3" count="1" selected="0">
            <x v="0"/>
          </reference>
          <reference field="4" count="1" selected="0">
            <x v="1"/>
          </reference>
          <reference field="16" count="1">
            <x v="0"/>
          </reference>
        </references>
      </pivotArea>
    </format>
    <format dxfId="2934">
      <pivotArea dataOnly="0" labelOnly="1" outline="0" fieldPosition="0">
        <references count="6">
          <reference field="0" count="1" selected="0">
            <x v="138"/>
          </reference>
          <reference field="1" count="1" selected="0">
            <x v="45"/>
          </reference>
          <reference field="2" count="1" selected="0">
            <x v="5"/>
          </reference>
          <reference field="3" count="1" selected="0">
            <x v="4"/>
          </reference>
          <reference field="4" count="1" selected="0">
            <x v="2"/>
          </reference>
          <reference field="16" count="1">
            <x v="0"/>
          </reference>
        </references>
      </pivotArea>
    </format>
    <format dxfId="2933">
      <pivotArea dataOnly="0" labelOnly="1" outline="0" fieldPosition="0">
        <references count="6">
          <reference field="0" count="1" selected="0">
            <x v="139"/>
          </reference>
          <reference field="1" count="1" selected="0">
            <x v="8"/>
          </reference>
          <reference field="2" count="1" selected="0">
            <x v="5"/>
          </reference>
          <reference field="3" count="1" selected="0">
            <x v="4"/>
          </reference>
          <reference field="4" count="1" selected="0">
            <x v="4"/>
          </reference>
          <reference field="16" count="1">
            <x v="0"/>
          </reference>
        </references>
      </pivotArea>
    </format>
    <format dxfId="2932">
      <pivotArea dataOnly="0" labelOnly="1" outline="0" fieldPosition="0">
        <references count="6">
          <reference field="0" count="1" selected="0">
            <x v="140"/>
          </reference>
          <reference field="1" count="1" selected="0">
            <x v="40"/>
          </reference>
          <reference field="2" count="1" selected="0">
            <x v="2"/>
          </reference>
          <reference field="3" count="1" selected="0">
            <x v="6"/>
          </reference>
          <reference field="4" count="1" selected="0">
            <x v="3"/>
          </reference>
          <reference field="16" count="1">
            <x v="0"/>
          </reference>
        </references>
      </pivotArea>
    </format>
    <format dxfId="2931">
      <pivotArea dataOnly="0" labelOnly="1" outline="0" fieldPosition="0">
        <references count="6">
          <reference field="0" count="1" selected="0">
            <x v="141"/>
          </reference>
          <reference field="1" count="1" selected="0">
            <x v="1"/>
          </reference>
          <reference field="2" count="1" selected="0">
            <x v="5"/>
          </reference>
          <reference field="3" count="1" selected="0">
            <x v="0"/>
          </reference>
          <reference field="4" count="1" selected="0">
            <x v="0"/>
          </reference>
          <reference field="16" count="1">
            <x v="0"/>
          </reference>
        </references>
      </pivotArea>
    </format>
    <format dxfId="2930">
      <pivotArea dataOnly="0" labelOnly="1" outline="0" fieldPosition="0">
        <references count="6">
          <reference field="0" count="1" selected="0">
            <x v="142"/>
          </reference>
          <reference field="1" count="1" selected="0">
            <x v="34"/>
          </reference>
          <reference field="2" count="1" selected="0">
            <x v="5"/>
          </reference>
          <reference field="3" count="1" selected="0">
            <x v="1"/>
          </reference>
          <reference field="4" count="1" selected="0">
            <x v="3"/>
          </reference>
          <reference field="16" count="1">
            <x v="0"/>
          </reference>
        </references>
      </pivotArea>
    </format>
    <format dxfId="2929">
      <pivotArea dataOnly="0" labelOnly="1" outline="0" fieldPosition="0">
        <references count="6">
          <reference field="0" count="1" selected="0">
            <x v="143"/>
          </reference>
          <reference field="1" count="1" selected="0">
            <x v="25"/>
          </reference>
          <reference field="2" count="1" selected="0">
            <x v="1"/>
          </reference>
          <reference field="3" count="1" selected="0">
            <x v="0"/>
          </reference>
          <reference field="4" count="1" selected="0">
            <x v="1"/>
          </reference>
          <reference field="16" count="1">
            <x v="0"/>
          </reference>
        </references>
      </pivotArea>
    </format>
    <format dxfId="2928">
      <pivotArea dataOnly="0" labelOnly="1" outline="0" fieldPosition="0">
        <references count="6">
          <reference field="0" count="1" selected="0">
            <x v="144"/>
          </reference>
          <reference field="1" count="1" selected="0">
            <x v="58"/>
          </reference>
          <reference field="2" count="1" selected="0">
            <x v="1"/>
          </reference>
          <reference field="3" count="1" selected="0">
            <x v="6"/>
          </reference>
          <reference field="4" count="1" selected="0">
            <x v="1"/>
          </reference>
          <reference field="16" count="1">
            <x v="0"/>
          </reference>
        </references>
      </pivotArea>
    </format>
    <format dxfId="2927">
      <pivotArea dataOnly="0" labelOnly="1" outline="0" fieldPosition="0">
        <references count="6">
          <reference field="0" count="1" selected="0">
            <x v="145"/>
          </reference>
          <reference field="1" count="1" selected="0">
            <x v="58"/>
          </reference>
          <reference field="2" count="1" selected="0">
            <x v="1"/>
          </reference>
          <reference field="3" count="1" selected="0">
            <x v="2"/>
          </reference>
          <reference field="4" count="1" selected="0">
            <x v="4"/>
          </reference>
          <reference field="16" count="1">
            <x v="1"/>
          </reference>
        </references>
      </pivotArea>
    </format>
    <format dxfId="2926">
      <pivotArea dataOnly="0" labelOnly="1" outline="0" fieldPosition="0">
        <references count="6">
          <reference field="0" count="1" selected="0">
            <x v="146"/>
          </reference>
          <reference field="1" count="1" selected="0">
            <x v="4"/>
          </reference>
          <reference field="2" count="1" selected="0">
            <x v="0"/>
          </reference>
          <reference field="3" count="1" selected="0">
            <x v="2"/>
          </reference>
          <reference field="4" count="1" selected="0">
            <x v="1"/>
          </reference>
          <reference field="16" count="1">
            <x v="0"/>
          </reference>
        </references>
      </pivotArea>
    </format>
    <format dxfId="2925">
      <pivotArea dataOnly="0" labelOnly="1" outline="0" fieldPosition="0">
        <references count="6">
          <reference field="0" count="1" selected="0">
            <x v="147"/>
          </reference>
          <reference field="1" count="1" selected="0">
            <x v="42"/>
          </reference>
          <reference field="2" count="1" selected="0">
            <x v="2"/>
          </reference>
          <reference field="3" count="1" selected="0">
            <x v="5"/>
          </reference>
          <reference field="4" count="1" selected="0">
            <x v="2"/>
          </reference>
          <reference field="16" count="1">
            <x v="0"/>
          </reference>
        </references>
      </pivotArea>
    </format>
    <format dxfId="2924">
      <pivotArea dataOnly="0" labelOnly="1" outline="0" fieldPosition="0">
        <references count="6">
          <reference field="0" count="1" selected="0">
            <x v="148"/>
          </reference>
          <reference field="1" count="1" selected="0">
            <x v="19"/>
          </reference>
          <reference field="2" count="1" selected="0">
            <x v="5"/>
          </reference>
          <reference field="3" count="1" selected="0">
            <x v="7"/>
          </reference>
          <reference field="4" count="1" selected="0">
            <x v="0"/>
          </reference>
          <reference field="16" count="1">
            <x v="1"/>
          </reference>
        </references>
      </pivotArea>
    </format>
    <format dxfId="2923">
      <pivotArea dataOnly="0" labelOnly="1" outline="0" fieldPosition="0">
        <references count="6">
          <reference field="0" count="1" selected="0">
            <x v="149"/>
          </reference>
          <reference field="1" count="1" selected="0">
            <x v="6"/>
          </reference>
          <reference field="2" count="1" selected="0">
            <x v="3"/>
          </reference>
          <reference field="3" count="1" selected="0">
            <x v="3"/>
          </reference>
          <reference field="4" count="1" selected="0">
            <x v="2"/>
          </reference>
          <reference field="16" count="1">
            <x v="0"/>
          </reference>
        </references>
      </pivotArea>
    </format>
    <format dxfId="2922">
      <pivotArea dataOnly="0" labelOnly="1" outline="0" fieldPosition="0">
        <references count="6">
          <reference field="0" count="1" selected="0">
            <x v="150"/>
          </reference>
          <reference field="1" count="1" selected="0">
            <x v="55"/>
          </reference>
          <reference field="2" count="1" selected="0">
            <x v="1"/>
          </reference>
          <reference field="3" count="1" selected="0">
            <x v="7"/>
          </reference>
          <reference field="4" count="1" selected="0">
            <x v="0"/>
          </reference>
          <reference field="16" count="1">
            <x v="0"/>
          </reference>
        </references>
      </pivotArea>
    </format>
    <format dxfId="2921">
      <pivotArea dataOnly="0" labelOnly="1" outline="0" fieldPosition="0">
        <references count="6">
          <reference field="0" count="1" selected="0">
            <x v="151"/>
          </reference>
          <reference field="1" count="1" selected="0">
            <x v="18"/>
          </reference>
          <reference field="2" count="1" selected="0">
            <x v="2"/>
          </reference>
          <reference field="3" count="1" selected="0">
            <x v="6"/>
          </reference>
          <reference field="4" count="1" selected="0">
            <x v="3"/>
          </reference>
          <reference field="16" count="1">
            <x v="1"/>
          </reference>
        </references>
      </pivotArea>
    </format>
    <format dxfId="2920">
      <pivotArea dataOnly="0" labelOnly="1" outline="0" fieldPosition="0">
        <references count="6">
          <reference field="0" count="1" selected="0">
            <x v="152"/>
          </reference>
          <reference field="1" count="1" selected="0">
            <x v="25"/>
          </reference>
          <reference field="2" count="1" selected="0">
            <x v="1"/>
          </reference>
          <reference field="3" count="1" selected="0">
            <x v="1"/>
          </reference>
          <reference field="4" count="1" selected="0">
            <x v="4"/>
          </reference>
          <reference field="16" count="1">
            <x v="0"/>
          </reference>
        </references>
      </pivotArea>
    </format>
    <format dxfId="2919">
      <pivotArea dataOnly="0" labelOnly="1" outline="0" fieldPosition="0">
        <references count="6">
          <reference field="0" count="1" selected="0">
            <x v="153"/>
          </reference>
          <reference field="1" count="1" selected="0">
            <x v="1"/>
          </reference>
          <reference field="2" count="1" selected="0">
            <x v="5"/>
          </reference>
          <reference field="3" count="1" selected="0">
            <x v="1"/>
          </reference>
          <reference field="4" count="1" selected="0">
            <x v="3"/>
          </reference>
          <reference field="16" count="1">
            <x v="0"/>
          </reference>
        </references>
      </pivotArea>
    </format>
    <format dxfId="2918">
      <pivotArea dataOnly="0" labelOnly="1" outline="0" fieldPosition="0">
        <references count="6">
          <reference field="0" count="1" selected="0">
            <x v="154"/>
          </reference>
          <reference field="1" count="1" selected="0">
            <x v="44"/>
          </reference>
          <reference field="2" count="1" selected="0">
            <x v="5"/>
          </reference>
          <reference field="3" count="1" selected="0">
            <x v="1"/>
          </reference>
          <reference field="4" count="1" selected="0">
            <x v="1"/>
          </reference>
          <reference field="16" count="1">
            <x v="0"/>
          </reference>
        </references>
      </pivotArea>
    </format>
    <format dxfId="2917">
      <pivotArea dataOnly="0" labelOnly="1" outline="0" fieldPosition="0">
        <references count="6">
          <reference field="0" count="1" selected="0">
            <x v="155"/>
          </reference>
          <reference field="1" count="1" selected="0">
            <x v="34"/>
          </reference>
          <reference field="2" count="1" selected="0">
            <x v="5"/>
          </reference>
          <reference field="3" count="1" selected="0">
            <x v="5"/>
          </reference>
          <reference field="4" count="1" selected="0">
            <x v="4"/>
          </reference>
          <reference field="16" count="1">
            <x v="0"/>
          </reference>
        </references>
      </pivotArea>
    </format>
    <format dxfId="2916">
      <pivotArea dataOnly="0" labelOnly="1" outline="0" fieldPosition="0">
        <references count="6">
          <reference field="0" count="1" selected="0">
            <x v="156"/>
          </reference>
          <reference field="1" count="1" selected="0">
            <x v="29"/>
          </reference>
          <reference field="2" count="1" selected="0">
            <x v="1"/>
          </reference>
          <reference field="3" count="1" selected="0">
            <x v="5"/>
          </reference>
          <reference field="4" count="1" selected="0">
            <x v="1"/>
          </reference>
          <reference field="16" count="1">
            <x v="1"/>
          </reference>
        </references>
      </pivotArea>
    </format>
    <format dxfId="2915">
      <pivotArea dataOnly="0" labelOnly="1" outline="0" fieldPosition="0">
        <references count="6">
          <reference field="0" count="1" selected="0">
            <x v="157"/>
          </reference>
          <reference field="1" count="1" selected="0">
            <x v="38"/>
          </reference>
          <reference field="2" count="1" selected="0">
            <x v="5"/>
          </reference>
          <reference field="3" count="1" selected="0">
            <x v="4"/>
          </reference>
          <reference field="4" count="1" selected="0">
            <x v="3"/>
          </reference>
          <reference field="16" count="1">
            <x v="0"/>
          </reference>
        </references>
      </pivotArea>
    </format>
    <format dxfId="2914">
      <pivotArea dataOnly="0" labelOnly="1" outline="0" fieldPosition="0">
        <references count="6">
          <reference field="0" count="1" selected="0">
            <x v="158"/>
          </reference>
          <reference field="1" count="1" selected="0">
            <x v="29"/>
          </reference>
          <reference field="2" count="1" selected="0">
            <x v="1"/>
          </reference>
          <reference field="3" count="1" selected="0">
            <x v="4"/>
          </reference>
          <reference field="4" count="1" selected="0">
            <x v="2"/>
          </reference>
          <reference field="16" count="1">
            <x v="1"/>
          </reference>
        </references>
      </pivotArea>
    </format>
    <format dxfId="2913">
      <pivotArea dataOnly="0" labelOnly="1" outline="0" fieldPosition="0">
        <references count="6">
          <reference field="0" count="1" selected="0">
            <x v="159"/>
          </reference>
          <reference field="1" count="1" selected="0">
            <x v="57"/>
          </reference>
          <reference field="2" count="1" selected="0">
            <x v="0"/>
          </reference>
          <reference field="3" count="1" selected="0">
            <x v="2"/>
          </reference>
          <reference field="4" count="1" selected="0">
            <x v="3"/>
          </reference>
          <reference field="16" count="1">
            <x v="0"/>
          </reference>
        </references>
      </pivotArea>
    </format>
    <format dxfId="2912">
      <pivotArea dataOnly="0" labelOnly="1" outline="0" fieldPosition="0">
        <references count="6">
          <reference field="0" count="1" selected="0">
            <x v="160"/>
          </reference>
          <reference field="1" count="1" selected="0">
            <x v="27"/>
          </reference>
          <reference field="2" count="1" selected="0">
            <x v="0"/>
          </reference>
          <reference field="3" count="1" selected="0">
            <x v="5"/>
          </reference>
          <reference field="4" count="1" selected="0">
            <x v="2"/>
          </reference>
          <reference field="16" count="1">
            <x v="1"/>
          </reference>
        </references>
      </pivotArea>
    </format>
    <format dxfId="2911">
      <pivotArea dataOnly="0" labelOnly="1" outline="0" fieldPosition="0">
        <references count="6">
          <reference field="0" count="1" selected="0">
            <x v="161"/>
          </reference>
          <reference field="1" count="1" selected="0">
            <x v="23"/>
          </reference>
          <reference field="2" count="1" selected="0">
            <x v="2"/>
          </reference>
          <reference field="3" count="1" selected="0">
            <x v="5"/>
          </reference>
          <reference field="4" count="1" selected="0">
            <x v="1"/>
          </reference>
          <reference field="16" count="1">
            <x v="0"/>
          </reference>
        </references>
      </pivotArea>
    </format>
    <format dxfId="2910">
      <pivotArea dataOnly="0" labelOnly="1" outline="0" fieldPosition="0">
        <references count="6">
          <reference field="0" count="1" selected="0">
            <x v="162"/>
          </reference>
          <reference field="1" count="1" selected="0">
            <x v="13"/>
          </reference>
          <reference field="2" count="1" selected="0">
            <x v="3"/>
          </reference>
          <reference field="3" count="1" selected="0">
            <x v="5"/>
          </reference>
          <reference field="4" count="1" selected="0">
            <x v="3"/>
          </reference>
          <reference field="16" count="1">
            <x v="0"/>
          </reference>
        </references>
      </pivotArea>
    </format>
    <format dxfId="2909">
      <pivotArea dataOnly="0" labelOnly="1" outline="0" fieldPosition="0">
        <references count="6">
          <reference field="0" count="1" selected="0">
            <x v="163"/>
          </reference>
          <reference field="1" count="1" selected="0">
            <x v="29"/>
          </reference>
          <reference field="2" count="1" selected="0">
            <x v="1"/>
          </reference>
          <reference field="3" count="1" selected="0">
            <x v="3"/>
          </reference>
          <reference field="4" count="1" selected="0">
            <x v="3"/>
          </reference>
          <reference field="16" count="1">
            <x v="0"/>
          </reference>
        </references>
      </pivotArea>
    </format>
    <format dxfId="2908">
      <pivotArea dataOnly="0" labelOnly="1" outline="0" fieldPosition="0">
        <references count="6">
          <reference field="0" count="1" selected="0">
            <x v="164"/>
          </reference>
          <reference field="1" count="1" selected="0">
            <x v="50"/>
          </reference>
          <reference field="2" count="1" selected="0">
            <x v="3"/>
          </reference>
          <reference field="3" count="1" selected="0">
            <x v="1"/>
          </reference>
          <reference field="4" count="1" selected="0">
            <x v="2"/>
          </reference>
          <reference field="16" count="1">
            <x v="0"/>
          </reference>
        </references>
      </pivotArea>
    </format>
    <format dxfId="2907">
      <pivotArea dataOnly="0" labelOnly="1" outline="0" fieldPosition="0">
        <references count="6">
          <reference field="0" count="1" selected="0">
            <x v="165"/>
          </reference>
          <reference field="1" count="1" selected="0">
            <x v="48"/>
          </reference>
          <reference field="2" count="1" selected="0">
            <x v="5"/>
          </reference>
          <reference field="3" count="1" selected="0">
            <x v="6"/>
          </reference>
          <reference field="4" count="1" selected="0">
            <x v="3"/>
          </reference>
          <reference field="16" count="1">
            <x v="0"/>
          </reference>
        </references>
      </pivotArea>
    </format>
    <format dxfId="2906">
      <pivotArea dataOnly="0" labelOnly="1" outline="0" fieldPosition="0">
        <references count="6">
          <reference field="0" count="1" selected="0">
            <x v="166"/>
          </reference>
          <reference field="1" count="1" selected="0">
            <x v="40"/>
          </reference>
          <reference field="2" count="1" selected="0">
            <x v="2"/>
          </reference>
          <reference field="3" count="1" selected="0">
            <x v="0"/>
          </reference>
          <reference field="4" count="1" selected="0">
            <x v="1"/>
          </reference>
          <reference field="16" count="1">
            <x v="0"/>
          </reference>
        </references>
      </pivotArea>
    </format>
    <format dxfId="2905">
      <pivotArea dataOnly="0" labelOnly="1" outline="0" fieldPosition="0">
        <references count="6">
          <reference field="0" count="1" selected="0">
            <x v="167"/>
          </reference>
          <reference field="1" count="1" selected="0">
            <x v="58"/>
          </reference>
          <reference field="2" count="1" selected="0">
            <x v="1"/>
          </reference>
          <reference field="3" count="1" selected="0">
            <x v="6"/>
          </reference>
          <reference field="4" count="1" selected="0">
            <x v="1"/>
          </reference>
          <reference field="16" count="1">
            <x v="1"/>
          </reference>
        </references>
      </pivotArea>
    </format>
    <format dxfId="2904">
      <pivotArea dataOnly="0" labelOnly="1" outline="0" fieldPosition="0">
        <references count="6">
          <reference field="0" count="1" selected="0">
            <x v="168"/>
          </reference>
          <reference field="1" count="1" selected="0">
            <x v="11"/>
          </reference>
          <reference field="2" count="1" selected="0">
            <x v="4"/>
          </reference>
          <reference field="3" count="1" selected="0">
            <x v="1"/>
          </reference>
          <reference field="4" count="1" selected="0">
            <x v="0"/>
          </reference>
          <reference field="16" count="1">
            <x v="1"/>
          </reference>
        </references>
      </pivotArea>
    </format>
    <format dxfId="2903">
      <pivotArea dataOnly="0" labelOnly="1" outline="0" fieldPosition="0">
        <references count="6">
          <reference field="0" count="1" selected="0">
            <x v="169"/>
          </reference>
          <reference field="1" count="1" selected="0">
            <x v="40"/>
          </reference>
          <reference field="2" count="1" selected="0">
            <x v="2"/>
          </reference>
          <reference field="3" count="1" selected="0">
            <x v="3"/>
          </reference>
          <reference field="4" count="1" selected="0">
            <x v="0"/>
          </reference>
          <reference field="16" count="1">
            <x v="0"/>
          </reference>
        </references>
      </pivotArea>
    </format>
    <format dxfId="2902">
      <pivotArea dataOnly="0" labelOnly="1" outline="0" fieldPosition="0">
        <references count="6">
          <reference field="0" count="1" selected="0">
            <x v="170"/>
          </reference>
          <reference field="1" count="1" selected="0">
            <x v="33"/>
          </reference>
          <reference field="2" count="1" selected="0">
            <x v="4"/>
          </reference>
          <reference field="3" count="1" selected="0">
            <x v="6"/>
          </reference>
          <reference field="4" count="1" selected="0">
            <x v="4"/>
          </reference>
          <reference field="16" count="1">
            <x v="1"/>
          </reference>
        </references>
      </pivotArea>
    </format>
    <format dxfId="2901">
      <pivotArea dataOnly="0" labelOnly="1" outline="0" fieldPosition="0">
        <references count="6">
          <reference field="0" count="1" selected="0">
            <x v="171"/>
          </reference>
          <reference field="1" count="1" selected="0">
            <x v="7"/>
          </reference>
          <reference field="2" count="1" selected="0">
            <x v="3"/>
          </reference>
          <reference field="3" count="1" selected="0">
            <x v="3"/>
          </reference>
          <reference field="4" count="1" selected="0">
            <x v="1"/>
          </reference>
          <reference field="16" count="1">
            <x v="0"/>
          </reference>
        </references>
      </pivotArea>
    </format>
    <format dxfId="2900">
      <pivotArea dataOnly="0" labelOnly="1" outline="0" fieldPosition="0">
        <references count="6">
          <reference field="0" count="1" selected="0">
            <x v="172"/>
          </reference>
          <reference field="1" count="1" selected="0">
            <x v="3"/>
          </reference>
          <reference field="2" count="1" selected="0">
            <x v="4"/>
          </reference>
          <reference field="3" count="1" selected="0">
            <x v="4"/>
          </reference>
          <reference field="4" count="1" selected="0">
            <x v="1"/>
          </reference>
          <reference field="16" count="1">
            <x v="1"/>
          </reference>
        </references>
      </pivotArea>
    </format>
    <format dxfId="2899">
      <pivotArea dataOnly="0" labelOnly="1" outline="0" fieldPosition="0">
        <references count="6">
          <reference field="0" count="1" selected="0">
            <x v="173"/>
          </reference>
          <reference field="1" count="1" selected="0">
            <x v="48"/>
          </reference>
          <reference field="2" count="1" selected="0">
            <x v="5"/>
          </reference>
          <reference field="3" count="1" selected="0">
            <x v="7"/>
          </reference>
          <reference field="4" count="1" selected="0">
            <x v="3"/>
          </reference>
          <reference field="16" count="1">
            <x v="0"/>
          </reference>
        </references>
      </pivotArea>
    </format>
    <format dxfId="2898">
      <pivotArea dataOnly="0" labelOnly="1" outline="0" fieldPosition="0">
        <references count="6">
          <reference field="0" count="1" selected="0">
            <x v="174"/>
          </reference>
          <reference field="1" count="1" selected="0">
            <x v="23"/>
          </reference>
          <reference field="2" count="1" selected="0">
            <x v="2"/>
          </reference>
          <reference field="3" count="1" selected="0">
            <x v="3"/>
          </reference>
          <reference field="4" count="1" selected="0">
            <x v="2"/>
          </reference>
          <reference field="16" count="1">
            <x v="0"/>
          </reference>
        </references>
      </pivotArea>
    </format>
    <format dxfId="2897">
      <pivotArea dataOnly="0" labelOnly="1" outline="0" fieldPosition="0">
        <references count="6">
          <reference field="0" count="1" selected="0">
            <x v="175"/>
          </reference>
          <reference field="1" count="1" selected="0">
            <x v="2"/>
          </reference>
          <reference field="2" count="1" selected="0">
            <x v="3"/>
          </reference>
          <reference field="3" count="1" selected="0">
            <x v="1"/>
          </reference>
          <reference field="4" count="1" selected="0">
            <x v="0"/>
          </reference>
          <reference field="16" count="1">
            <x v="0"/>
          </reference>
        </references>
      </pivotArea>
    </format>
    <format dxfId="2896">
      <pivotArea dataOnly="0" labelOnly="1" outline="0" fieldPosition="0">
        <references count="6">
          <reference field="0" count="1" selected="0">
            <x v="176"/>
          </reference>
          <reference field="1" count="1" selected="0">
            <x v="58"/>
          </reference>
          <reference field="2" count="1" selected="0">
            <x v="1"/>
          </reference>
          <reference field="3" count="1" selected="0">
            <x v="7"/>
          </reference>
          <reference field="4" count="1" selected="0">
            <x v="1"/>
          </reference>
          <reference field="16" count="1">
            <x v="0"/>
          </reference>
        </references>
      </pivotArea>
    </format>
    <format dxfId="2895">
      <pivotArea dataOnly="0" labelOnly="1" outline="0" fieldPosition="0">
        <references count="6">
          <reference field="0" count="1" selected="0">
            <x v="177"/>
          </reference>
          <reference field="1" count="1" selected="0">
            <x v="42"/>
          </reference>
          <reference field="2" count="1" selected="0">
            <x v="2"/>
          </reference>
          <reference field="3" count="1" selected="0">
            <x v="0"/>
          </reference>
          <reference field="4" count="1" selected="0">
            <x v="4"/>
          </reference>
          <reference field="16" count="1">
            <x v="0"/>
          </reference>
        </references>
      </pivotArea>
    </format>
    <format dxfId="2894">
      <pivotArea dataOnly="0" labelOnly="1" outline="0" fieldPosition="0">
        <references count="6">
          <reference field="0" count="1" selected="0">
            <x v="178"/>
          </reference>
          <reference field="1" count="1" selected="0">
            <x v="44"/>
          </reference>
          <reference field="2" count="1" selected="0">
            <x v="5"/>
          </reference>
          <reference field="3" count="1" selected="0">
            <x v="7"/>
          </reference>
          <reference field="4" count="1" selected="0">
            <x v="0"/>
          </reference>
          <reference field="16" count="1">
            <x v="1"/>
          </reference>
        </references>
      </pivotArea>
    </format>
    <format dxfId="2893">
      <pivotArea dataOnly="0" labelOnly="1" outline="0" fieldPosition="0">
        <references count="6">
          <reference field="0" count="1" selected="0">
            <x v="179"/>
          </reference>
          <reference field="1" count="1" selected="0">
            <x v="8"/>
          </reference>
          <reference field="2" count="1" selected="0">
            <x v="5"/>
          </reference>
          <reference field="3" count="1" selected="0">
            <x v="2"/>
          </reference>
          <reference field="4" count="1" selected="0">
            <x v="3"/>
          </reference>
          <reference field="16" count="1">
            <x v="0"/>
          </reference>
        </references>
      </pivotArea>
    </format>
    <format dxfId="2892">
      <pivotArea dataOnly="0" labelOnly="1" outline="0" fieldPosition="0">
        <references count="6">
          <reference field="0" count="1" selected="0">
            <x v="180"/>
          </reference>
          <reference field="1" count="1" selected="0">
            <x v="37"/>
          </reference>
          <reference field="2" count="1" selected="0">
            <x v="1"/>
          </reference>
          <reference field="3" count="1" selected="0">
            <x v="5"/>
          </reference>
          <reference field="4" count="1" selected="0">
            <x v="1"/>
          </reference>
          <reference field="16" count="1">
            <x v="0"/>
          </reference>
        </references>
      </pivotArea>
    </format>
    <format dxfId="2891">
      <pivotArea dataOnly="0" labelOnly="1" outline="0" fieldPosition="0">
        <references count="6">
          <reference field="0" count="1" selected="0">
            <x v="181"/>
          </reference>
          <reference field="1" count="1" selected="0">
            <x v="51"/>
          </reference>
          <reference field="2" count="1" selected="0">
            <x v="0"/>
          </reference>
          <reference field="3" count="1" selected="0">
            <x v="0"/>
          </reference>
          <reference field="4" count="1" selected="0">
            <x v="2"/>
          </reference>
          <reference field="16" count="1">
            <x v="0"/>
          </reference>
        </references>
      </pivotArea>
    </format>
    <format dxfId="2890">
      <pivotArea dataOnly="0" labelOnly="1" outline="0" fieldPosition="0">
        <references count="6">
          <reference field="0" count="1" selected="0">
            <x v="182"/>
          </reference>
          <reference field="1" count="1" selected="0">
            <x v="48"/>
          </reference>
          <reference field="2" count="1" selected="0">
            <x v="5"/>
          </reference>
          <reference field="3" count="1" selected="0">
            <x v="3"/>
          </reference>
          <reference field="4" count="1" selected="0">
            <x v="0"/>
          </reference>
          <reference field="16" count="1">
            <x v="0"/>
          </reference>
        </references>
      </pivotArea>
    </format>
    <format dxfId="2889">
      <pivotArea dataOnly="0" labelOnly="1" outline="0" fieldPosition="0">
        <references count="6">
          <reference field="0" count="1" selected="0">
            <x v="183"/>
          </reference>
          <reference field="1" count="1" selected="0">
            <x v="41"/>
          </reference>
          <reference field="2" count="1" selected="0">
            <x v="0"/>
          </reference>
          <reference field="3" count="1" selected="0">
            <x v="4"/>
          </reference>
          <reference field="4" count="1" selected="0">
            <x v="0"/>
          </reference>
          <reference field="16" count="1">
            <x v="0"/>
          </reference>
        </references>
      </pivotArea>
    </format>
    <format dxfId="2888">
      <pivotArea dataOnly="0" labelOnly="1" outline="0" fieldPosition="0">
        <references count="6">
          <reference field="0" count="1" selected="0">
            <x v="184"/>
          </reference>
          <reference field="1" count="1" selected="0">
            <x v="26"/>
          </reference>
          <reference field="2" count="1" selected="0">
            <x v="5"/>
          </reference>
          <reference field="3" count="1" selected="0">
            <x v="6"/>
          </reference>
          <reference field="4" count="1" selected="0">
            <x v="3"/>
          </reference>
          <reference field="16" count="1">
            <x v="1"/>
          </reference>
        </references>
      </pivotArea>
    </format>
    <format dxfId="2887">
      <pivotArea dataOnly="0" labelOnly="1" outline="0" fieldPosition="0">
        <references count="6">
          <reference field="0" count="1" selected="0">
            <x v="185"/>
          </reference>
          <reference field="1" count="1" selected="0">
            <x v="54"/>
          </reference>
          <reference field="2" count="1" selected="0">
            <x v="2"/>
          </reference>
          <reference field="3" count="1" selected="0">
            <x v="6"/>
          </reference>
          <reference field="4" count="1" selected="0">
            <x v="1"/>
          </reference>
          <reference field="16" count="1">
            <x v="0"/>
          </reference>
        </references>
      </pivotArea>
    </format>
    <format dxfId="2886">
      <pivotArea dataOnly="0" labelOnly="1" outline="0" fieldPosition="0">
        <references count="6">
          <reference field="0" count="1" selected="0">
            <x v="186"/>
          </reference>
          <reference field="1" count="1" selected="0">
            <x v="53"/>
          </reference>
          <reference field="2" count="1" selected="0">
            <x v="1"/>
          </reference>
          <reference field="3" count="1" selected="0">
            <x v="1"/>
          </reference>
          <reference field="4" count="1" selected="0">
            <x v="0"/>
          </reference>
          <reference field="16" count="1">
            <x v="0"/>
          </reference>
        </references>
      </pivotArea>
    </format>
    <format dxfId="2885">
      <pivotArea dataOnly="0" labelOnly="1" outline="0" fieldPosition="0">
        <references count="6">
          <reference field="0" count="1" selected="0">
            <x v="187"/>
          </reference>
          <reference field="1" count="1" selected="0">
            <x v="12"/>
          </reference>
          <reference field="2" count="1" selected="0">
            <x v="4"/>
          </reference>
          <reference field="3" count="1" selected="0">
            <x v="4"/>
          </reference>
          <reference field="4" count="1" selected="0">
            <x v="1"/>
          </reference>
          <reference field="16" count="1">
            <x v="0"/>
          </reference>
        </references>
      </pivotArea>
    </format>
    <format dxfId="2884">
      <pivotArea dataOnly="0" labelOnly="1" outline="0" fieldPosition="0">
        <references count="6">
          <reference field="0" count="1" selected="0">
            <x v="188"/>
          </reference>
          <reference field="1" count="1" selected="0">
            <x v="28"/>
          </reference>
          <reference field="2" count="1" selected="0">
            <x v="3"/>
          </reference>
          <reference field="3" count="1" selected="0">
            <x v="7"/>
          </reference>
          <reference field="4" count="1" selected="0">
            <x v="1"/>
          </reference>
          <reference field="16" count="1">
            <x v="1"/>
          </reference>
        </references>
      </pivotArea>
    </format>
    <format dxfId="2883">
      <pivotArea dataOnly="0" labelOnly="1" outline="0" fieldPosition="0">
        <references count="6">
          <reference field="0" count="1" selected="0">
            <x v="189"/>
          </reference>
          <reference field="1" count="1" selected="0">
            <x v="52"/>
          </reference>
          <reference field="2" count="1" selected="0">
            <x v="1"/>
          </reference>
          <reference field="3" count="1" selected="0">
            <x v="5"/>
          </reference>
          <reference field="4" count="1" selected="0">
            <x v="0"/>
          </reference>
          <reference field="16" count="1">
            <x v="0"/>
          </reference>
        </references>
      </pivotArea>
    </format>
    <format dxfId="2882">
      <pivotArea dataOnly="0" labelOnly="1" outline="0" fieldPosition="0">
        <references count="6">
          <reference field="0" count="1" selected="0">
            <x v="190"/>
          </reference>
          <reference field="1" count="1" selected="0">
            <x v="20"/>
          </reference>
          <reference field="2" count="1" selected="0">
            <x v="4"/>
          </reference>
          <reference field="3" count="1" selected="0">
            <x v="2"/>
          </reference>
          <reference field="4" count="1" selected="0">
            <x v="3"/>
          </reference>
          <reference field="16" count="1">
            <x v="0"/>
          </reference>
        </references>
      </pivotArea>
    </format>
    <format dxfId="2881">
      <pivotArea dataOnly="0" labelOnly="1" outline="0" fieldPosition="0">
        <references count="6">
          <reference field="0" count="1" selected="0">
            <x v="191"/>
          </reference>
          <reference field="1" count="1" selected="0">
            <x v="8"/>
          </reference>
          <reference field="2" count="1" selected="0">
            <x v="5"/>
          </reference>
          <reference field="3" count="1" selected="0">
            <x v="2"/>
          </reference>
          <reference field="4" count="1" selected="0">
            <x v="1"/>
          </reference>
          <reference field="16" count="1">
            <x v="0"/>
          </reference>
        </references>
      </pivotArea>
    </format>
    <format dxfId="2880">
      <pivotArea dataOnly="0" labelOnly="1" outline="0" fieldPosition="0">
        <references count="6">
          <reference field="0" count="1" selected="0">
            <x v="192"/>
          </reference>
          <reference field="1" count="1" selected="0">
            <x v="46"/>
          </reference>
          <reference field="2" count="1" selected="0">
            <x v="3"/>
          </reference>
          <reference field="3" count="1" selected="0">
            <x v="3"/>
          </reference>
          <reference field="4" count="1" selected="0">
            <x v="1"/>
          </reference>
          <reference field="16" count="1">
            <x v="0"/>
          </reference>
        </references>
      </pivotArea>
    </format>
    <format dxfId="2879">
      <pivotArea dataOnly="0" labelOnly="1" outline="0" fieldPosition="0">
        <references count="6">
          <reference field="0" count="1" selected="0">
            <x v="193"/>
          </reference>
          <reference field="1" count="1" selected="0">
            <x v="24"/>
          </reference>
          <reference field="2" count="1" selected="0">
            <x v="0"/>
          </reference>
          <reference field="3" count="1" selected="0">
            <x v="7"/>
          </reference>
          <reference field="4" count="1" selected="0">
            <x v="0"/>
          </reference>
          <reference field="16" count="1">
            <x v="0"/>
          </reference>
        </references>
      </pivotArea>
    </format>
    <format dxfId="2878">
      <pivotArea dataOnly="0" labelOnly="1" outline="0" fieldPosition="0">
        <references count="6">
          <reference field="0" count="1" selected="0">
            <x v="194"/>
          </reference>
          <reference field="1" count="1" selected="0">
            <x v="4"/>
          </reference>
          <reference field="2" count="1" selected="0">
            <x v="0"/>
          </reference>
          <reference field="3" count="1" selected="0">
            <x v="6"/>
          </reference>
          <reference field="4" count="1" selected="0">
            <x v="3"/>
          </reference>
          <reference field="16" count="1">
            <x v="0"/>
          </reference>
        </references>
      </pivotArea>
    </format>
    <format dxfId="2877">
      <pivotArea dataOnly="0" labelOnly="1" outline="0" fieldPosition="0">
        <references count="6">
          <reference field="0" count="1" selected="0">
            <x v="195"/>
          </reference>
          <reference field="1" count="1" selected="0">
            <x v="24"/>
          </reference>
          <reference field="2" count="1" selected="0">
            <x v="0"/>
          </reference>
          <reference field="3" count="1" selected="0">
            <x v="3"/>
          </reference>
          <reference field="4" count="1" selected="0">
            <x v="4"/>
          </reference>
          <reference field="16" count="1">
            <x v="0"/>
          </reference>
        </references>
      </pivotArea>
    </format>
    <format dxfId="2876">
      <pivotArea dataOnly="0" labelOnly="1" outline="0" fieldPosition="0">
        <references count="6">
          <reference field="0" count="1" selected="0">
            <x v="196"/>
          </reference>
          <reference field="1" count="1" selected="0">
            <x v="18"/>
          </reference>
          <reference field="2" count="1" selected="0">
            <x v="2"/>
          </reference>
          <reference field="3" count="1" selected="0">
            <x v="3"/>
          </reference>
          <reference field="4" count="1" selected="0">
            <x v="3"/>
          </reference>
          <reference field="16" count="1">
            <x v="1"/>
          </reference>
        </references>
      </pivotArea>
    </format>
    <format dxfId="2875">
      <pivotArea dataOnly="0" labelOnly="1" outline="0" fieldPosition="0">
        <references count="6">
          <reference field="0" count="1" selected="0">
            <x v="197"/>
          </reference>
          <reference field="1" count="1" selected="0">
            <x v="50"/>
          </reference>
          <reference field="2" count="1" selected="0">
            <x v="3"/>
          </reference>
          <reference field="3" count="1" selected="0">
            <x v="3"/>
          </reference>
          <reference field="4" count="1" selected="0">
            <x v="2"/>
          </reference>
          <reference field="16" count="1">
            <x v="0"/>
          </reference>
        </references>
      </pivotArea>
    </format>
    <format dxfId="2874">
      <pivotArea dataOnly="0" labelOnly="1" outline="0" fieldPosition="0">
        <references count="6">
          <reference field="0" count="1" selected="0">
            <x v="198"/>
          </reference>
          <reference field="1" count="1" selected="0">
            <x v="17"/>
          </reference>
          <reference field="2" count="1" selected="0">
            <x v="4"/>
          </reference>
          <reference field="3" count="1" selected="0">
            <x v="1"/>
          </reference>
          <reference field="4" count="1" selected="0">
            <x v="4"/>
          </reference>
          <reference field="16" count="1">
            <x v="0"/>
          </reference>
        </references>
      </pivotArea>
    </format>
    <format dxfId="2873">
      <pivotArea dataOnly="0" labelOnly="1" outline="0" fieldPosition="0">
        <references count="6">
          <reference field="0" count="1" selected="0">
            <x v="199"/>
          </reference>
          <reference field="1" count="1" selected="0">
            <x v="30"/>
          </reference>
          <reference field="2" count="1" selected="0">
            <x v="1"/>
          </reference>
          <reference field="3" count="1" selected="0">
            <x v="5"/>
          </reference>
          <reference field="4" count="1" selected="0">
            <x v="3"/>
          </reference>
          <reference field="16" count="1">
            <x v="0"/>
          </reference>
        </references>
      </pivotArea>
    </format>
    <format dxfId="2872">
      <pivotArea dataOnly="0" labelOnly="1" outline="0" fieldPosition="0">
        <references count="6">
          <reference field="0" count="1" selected="0">
            <x v="200"/>
          </reference>
          <reference field="1" count="1" selected="0">
            <x v="52"/>
          </reference>
          <reference field="2" count="1" selected="0">
            <x v="1"/>
          </reference>
          <reference field="3" count="1" selected="0">
            <x v="1"/>
          </reference>
          <reference field="4" count="1" selected="0">
            <x v="1"/>
          </reference>
          <reference field="16" count="1">
            <x v="0"/>
          </reference>
        </references>
      </pivotArea>
    </format>
    <format dxfId="2871">
      <pivotArea dataOnly="0" labelOnly="1" outline="0" fieldPosition="0">
        <references count="6">
          <reference field="0" count="1" selected="0">
            <x v="201"/>
          </reference>
          <reference field="1" count="1" selected="0">
            <x v="14"/>
          </reference>
          <reference field="2" count="1" selected="0">
            <x v="4"/>
          </reference>
          <reference field="3" count="1" selected="0">
            <x v="1"/>
          </reference>
          <reference field="4" count="1" selected="0">
            <x v="3"/>
          </reference>
          <reference field="16" count="1">
            <x v="0"/>
          </reference>
        </references>
      </pivotArea>
    </format>
    <format dxfId="2870">
      <pivotArea dataOnly="0" labelOnly="1" outline="0" fieldPosition="0">
        <references count="6">
          <reference field="0" count="1" selected="0">
            <x v="202"/>
          </reference>
          <reference field="1" count="1" selected="0">
            <x v="3"/>
          </reference>
          <reference field="2" count="1" selected="0">
            <x v="4"/>
          </reference>
          <reference field="3" count="1" selected="0">
            <x v="0"/>
          </reference>
          <reference field="4" count="1" selected="0">
            <x v="1"/>
          </reference>
          <reference field="16" count="1">
            <x v="1"/>
          </reference>
        </references>
      </pivotArea>
    </format>
    <format dxfId="2869">
      <pivotArea dataOnly="0" labelOnly="1" outline="0" fieldPosition="0">
        <references count="6">
          <reference field="0" count="1" selected="0">
            <x v="203"/>
          </reference>
          <reference field="1" count="1" selected="0">
            <x v="11"/>
          </reference>
          <reference field="2" count="1" selected="0">
            <x v="4"/>
          </reference>
          <reference field="3" count="1" selected="0">
            <x v="2"/>
          </reference>
          <reference field="4" count="1" selected="0">
            <x v="4"/>
          </reference>
          <reference field="16" count="1">
            <x v="0"/>
          </reference>
        </references>
      </pivotArea>
    </format>
    <format dxfId="2868">
      <pivotArea dataOnly="0" labelOnly="1" outline="0" fieldPosition="0">
        <references count="6">
          <reference field="0" count="1" selected="0">
            <x v="204"/>
          </reference>
          <reference field="1" count="1" selected="0">
            <x v="59"/>
          </reference>
          <reference field="2" count="1" selected="0">
            <x v="2"/>
          </reference>
          <reference field="3" count="1" selected="0">
            <x v="2"/>
          </reference>
          <reference field="4" count="1" selected="0">
            <x v="1"/>
          </reference>
          <reference field="16" count="1">
            <x v="1"/>
          </reference>
        </references>
      </pivotArea>
    </format>
    <format dxfId="2867">
      <pivotArea dataOnly="0" labelOnly="1" outline="0" fieldPosition="0">
        <references count="6">
          <reference field="0" count="1" selected="0">
            <x v="205"/>
          </reference>
          <reference field="1" count="1" selected="0">
            <x v="12"/>
          </reference>
          <reference field="2" count="1" selected="0">
            <x v="4"/>
          </reference>
          <reference field="3" count="1" selected="0">
            <x v="2"/>
          </reference>
          <reference field="4" count="1" selected="0">
            <x v="2"/>
          </reference>
          <reference field="16" count="1">
            <x v="1"/>
          </reference>
        </references>
      </pivotArea>
    </format>
    <format dxfId="2866">
      <pivotArea dataOnly="0" labelOnly="1" outline="0" fieldPosition="0">
        <references count="6">
          <reference field="0" count="1" selected="0">
            <x v="206"/>
          </reference>
          <reference field="1" count="1" selected="0">
            <x v="42"/>
          </reference>
          <reference field="2" count="1" selected="0">
            <x v="2"/>
          </reference>
          <reference field="3" count="1" selected="0">
            <x v="2"/>
          </reference>
          <reference field="4" count="1" selected="0">
            <x v="0"/>
          </reference>
          <reference field="16" count="1">
            <x v="0"/>
          </reference>
        </references>
      </pivotArea>
    </format>
    <format dxfId="2865">
      <pivotArea dataOnly="0" labelOnly="1" outline="0" fieldPosition="0">
        <references count="6">
          <reference field="0" count="1" selected="0">
            <x v="207"/>
          </reference>
          <reference field="1" count="1" selected="0">
            <x v="47"/>
          </reference>
          <reference field="2" count="1" selected="0">
            <x v="0"/>
          </reference>
          <reference field="3" count="1" selected="0">
            <x v="4"/>
          </reference>
          <reference field="4" count="1" selected="0">
            <x v="3"/>
          </reference>
          <reference field="16" count="1">
            <x v="0"/>
          </reference>
        </references>
      </pivotArea>
    </format>
    <format dxfId="2864">
      <pivotArea dataOnly="0" labelOnly="1" outline="0" fieldPosition="0">
        <references count="6">
          <reference field="0" count="1" selected="0">
            <x v="208"/>
          </reference>
          <reference field="1" count="1" selected="0">
            <x v="16"/>
          </reference>
          <reference field="2" count="1" selected="0">
            <x v="5"/>
          </reference>
          <reference field="3" count="1" selected="0">
            <x v="0"/>
          </reference>
          <reference field="4" count="1" selected="0">
            <x v="2"/>
          </reference>
          <reference field="16" count="1">
            <x v="0"/>
          </reference>
        </references>
      </pivotArea>
    </format>
    <format dxfId="2863">
      <pivotArea dataOnly="0" labelOnly="1" outline="0" fieldPosition="0">
        <references count="6">
          <reference field="0" count="1" selected="0">
            <x v="209"/>
          </reference>
          <reference field="1" count="1" selected="0">
            <x v="39"/>
          </reference>
          <reference field="2" count="1" selected="0">
            <x v="2"/>
          </reference>
          <reference field="3" count="1" selected="0">
            <x v="1"/>
          </reference>
          <reference field="4" count="1" selected="0">
            <x v="2"/>
          </reference>
          <reference field="16" count="1">
            <x v="0"/>
          </reference>
        </references>
      </pivotArea>
    </format>
    <format dxfId="2862">
      <pivotArea dataOnly="0" labelOnly="1" outline="0" fieldPosition="0">
        <references count="6">
          <reference field="0" count="1" selected="0">
            <x v="210"/>
          </reference>
          <reference field="1" count="1" selected="0">
            <x v="1"/>
          </reference>
          <reference field="2" count="1" selected="0">
            <x v="5"/>
          </reference>
          <reference field="3" count="1" selected="0">
            <x v="2"/>
          </reference>
          <reference field="4" count="1" selected="0">
            <x v="3"/>
          </reference>
          <reference field="16" count="1">
            <x v="0"/>
          </reference>
        </references>
      </pivotArea>
    </format>
    <format dxfId="2861">
      <pivotArea dataOnly="0" labelOnly="1" outline="0" fieldPosition="0">
        <references count="6">
          <reference field="0" count="1" selected="0">
            <x v="211"/>
          </reference>
          <reference field="1" count="1" selected="0">
            <x v="4"/>
          </reference>
          <reference field="2" count="1" selected="0">
            <x v="0"/>
          </reference>
          <reference field="3" count="1" selected="0">
            <x v="2"/>
          </reference>
          <reference field="4" count="1" selected="0">
            <x v="4"/>
          </reference>
          <reference field="16" count="1">
            <x v="1"/>
          </reference>
        </references>
      </pivotArea>
    </format>
    <format dxfId="2860">
      <pivotArea dataOnly="0" labelOnly="1" outline="0" fieldPosition="0">
        <references count="6">
          <reference field="0" count="1" selected="0">
            <x v="212"/>
          </reference>
          <reference field="1" count="1" selected="0">
            <x v="13"/>
          </reference>
          <reference field="2" count="1" selected="0">
            <x v="3"/>
          </reference>
          <reference field="3" count="1" selected="0">
            <x v="2"/>
          </reference>
          <reference field="4" count="1" selected="0">
            <x v="4"/>
          </reference>
          <reference field="16" count="1">
            <x v="0"/>
          </reference>
        </references>
      </pivotArea>
    </format>
    <format dxfId="2859">
      <pivotArea dataOnly="0" labelOnly="1" outline="0" fieldPosition="0">
        <references count="6">
          <reference field="0" count="1" selected="0">
            <x v="213"/>
          </reference>
          <reference field="1" count="1" selected="0">
            <x v="19"/>
          </reference>
          <reference field="2" count="1" selected="0">
            <x v="5"/>
          </reference>
          <reference field="3" count="1" selected="0">
            <x v="3"/>
          </reference>
          <reference field="4" count="1" selected="0">
            <x v="2"/>
          </reference>
          <reference field="16" count="1">
            <x v="1"/>
          </reference>
        </references>
      </pivotArea>
    </format>
    <format dxfId="2858">
      <pivotArea dataOnly="0" labelOnly="1" outline="0" fieldPosition="0">
        <references count="6">
          <reference field="0" count="1" selected="0">
            <x v="214"/>
          </reference>
          <reference field="1" count="1" selected="0">
            <x v="38"/>
          </reference>
          <reference field="2" count="1" selected="0">
            <x v="5"/>
          </reference>
          <reference field="3" count="1" selected="0">
            <x v="1"/>
          </reference>
          <reference field="4" count="1" selected="0">
            <x v="3"/>
          </reference>
          <reference field="16" count="1">
            <x v="1"/>
          </reference>
        </references>
      </pivotArea>
    </format>
    <format dxfId="2857">
      <pivotArea dataOnly="0" labelOnly="1" outline="0" fieldPosition="0">
        <references count="6">
          <reference field="0" count="1" selected="0">
            <x v="215"/>
          </reference>
          <reference field="1" count="1" selected="0">
            <x v="26"/>
          </reference>
          <reference field="2" count="1" selected="0">
            <x v="5"/>
          </reference>
          <reference field="3" count="1" selected="0">
            <x v="2"/>
          </reference>
          <reference field="4" count="1" selected="0">
            <x v="0"/>
          </reference>
          <reference field="16" count="1">
            <x v="0"/>
          </reference>
        </references>
      </pivotArea>
    </format>
    <format dxfId="2856">
      <pivotArea dataOnly="0" labelOnly="1" outline="0" fieldPosition="0">
        <references count="6">
          <reference field="0" count="1" selected="0">
            <x v="216"/>
          </reference>
          <reference field="1" count="1" selected="0">
            <x v="57"/>
          </reference>
          <reference field="2" count="1" selected="0">
            <x v="0"/>
          </reference>
          <reference field="3" count="1" selected="0">
            <x v="4"/>
          </reference>
          <reference field="4" count="1" selected="0">
            <x v="1"/>
          </reference>
          <reference field="16" count="1">
            <x v="1"/>
          </reference>
        </references>
      </pivotArea>
    </format>
    <format dxfId="2855">
      <pivotArea dataOnly="0" labelOnly="1" outline="0" fieldPosition="0">
        <references count="6">
          <reference field="0" count="1" selected="0">
            <x v="217"/>
          </reference>
          <reference field="1" count="1" selected="0">
            <x v="59"/>
          </reference>
          <reference field="2" count="1" selected="0">
            <x v="2"/>
          </reference>
          <reference field="3" count="1" selected="0">
            <x v="5"/>
          </reference>
          <reference field="4" count="1" selected="0">
            <x v="3"/>
          </reference>
          <reference field="16" count="1">
            <x v="0"/>
          </reference>
        </references>
      </pivotArea>
    </format>
    <format dxfId="2854">
      <pivotArea dataOnly="0" labelOnly="1" outline="0" fieldPosition="0">
        <references count="6">
          <reference field="0" count="1" selected="0">
            <x v="218"/>
          </reference>
          <reference field="1" count="1" selected="0">
            <x v="18"/>
          </reference>
          <reference field="2" count="1" selected="0">
            <x v="2"/>
          </reference>
          <reference field="3" count="1" selected="0">
            <x v="3"/>
          </reference>
          <reference field="4" count="1" selected="0">
            <x v="3"/>
          </reference>
          <reference field="16" count="1">
            <x v="0"/>
          </reference>
        </references>
      </pivotArea>
    </format>
    <format dxfId="2853">
      <pivotArea dataOnly="0" labelOnly="1" outline="0" fieldPosition="0">
        <references count="6">
          <reference field="0" count="1" selected="0">
            <x v="219"/>
          </reference>
          <reference field="1" count="1" selected="0">
            <x v="39"/>
          </reference>
          <reference field="2" count="1" selected="0">
            <x v="2"/>
          </reference>
          <reference field="3" count="1" selected="0">
            <x v="7"/>
          </reference>
          <reference field="4" count="1" selected="0">
            <x v="3"/>
          </reference>
          <reference field="16" count="1">
            <x v="0"/>
          </reference>
        </references>
      </pivotArea>
    </format>
    <format dxfId="2852">
      <pivotArea dataOnly="0" labelOnly="1" outline="0" fieldPosition="0">
        <references count="6">
          <reference field="0" count="1" selected="0">
            <x v="220"/>
          </reference>
          <reference field="1" count="1" selected="0">
            <x v="53"/>
          </reference>
          <reference field="2" count="1" selected="0">
            <x v="1"/>
          </reference>
          <reference field="3" count="1" selected="0">
            <x v="0"/>
          </reference>
          <reference field="4" count="1" selected="0">
            <x v="1"/>
          </reference>
          <reference field="16" count="1">
            <x v="0"/>
          </reference>
        </references>
      </pivotArea>
    </format>
    <format dxfId="2851">
      <pivotArea dataOnly="0" labelOnly="1" outline="0" fieldPosition="0">
        <references count="6">
          <reference field="0" count="1" selected="0">
            <x v="221"/>
          </reference>
          <reference field="1" count="1" selected="0">
            <x v="12"/>
          </reference>
          <reference field="2" count="1" selected="0">
            <x v="4"/>
          </reference>
          <reference field="3" count="1" selected="0">
            <x v="2"/>
          </reference>
          <reference field="4" count="1" selected="0">
            <x v="1"/>
          </reference>
          <reference field="16" count="1">
            <x v="0"/>
          </reference>
        </references>
      </pivotArea>
    </format>
    <format dxfId="2850">
      <pivotArea dataOnly="0" labelOnly="1" outline="0" fieldPosition="0">
        <references count="6">
          <reference field="0" count="1" selected="0">
            <x v="222"/>
          </reference>
          <reference field="1" count="1" selected="0">
            <x v="36"/>
          </reference>
          <reference field="2" count="1" selected="0">
            <x v="1"/>
          </reference>
          <reference field="3" count="1" selected="0">
            <x v="1"/>
          </reference>
          <reference field="4" count="1" selected="0">
            <x v="4"/>
          </reference>
          <reference field="16" count="1">
            <x v="1"/>
          </reference>
        </references>
      </pivotArea>
    </format>
    <format dxfId="2849">
      <pivotArea dataOnly="0" labelOnly="1" outline="0" fieldPosition="0">
        <references count="6">
          <reference field="0" count="1" selected="0">
            <x v="223"/>
          </reference>
          <reference field="1" count="1" selected="0">
            <x v="15"/>
          </reference>
          <reference field="2" count="1" selected="0">
            <x v="2"/>
          </reference>
          <reference field="3" count="1" selected="0">
            <x v="7"/>
          </reference>
          <reference field="4" count="1" selected="0">
            <x v="1"/>
          </reference>
          <reference field="16" count="1">
            <x v="0"/>
          </reference>
        </references>
      </pivotArea>
    </format>
    <format dxfId="2848">
      <pivotArea dataOnly="0" labelOnly="1" outline="0" fieldPosition="0">
        <references count="6">
          <reference field="0" count="1" selected="0">
            <x v="224"/>
          </reference>
          <reference field="1" count="1" selected="0">
            <x v="59"/>
          </reference>
          <reference field="2" count="1" selected="0">
            <x v="2"/>
          </reference>
          <reference field="3" count="1" selected="0">
            <x v="0"/>
          </reference>
          <reference field="4" count="1" selected="0">
            <x v="0"/>
          </reference>
          <reference field="16" count="1">
            <x v="0"/>
          </reference>
        </references>
      </pivotArea>
    </format>
    <format dxfId="2847">
      <pivotArea dataOnly="0" labelOnly="1" outline="0" fieldPosition="0">
        <references count="6">
          <reference field="0" count="1" selected="0">
            <x v="225"/>
          </reference>
          <reference field="1" count="1" selected="0">
            <x v="26"/>
          </reference>
          <reference field="2" count="1" selected="0">
            <x v="5"/>
          </reference>
          <reference field="3" count="1" selected="0">
            <x v="2"/>
          </reference>
          <reference field="4" count="1" selected="0">
            <x v="2"/>
          </reference>
          <reference field="16" count="1">
            <x v="0"/>
          </reference>
        </references>
      </pivotArea>
    </format>
    <format dxfId="2846">
      <pivotArea dataOnly="0" labelOnly="1" outline="0" fieldPosition="0">
        <references count="6">
          <reference field="0" count="1" selected="0">
            <x v="226"/>
          </reference>
          <reference field="1" count="1" selected="0">
            <x v="42"/>
          </reference>
          <reference field="2" count="1" selected="0">
            <x v="2"/>
          </reference>
          <reference field="3" count="1" selected="0">
            <x v="7"/>
          </reference>
          <reference field="4" count="1" selected="0">
            <x v="3"/>
          </reference>
          <reference field="16" count="1">
            <x v="1"/>
          </reference>
        </references>
      </pivotArea>
    </format>
    <format dxfId="2845">
      <pivotArea dataOnly="0" labelOnly="1" outline="0" fieldPosition="0">
        <references count="6">
          <reference field="0" count="1" selected="0">
            <x v="227"/>
          </reference>
          <reference field="1" count="1" selected="0">
            <x v="52"/>
          </reference>
          <reference field="2" count="1" selected="0">
            <x v="1"/>
          </reference>
          <reference field="3" count="1" selected="0">
            <x v="4"/>
          </reference>
          <reference field="4" count="1" selected="0">
            <x v="4"/>
          </reference>
          <reference field="16" count="1">
            <x v="0"/>
          </reference>
        </references>
      </pivotArea>
    </format>
    <format dxfId="2844">
      <pivotArea dataOnly="0" labelOnly="1" outline="0" fieldPosition="0">
        <references count="6">
          <reference field="0" count="1" selected="0">
            <x v="228"/>
          </reference>
          <reference field="1" count="1" selected="0">
            <x v="54"/>
          </reference>
          <reference field="2" count="1" selected="0">
            <x v="2"/>
          </reference>
          <reference field="3" count="1" selected="0">
            <x v="2"/>
          </reference>
          <reference field="4" count="1" selected="0">
            <x v="3"/>
          </reference>
          <reference field="16" count="1">
            <x v="0"/>
          </reference>
        </references>
      </pivotArea>
    </format>
    <format dxfId="2843">
      <pivotArea dataOnly="0" labelOnly="1" outline="0" fieldPosition="0">
        <references count="6">
          <reference field="0" count="1" selected="0">
            <x v="229"/>
          </reference>
          <reference field="1" count="1" selected="0">
            <x v="53"/>
          </reference>
          <reference field="2" count="1" selected="0">
            <x v="1"/>
          </reference>
          <reference field="3" count="1" selected="0">
            <x v="7"/>
          </reference>
          <reference field="4" count="1" selected="0">
            <x v="0"/>
          </reference>
          <reference field="16" count="1">
            <x v="0"/>
          </reference>
        </references>
      </pivotArea>
    </format>
    <format dxfId="2842">
      <pivotArea dataOnly="0" labelOnly="1" outline="0" fieldPosition="0">
        <references count="6">
          <reference field="0" count="1" selected="0">
            <x v="230"/>
          </reference>
          <reference field="1" count="1" selected="0">
            <x v="21"/>
          </reference>
          <reference field="2" count="1" selected="0">
            <x v="2"/>
          </reference>
          <reference field="3" count="1" selected="0">
            <x v="1"/>
          </reference>
          <reference field="4" count="1" selected="0">
            <x v="3"/>
          </reference>
          <reference field="16" count="1">
            <x v="0"/>
          </reference>
        </references>
      </pivotArea>
    </format>
    <format dxfId="2841">
      <pivotArea dataOnly="0" labelOnly="1" outline="0" fieldPosition="0">
        <references count="6">
          <reference field="0" count="1" selected="0">
            <x v="231"/>
          </reference>
          <reference field="1" count="1" selected="0">
            <x v="52"/>
          </reference>
          <reference field="2" count="1" selected="0">
            <x v="1"/>
          </reference>
          <reference field="3" count="1" selected="0">
            <x v="1"/>
          </reference>
          <reference field="4" count="1" selected="0">
            <x v="4"/>
          </reference>
          <reference field="16" count="1">
            <x v="0"/>
          </reference>
        </references>
      </pivotArea>
    </format>
    <format dxfId="2840">
      <pivotArea dataOnly="0" labelOnly="1" outline="0" fieldPosition="0">
        <references count="6">
          <reference field="0" count="1" selected="0">
            <x v="232"/>
          </reference>
          <reference field="1" count="1" selected="0">
            <x v="47"/>
          </reference>
          <reference field="2" count="1" selected="0">
            <x v="0"/>
          </reference>
          <reference field="3" count="1" selected="0">
            <x v="0"/>
          </reference>
          <reference field="4" count="1" selected="0">
            <x v="1"/>
          </reference>
          <reference field="16" count="1">
            <x v="0"/>
          </reference>
        </references>
      </pivotArea>
    </format>
    <format dxfId="2839">
      <pivotArea dataOnly="0" labelOnly="1" outline="0" fieldPosition="0">
        <references count="6">
          <reference field="0" count="1" selected="0">
            <x v="233"/>
          </reference>
          <reference field="1" count="1" selected="0">
            <x v="33"/>
          </reference>
          <reference field="2" count="1" selected="0">
            <x v="4"/>
          </reference>
          <reference field="3" count="1" selected="0">
            <x v="3"/>
          </reference>
          <reference field="4" count="1" selected="0">
            <x v="0"/>
          </reference>
          <reference field="16" count="1">
            <x v="0"/>
          </reference>
        </references>
      </pivotArea>
    </format>
    <format dxfId="2838">
      <pivotArea dataOnly="0" labelOnly="1" outline="0" fieldPosition="0">
        <references count="6">
          <reference field="0" count="1" selected="0">
            <x v="234"/>
          </reference>
          <reference field="1" count="1" selected="0">
            <x v="34"/>
          </reference>
          <reference field="2" count="1" selected="0">
            <x v="5"/>
          </reference>
          <reference field="3" count="1" selected="0">
            <x v="1"/>
          </reference>
          <reference field="4" count="1" selected="0">
            <x v="0"/>
          </reference>
          <reference field="16" count="1">
            <x v="0"/>
          </reference>
        </references>
      </pivotArea>
    </format>
    <format dxfId="2837">
      <pivotArea dataOnly="0" labelOnly="1" outline="0" fieldPosition="0">
        <references count="6">
          <reference field="0" count="1" selected="0">
            <x v="235"/>
          </reference>
          <reference field="1" count="1" selected="0">
            <x v="38"/>
          </reference>
          <reference field="2" count="1" selected="0">
            <x v="5"/>
          </reference>
          <reference field="3" count="1" selected="0">
            <x v="2"/>
          </reference>
          <reference field="4" count="1" selected="0">
            <x v="4"/>
          </reference>
          <reference field="16" count="1">
            <x v="0"/>
          </reference>
        </references>
      </pivotArea>
    </format>
    <format dxfId="2836">
      <pivotArea dataOnly="0" labelOnly="1" outline="0" fieldPosition="0">
        <references count="6">
          <reference field="0" count="1" selected="0">
            <x v="236"/>
          </reference>
          <reference field="1" count="1" selected="0">
            <x v="7"/>
          </reference>
          <reference field="2" count="1" selected="0">
            <x v="3"/>
          </reference>
          <reference field="3" count="1" selected="0">
            <x v="1"/>
          </reference>
          <reference field="4" count="1" selected="0">
            <x v="0"/>
          </reference>
          <reference field="16" count="1">
            <x v="1"/>
          </reference>
        </references>
      </pivotArea>
    </format>
    <format dxfId="2835">
      <pivotArea dataOnly="0" labelOnly="1" outline="0" fieldPosition="0">
        <references count="6">
          <reference field="0" count="1" selected="0">
            <x v="237"/>
          </reference>
          <reference field="1" count="1" selected="0">
            <x v="55"/>
          </reference>
          <reference field="2" count="1" selected="0">
            <x v="1"/>
          </reference>
          <reference field="3" count="1" selected="0">
            <x v="2"/>
          </reference>
          <reference field="4" count="1" selected="0">
            <x v="4"/>
          </reference>
          <reference field="16" count="1">
            <x v="0"/>
          </reference>
        </references>
      </pivotArea>
    </format>
    <format dxfId="2834">
      <pivotArea dataOnly="0" labelOnly="1" outline="0" fieldPosition="0">
        <references count="6">
          <reference field="0" count="1" selected="0">
            <x v="238"/>
          </reference>
          <reference field="1" count="1" selected="0">
            <x v="9"/>
          </reference>
          <reference field="2" count="1" selected="0">
            <x v="3"/>
          </reference>
          <reference field="3" count="1" selected="0">
            <x v="2"/>
          </reference>
          <reference field="4" count="1" selected="0">
            <x v="0"/>
          </reference>
          <reference field="16" count="1">
            <x v="0"/>
          </reference>
        </references>
      </pivotArea>
    </format>
    <format dxfId="2833">
      <pivotArea dataOnly="0" labelOnly="1" outline="0" fieldPosition="0">
        <references count="6">
          <reference field="0" count="1" selected="0">
            <x v="239"/>
          </reference>
          <reference field="1" count="1" selected="0">
            <x v="3"/>
          </reference>
          <reference field="2" count="1" selected="0">
            <x v="4"/>
          </reference>
          <reference field="3" count="1" selected="0">
            <x v="1"/>
          </reference>
          <reference field="4" count="1" selected="0">
            <x v="2"/>
          </reference>
          <reference field="16" count="1">
            <x v="0"/>
          </reference>
        </references>
      </pivotArea>
    </format>
    <format dxfId="2832">
      <pivotArea dataOnly="0" labelOnly="1" outline="0" fieldPosition="0">
        <references count="6">
          <reference field="0" count="1" selected="0">
            <x v="240"/>
          </reference>
          <reference field="1" count="1" selected="0">
            <x v="27"/>
          </reference>
          <reference field="2" count="1" selected="0">
            <x v="0"/>
          </reference>
          <reference field="3" count="1" selected="0">
            <x v="0"/>
          </reference>
          <reference field="4" count="1" selected="0">
            <x v="2"/>
          </reference>
          <reference field="16" count="1">
            <x v="0"/>
          </reference>
        </references>
      </pivotArea>
    </format>
    <format dxfId="2831">
      <pivotArea dataOnly="0" labelOnly="1" outline="0" fieldPosition="0">
        <references count="6">
          <reference field="0" count="1" selected="0">
            <x v="241"/>
          </reference>
          <reference field="1" count="1" selected="0">
            <x v="58"/>
          </reference>
          <reference field="2" count="1" selected="0">
            <x v="1"/>
          </reference>
          <reference field="3" count="1" selected="0">
            <x v="5"/>
          </reference>
          <reference field="4" count="1" selected="0">
            <x v="0"/>
          </reference>
          <reference field="16" count="1">
            <x v="0"/>
          </reference>
        </references>
      </pivotArea>
    </format>
    <format dxfId="2830">
      <pivotArea dataOnly="0" labelOnly="1" outline="0" fieldPosition="0">
        <references count="6">
          <reference field="0" count="1" selected="0">
            <x v="242"/>
          </reference>
          <reference field="1" count="1" selected="0">
            <x v="12"/>
          </reference>
          <reference field="2" count="1" selected="0">
            <x v="4"/>
          </reference>
          <reference field="3" count="1" selected="0">
            <x v="0"/>
          </reference>
          <reference field="4" count="1" selected="0">
            <x v="0"/>
          </reference>
          <reference field="16" count="1">
            <x v="0"/>
          </reference>
        </references>
      </pivotArea>
    </format>
    <format dxfId="2829">
      <pivotArea dataOnly="0" labelOnly="1" outline="0" fieldPosition="0">
        <references count="6">
          <reference field="0" count="1" selected="0">
            <x v="243"/>
          </reference>
          <reference field="1" count="1" selected="0">
            <x v="19"/>
          </reference>
          <reference field="2" count="1" selected="0">
            <x v="5"/>
          </reference>
          <reference field="3" count="1" selected="0">
            <x v="3"/>
          </reference>
          <reference field="4" count="1" selected="0">
            <x v="4"/>
          </reference>
          <reference field="16" count="1">
            <x v="0"/>
          </reference>
        </references>
      </pivotArea>
    </format>
    <format dxfId="2828">
      <pivotArea dataOnly="0" labelOnly="1" outline="0" fieldPosition="0">
        <references count="6">
          <reference field="0" count="1" selected="0">
            <x v="244"/>
          </reference>
          <reference field="1" count="1" selected="0">
            <x v="34"/>
          </reference>
          <reference field="2" count="1" selected="0">
            <x v="5"/>
          </reference>
          <reference field="3" count="1" selected="0">
            <x v="5"/>
          </reference>
          <reference field="4" count="1" selected="0">
            <x v="3"/>
          </reference>
          <reference field="16" count="1">
            <x v="0"/>
          </reference>
        </references>
      </pivotArea>
    </format>
    <format dxfId="2827">
      <pivotArea dataOnly="0" labelOnly="1" outline="0" fieldPosition="0">
        <references count="6">
          <reference field="0" count="1" selected="0">
            <x v="245"/>
          </reference>
          <reference field="1" count="1" selected="0">
            <x v="40"/>
          </reference>
          <reference field="2" count="1" selected="0">
            <x v="2"/>
          </reference>
          <reference field="3" count="1" selected="0">
            <x v="3"/>
          </reference>
          <reference field="4" count="1" selected="0">
            <x v="2"/>
          </reference>
          <reference field="16" count="1">
            <x v="0"/>
          </reference>
        </references>
      </pivotArea>
    </format>
    <format dxfId="2826">
      <pivotArea dataOnly="0" labelOnly="1" outline="0" fieldPosition="0">
        <references count="6">
          <reference field="0" count="1" selected="0">
            <x v="246"/>
          </reference>
          <reference field="1" count="1" selected="0">
            <x v="37"/>
          </reference>
          <reference field="2" count="1" selected="0">
            <x v="1"/>
          </reference>
          <reference field="3" count="1" selected="0">
            <x v="2"/>
          </reference>
          <reference field="4" count="1" selected="0">
            <x v="4"/>
          </reference>
          <reference field="16" count="1">
            <x v="1"/>
          </reference>
        </references>
      </pivotArea>
    </format>
    <format dxfId="2825">
      <pivotArea dataOnly="0" labelOnly="1" outline="0" fieldPosition="0">
        <references count="6">
          <reference field="0" count="1" selected="0">
            <x v="247"/>
          </reference>
          <reference field="1" count="1" selected="0">
            <x v="40"/>
          </reference>
          <reference field="2" count="1" selected="0">
            <x v="2"/>
          </reference>
          <reference field="3" count="1" selected="0">
            <x v="3"/>
          </reference>
          <reference field="4" count="1" selected="0">
            <x v="0"/>
          </reference>
          <reference field="16" count="1">
            <x v="1"/>
          </reference>
        </references>
      </pivotArea>
    </format>
    <format dxfId="2824">
      <pivotArea dataOnly="0" labelOnly="1" outline="0" fieldPosition="0">
        <references count="6">
          <reference field="0" count="1" selected="0">
            <x v="248"/>
          </reference>
          <reference field="1" count="1" selected="0">
            <x v="39"/>
          </reference>
          <reference field="2" count="1" selected="0">
            <x v="2"/>
          </reference>
          <reference field="3" count="1" selected="0">
            <x v="5"/>
          </reference>
          <reference field="4" count="1" selected="0">
            <x v="0"/>
          </reference>
          <reference field="16" count="1">
            <x v="0"/>
          </reference>
        </references>
      </pivotArea>
    </format>
    <format dxfId="2823">
      <pivotArea dataOnly="0" labelOnly="1" outline="0" fieldPosition="0">
        <references count="6">
          <reference field="0" count="1" selected="0">
            <x v="249"/>
          </reference>
          <reference field="1" count="1" selected="0">
            <x v="43"/>
          </reference>
          <reference field="2" count="1" selected="0">
            <x v="0"/>
          </reference>
          <reference field="3" count="1" selected="0">
            <x v="3"/>
          </reference>
          <reference field="4" count="1" selected="0">
            <x v="3"/>
          </reference>
          <reference field="16" count="1">
            <x v="1"/>
          </reference>
        </references>
      </pivotArea>
    </format>
    <format dxfId="2822">
      <pivotArea dataOnly="0" labelOnly="1" outline="0" fieldPosition="0">
        <references count="6">
          <reference field="0" count="1" selected="0">
            <x v="250"/>
          </reference>
          <reference field="1" count="1" selected="0">
            <x v="39"/>
          </reference>
          <reference field="2" count="1" selected="0">
            <x v="2"/>
          </reference>
          <reference field="3" count="1" selected="0">
            <x v="1"/>
          </reference>
          <reference field="4" count="1" selected="0">
            <x v="1"/>
          </reference>
          <reference field="16" count="1">
            <x v="0"/>
          </reference>
        </references>
      </pivotArea>
    </format>
    <format dxfId="2821">
      <pivotArea dataOnly="0" labelOnly="1" outline="0" fieldPosition="0">
        <references count="6">
          <reference field="0" count="1" selected="0">
            <x v="251"/>
          </reference>
          <reference field="1" count="1" selected="0">
            <x v="35"/>
          </reference>
          <reference field="2" count="1" selected="0">
            <x v="4"/>
          </reference>
          <reference field="3" count="1" selected="0">
            <x v="7"/>
          </reference>
          <reference field="4" count="1" selected="0">
            <x v="0"/>
          </reference>
          <reference field="16" count="1">
            <x v="1"/>
          </reference>
        </references>
      </pivotArea>
    </format>
    <format dxfId="2820">
      <pivotArea dataOnly="0" labelOnly="1" outline="0" fieldPosition="0">
        <references count="6">
          <reference field="0" count="1" selected="0">
            <x v="252"/>
          </reference>
          <reference field="1" count="1" selected="0">
            <x v="12"/>
          </reference>
          <reference field="2" count="1" selected="0">
            <x v="4"/>
          </reference>
          <reference field="3" count="1" selected="0">
            <x v="1"/>
          </reference>
          <reference field="4" count="1" selected="0">
            <x v="4"/>
          </reference>
          <reference field="16" count="1">
            <x v="0"/>
          </reference>
        </references>
      </pivotArea>
    </format>
    <format dxfId="2819">
      <pivotArea dataOnly="0" labelOnly="1" outline="0" fieldPosition="0">
        <references count="6">
          <reference field="0" count="1" selected="0">
            <x v="253"/>
          </reference>
          <reference field="1" count="1" selected="0">
            <x v="28"/>
          </reference>
          <reference field="2" count="1" selected="0">
            <x v="3"/>
          </reference>
          <reference field="3" count="1" selected="0">
            <x v="6"/>
          </reference>
          <reference field="4" count="1" selected="0">
            <x v="1"/>
          </reference>
          <reference field="16" count="1">
            <x v="0"/>
          </reference>
        </references>
      </pivotArea>
    </format>
    <format dxfId="2818">
      <pivotArea dataOnly="0" labelOnly="1" outline="0" fieldPosition="0">
        <references count="6">
          <reference field="0" count="1" selected="0">
            <x v="254"/>
          </reference>
          <reference field="1" count="1" selected="0">
            <x v="48"/>
          </reference>
          <reference field="2" count="1" selected="0">
            <x v="5"/>
          </reference>
          <reference field="3" count="1" selected="0">
            <x v="7"/>
          </reference>
          <reference field="4" count="1" selected="0">
            <x v="4"/>
          </reference>
          <reference field="16" count="1">
            <x v="0"/>
          </reference>
        </references>
      </pivotArea>
    </format>
    <format dxfId="2817">
      <pivotArea dataOnly="0" labelOnly="1" outline="0" fieldPosition="0">
        <references count="6">
          <reference field="0" count="1" selected="0">
            <x v="255"/>
          </reference>
          <reference field="1" count="1" selected="0">
            <x v="20"/>
          </reference>
          <reference field="2" count="1" selected="0">
            <x v="4"/>
          </reference>
          <reference field="3" count="1" selected="0">
            <x v="3"/>
          </reference>
          <reference field="4" count="1" selected="0">
            <x v="3"/>
          </reference>
          <reference field="16" count="1">
            <x v="0"/>
          </reference>
        </references>
      </pivotArea>
    </format>
    <format dxfId="2816">
      <pivotArea dataOnly="0" labelOnly="1" outline="0" fieldPosition="0">
        <references count="6">
          <reference field="0" count="1" selected="0">
            <x v="256"/>
          </reference>
          <reference field="1" count="1" selected="0">
            <x v="24"/>
          </reference>
          <reference field="2" count="1" selected="0">
            <x v="0"/>
          </reference>
          <reference field="3" count="1" selected="0">
            <x v="1"/>
          </reference>
          <reference field="4" count="1" selected="0">
            <x v="1"/>
          </reference>
          <reference field="16" count="1">
            <x v="0"/>
          </reference>
        </references>
      </pivotArea>
    </format>
    <format dxfId="2815">
      <pivotArea dataOnly="0" labelOnly="1" outline="0" fieldPosition="0">
        <references count="6">
          <reference field="0" count="1" selected="0">
            <x v="257"/>
          </reference>
          <reference field="1" count="1" selected="0">
            <x v="8"/>
          </reference>
          <reference field="2" count="1" selected="0">
            <x v="5"/>
          </reference>
          <reference field="3" count="1" selected="0">
            <x v="0"/>
          </reference>
          <reference field="4" count="1" selected="0">
            <x v="0"/>
          </reference>
          <reference field="16" count="1">
            <x v="0"/>
          </reference>
        </references>
      </pivotArea>
    </format>
    <format dxfId="2814">
      <pivotArea dataOnly="0" labelOnly="1" outline="0" fieldPosition="0">
        <references count="6">
          <reference field="0" count="1" selected="0">
            <x v="258"/>
          </reference>
          <reference field="1" count="1" selected="0">
            <x v="52"/>
          </reference>
          <reference field="2" count="1" selected="0">
            <x v="1"/>
          </reference>
          <reference field="3" count="1" selected="0">
            <x v="0"/>
          </reference>
          <reference field="4" count="1" selected="0">
            <x v="1"/>
          </reference>
          <reference field="16" count="1">
            <x v="0"/>
          </reference>
        </references>
      </pivotArea>
    </format>
    <format dxfId="2813">
      <pivotArea dataOnly="0" labelOnly="1" outline="0" fieldPosition="0">
        <references count="6">
          <reference field="0" count="1" selected="0">
            <x v="259"/>
          </reference>
          <reference field="1" count="1" selected="0">
            <x v="54"/>
          </reference>
          <reference field="2" count="1" selected="0">
            <x v="2"/>
          </reference>
          <reference field="3" count="1" selected="0">
            <x v="1"/>
          </reference>
          <reference field="4" count="1" selected="0">
            <x v="4"/>
          </reference>
          <reference field="16" count="1">
            <x v="1"/>
          </reference>
        </references>
      </pivotArea>
    </format>
    <format dxfId="2812">
      <pivotArea dataOnly="0" labelOnly="1" outline="0" fieldPosition="0">
        <references count="6">
          <reference field="0" count="1" selected="0">
            <x v="260"/>
          </reference>
          <reference field="1" count="1" selected="0">
            <x v="8"/>
          </reference>
          <reference field="2" count="1" selected="0">
            <x v="5"/>
          </reference>
          <reference field="3" count="1" selected="0">
            <x v="7"/>
          </reference>
          <reference field="4" count="1" selected="0">
            <x v="3"/>
          </reference>
          <reference field="16" count="1">
            <x v="0"/>
          </reference>
        </references>
      </pivotArea>
    </format>
    <format dxfId="2811">
      <pivotArea dataOnly="0" labelOnly="1" outline="0" fieldPosition="0">
        <references count="6">
          <reference field="0" count="1" selected="0">
            <x v="261"/>
          </reference>
          <reference field="1" count="1" selected="0">
            <x v="11"/>
          </reference>
          <reference field="2" count="1" selected="0">
            <x v="4"/>
          </reference>
          <reference field="3" count="1" selected="0">
            <x v="4"/>
          </reference>
          <reference field="4" count="1" selected="0">
            <x v="0"/>
          </reference>
          <reference field="16" count="1">
            <x v="0"/>
          </reference>
        </references>
      </pivotArea>
    </format>
    <format dxfId="2810">
      <pivotArea dataOnly="0" labelOnly="1" outline="0" fieldPosition="0">
        <references count="6">
          <reference field="0" count="1" selected="0">
            <x v="262"/>
          </reference>
          <reference field="1" count="1" selected="0">
            <x v="51"/>
          </reference>
          <reference field="2" count="1" selected="0">
            <x v="0"/>
          </reference>
          <reference field="3" count="1" selected="0">
            <x v="7"/>
          </reference>
          <reference field="4" count="1" selected="0">
            <x v="3"/>
          </reference>
          <reference field="16" count="1">
            <x v="1"/>
          </reference>
        </references>
      </pivotArea>
    </format>
    <format dxfId="2809">
      <pivotArea dataOnly="0" labelOnly="1" outline="0" fieldPosition="0">
        <references count="6">
          <reference field="0" count="1" selected="0">
            <x v="263"/>
          </reference>
          <reference field="1" count="1" selected="0">
            <x v="50"/>
          </reference>
          <reference field="2" count="1" selected="0">
            <x v="3"/>
          </reference>
          <reference field="3" count="1" selected="0">
            <x v="6"/>
          </reference>
          <reference field="4" count="1" selected="0">
            <x v="1"/>
          </reference>
          <reference field="16" count="1">
            <x v="1"/>
          </reference>
        </references>
      </pivotArea>
    </format>
    <format dxfId="2808">
      <pivotArea dataOnly="0" labelOnly="1" outline="0" fieldPosition="0">
        <references count="6">
          <reference field="0" count="1" selected="0">
            <x v="264"/>
          </reference>
          <reference field="1" count="1" selected="0">
            <x v="36"/>
          </reference>
          <reference field="2" count="1" selected="0">
            <x v="1"/>
          </reference>
          <reference field="3" count="1" selected="0">
            <x v="6"/>
          </reference>
          <reference field="4" count="1" selected="0">
            <x v="1"/>
          </reference>
          <reference field="16" count="1">
            <x v="0"/>
          </reference>
        </references>
      </pivotArea>
    </format>
    <format dxfId="2807">
      <pivotArea dataOnly="0" labelOnly="1" outline="0" fieldPosition="0">
        <references count="6">
          <reference field="0" count="1" selected="0">
            <x v="265"/>
          </reference>
          <reference field="1" count="1" selected="0">
            <x v="18"/>
          </reference>
          <reference field="2" count="1" selected="0">
            <x v="2"/>
          </reference>
          <reference field="3" count="1" selected="0">
            <x v="7"/>
          </reference>
          <reference field="4" count="1" selected="0">
            <x v="3"/>
          </reference>
          <reference field="16" count="1">
            <x v="0"/>
          </reference>
        </references>
      </pivotArea>
    </format>
    <format dxfId="2806">
      <pivotArea dataOnly="0" labelOnly="1" outline="0" fieldPosition="0">
        <references count="6">
          <reference field="0" count="1" selected="0">
            <x v="266"/>
          </reference>
          <reference field="1" count="1" selected="0">
            <x v="49"/>
          </reference>
          <reference field="2" count="1" selected="0">
            <x v="3"/>
          </reference>
          <reference field="3" count="1" selected="0">
            <x v="5"/>
          </reference>
          <reference field="4" count="1" selected="0">
            <x v="3"/>
          </reference>
          <reference field="16" count="1">
            <x v="0"/>
          </reference>
        </references>
      </pivotArea>
    </format>
    <format dxfId="2805">
      <pivotArea dataOnly="0" labelOnly="1" outline="0" fieldPosition="0">
        <references count="6">
          <reference field="0" count="1" selected="0">
            <x v="267"/>
          </reference>
          <reference field="1" count="1" selected="0">
            <x v="32"/>
          </reference>
          <reference field="2" count="1" selected="0">
            <x v="1"/>
          </reference>
          <reference field="3" count="1" selected="0">
            <x v="7"/>
          </reference>
          <reference field="4" count="1" selected="0">
            <x v="2"/>
          </reference>
          <reference field="16" count="1">
            <x v="0"/>
          </reference>
        </references>
      </pivotArea>
    </format>
    <format dxfId="2804">
      <pivotArea dataOnly="0" labelOnly="1" outline="0" fieldPosition="0">
        <references count="6">
          <reference field="0" count="1" selected="0">
            <x v="268"/>
          </reference>
          <reference field="1" count="1" selected="0">
            <x v="18"/>
          </reference>
          <reference field="2" count="1" selected="0">
            <x v="2"/>
          </reference>
          <reference field="3" count="1" selected="0">
            <x v="2"/>
          </reference>
          <reference field="4" count="1" selected="0">
            <x v="3"/>
          </reference>
          <reference field="16" count="1">
            <x v="0"/>
          </reference>
        </references>
      </pivotArea>
    </format>
    <format dxfId="2803">
      <pivotArea dataOnly="0" labelOnly="1" outline="0" fieldPosition="0">
        <references count="6">
          <reference field="0" count="1" selected="0">
            <x v="269"/>
          </reference>
          <reference field="1" count="1" selected="0">
            <x v="26"/>
          </reference>
          <reference field="2" count="1" selected="0">
            <x v="5"/>
          </reference>
          <reference field="3" count="1" selected="0">
            <x v="2"/>
          </reference>
          <reference field="4" count="1" selected="0">
            <x v="0"/>
          </reference>
          <reference field="16" count="1">
            <x v="0"/>
          </reference>
        </references>
      </pivotArea>
    </format>
    <format dxfId="2802">
      <pivotArea dataOnly="0" labelOnly="1" outline="0" fieldPosition="0">
        <references count="6">
          <reference field="0" count="1" selected="0">
            <x v="270"/>
          </reference>
          <reference field="1" count="1" selected="0">
            <x v="5"/>
          </reference>
          <reference field="2" count="1" selected="0">
            <x v="0"/>
          </reference>
          <reference field="3" count="1" selected="0">
            <x v="2"/>
          </reference>
          <reference field="4" count="1" selected="0">
            <x v="2"/>
          </reference>
          <reference field="16" count="1">
            <x v="0"/>
          </reference>
        </references>
      </pivotArea>
    </format>
    <format dxfId="2801">
      <pivotArea dataOnly="0" labelOnly="1" outline="0" fieldPosition="0">
        <references count="6">
          <reference field="0" count="1" selected="0">
            <x v="271"/>
          </reference>
          <reference field="1" count="1" selected="0">
            <x v="30"/>
          </reference>
          <reference field="2" count="1" selected="0">
            <x v="1"/>
          </reference>
          <reference field="3" count="1" selected="0">
            <x v="4"/>
          </reference>
          <reference field="4" count="1" selected="0">
            <x v="2"/>
          </reference>
          <reference field="16" count="1">
            <x v="1"/>
          </reference>
        </references>
      </pivotArea>
    </format>
    <format dxfId="2800">
      <pivotArea dataOnly="0" labelOnly="1" outline="0" fieldPosition="0">
        <references count="6">
          <reference field="0" count="1" selected="0">
            <x v="272"/>
          </reference>
          <reference field="1" count="1" selected="0">
            <x v="40"/>
          </reference>
          <reference field="2" count="1" selected="0">
            <x v="2"/>
          </reference>
          <reference field="3" count="1" selected="0">
            <x v="4"/>
          </reference>
          <reference field="4" count="1" selected="0">
            <x v="3"/>
          </reference>
          <reference field="16" count="1">
            <x v="1"/>
          </reference>
        </references>
      </pivotArea>
    </format>
    <format dxfId="2799">
      <pivotArea dataOnly="0" labelOnly="1" outline="0" fieldPosition="0">
        <references count="6">
          <reference field="0" count="1" selected="0">
            <x v="273"/>
          </reference>
          <reference field="1" count="1" selected="0">
            <x v="54"/>
          </reference>
          <reference field="2" count="1" selected="0">
            <x v="2"/>
          </reference>
          <reference field="3" count="1" selected="0">
            <x v="1"/>
          </reference>
          <reference field="4" count="1" selected="0">
            <x v="4"/>
          </reference>
          <reference field="16" count="1">
            <x v="0"/>
          </reference>
        </references>
      </pivotArea>
    </format>
    <format dxfId="2798">
      <pivotArea dataOnly="0" labelOnly="1" outline="0" fieldPosition="0">
        <references count="6">
          <reference field="0" count="1" selected="0">
            <x v="274"/>
          </reference>
          <reference field="1" count="1" selected="0">
            <x v="32"/>
          </reference>
          <reference field="2" count="1" selected="0">
            <x v="1"/>
          </reference>
          <reference field="3" count="1" selected="0">
            <x v="2"/>
          </reference>
          <reference field="4" count="1" selected="0">
            <x v="1"/>
          </reference>
          <reference field="16" count="1">
            <x v="0"/>
          </reference>
        </references>
      </pivotArea>
    </format>
    <format dxfId="2797">
      <pivotArea dataOnly="0" labelOnly="1" outline="0" fieldPosition="0">
        <references count="6">
          <reference field="0" count="1" selected="0">
            <x v="275"/>
          </reference>
          <reference field="1" count="1" selected="0">
            <x v="47"/>
          </reference>
          <reference field="2" count="1" selected="0">
            <x v="0"/>
          </reference>
          <reference field="3" count="1" selected="0">
            <x v="2"/>
          </reference>
          <reference field="4" count="1" selected="0">
            <x v="3"/>
          </reference>
          <reference field="16" count="1">
            <x v="0"/>
          </reference>
        </references>
      </pivotArea>
    </format>
    <format dxfId="2796">
      <pivotArea dataOnly="0" labelOnly="1" outline="0" fieldPosition="0">
        <references count="6">
          <reference field="0" count="1" selected="0">
            <x v="276"/>
          </reference>
          <reference field="1" count="1" selected="0">
            <x v="58"/>
          </reference>
          <reference field="2" count="1" selected="0">
            <x v="1"/>
          </reference>
          <reference field="3" count="1" selected="0">
            <x v="0"/>
          </reference>
          <reference field="4" count="1" selected="0">
            <x v="3"/>
          </reference>
          <reference field="16" count="1">
            <x v="0"/>
          </reference>
        </references>
      </pivotArea>
    </format>
    <format dxfId="2795">
      <pivotArea dataOnly="0" labelOnly="1" outline="0" fieldPosition="0">
        <references count="6">
          <reference field="0" count="1" selected="0">
            <x v="277"/>
          </reference>
          <reference field="1" count="1" selected="0">
            <x v="9"/>
          </reference>
          <reference field="2" count="1" selected="0">
            <x v="3"/>
          </reference>
          <reference field="3" count="1" selected="0">
            <x v="5"/>
          </reference>
          <reference field="4" count="1" selected="0">
            <x v="3"/>
          </reference>
          <reference field="16" count="1">
            <x v="0"/>
          </reference>
        </references>
      </pivotArea>
    </format>
    <format dxfId="2794">
      <pivotArea dataOnly="0" labelOnly="1" outline="0" fieldPosition="0">
        <references count="6">
          <reference field="0" count="1" selected="0">
            <x v="278"/>
          </reference>
          <reference field="1" count="1" selected="0">
            <x v="12"/>
          </reference>
          <reference field="2" count="1" selected="0">
            <x v="4"/>
          </reference>
          <reference field="3" count="1" selected="0">
            <x v="3"/>
          </reference>
          <reference field="4" count="1" selected="0">
            <x v="3"/>
          </reference>
          <reference field="16" count="1">
            <x v="0"/>
          </reference>
        </references>
      </pivotArea>
    </format>
    <format dxfId="2793">
      <pivotArea dataOnly="0" labelOnly="1" outline="0" fieldPosition="0">
        <references count="6">
          <reference field="0" count="1" selected="0">
            <x v="279"/>
          </reference>
          <reference field="1" count="1" selected="0">
            <x v="28"/>
          </reference>
          <reference field="2" count="1" selected="0">
            <x v="3"/>
          </reference>
          <reference field="3" count="1" selected="0">
            <x v="7"/>
          </reference>
          <reference field="4" count="1" selected="0">
            <x v="3"/>
          </reference>
          <reference field="16" count="1">
            <x v="1"/>
          </reference>
        </references>
      </pivotArea>
    </format>
    <format dxfId="2792">
      <pivotArea dataOnly="0" labelOnly="1" outline="0" fieldPosition="0">
        <references count="6">
          <reference field="0" count="1" selected="0">
            <x v="280"/>
          </reference>
          <reference field="1" count="1" selected="0">
            <x v="39"/>
          </reference>
          <reference field="2" count="1" selected="0">
            <x v="2"/>
          </reference>
          <reference field="3" count="1" selected="0">
            <x v="2"/>
          </reference>
          <reference field="4" count="1" selected="0">
            <x v="0"/>
          </reference>
          <reference field="16" count="1">
            <x v="0"/>
          </reference>
        </references>
      </pivotArea>
    </format>
    <format dxfId="2791">
      <pivotArea dataOnly="0" labelOnly="1" outline="0" fieldPosition="0">
        <references count="6">
          <reference field="0" count="1" selected="0">
            <x v="281"/>
          </reference>
          <reference field="1" count="1" selected="0">
            <x v="51"/>
          </reference>
          <reference field="2" count="1" selected="0">
            <x v="0"/>
          </reference>
          <reference field="3" count="1" selected="0">
            <x v="0"/>
          </reference>
          <reference field="4" count="1" selected="0">
            <x v="1"/>
          </reference>
          <reference field="16" count="1">
            <x v="1"/>
          </reference>
        </references>
      </pivotArea>
    </format>
    <format dxfId="2790">
      <pivotArea dataOnly="0" labelOnly="1" outline="0" fieldPosition="0">
        <references count="6">
          <reference field="0" count="1" selected="0">
            <x v="282"/>
          </reference>
          <reference field="1" count="1" selected="0">
            <x v="1"/>
          </reference>
          <reference field="2" count="1" selected="0">
            <x v="5"/>
          </reference>
          <reference field="3" count="1" selected="0">
            <x v="4"/>
          </reference>
          <reference field="4" count="1" selected="0">
            <x v="3"/>
          </reference>
          <reference field="16" count="1">
            <x v="0"/>
          </reference>
        </references>
      </pivotArea>
    </format>
    <format dxfId="2789">
      <pivotArea dataOnly="0" labelOnly="1" outline="0" fieldPosition="0">
        <references count="6">
          <reference field="0" count="1" selected="0">
            <x v="283"/>
          </reference>
          <reference field="1" count="1" selected="0">
            <x v="18"/>
          </reference>
          <reference field="2" count="1" selected="0">
            <x v="2"/>
          </reference>
          <reference field="3" count="1" selected="0">
            <x v="2"/>
          </reference>
          <reference field="4" count="1" selected="0">
            <x v="2"/>
          </reference>
          <reference field="16" count="1">
            <x v="1"/>
          </reference>
        </references>
      </pivotArea>
    </format>
    <format dxfId="2788">
      <pivotArea dataOnly="0" labelOnly="1" outline="0" fieldPosition="0">
        <references count="6">
          <reference field="0" count="1" selected="0">
            <x v="284"/>
          </reference>
          <reference field="1" count="1" selected="0">
            <x v="34"/>
          </reference>
          <reference field="2" count="1" selected="0">
            <x v="5"/>
          </reference>
          <reference field="3" count="1" selected="0">
            <x v="1"/>
          </reference>
          <reference field="4" count="1" selected="0">
            <x v="0"/>
          </reference>
          <reference field="16" count="1">
            <x v="0"/>
          </reference>
        </references>
      </pivotArea>
    </format>
    <format dxfId="2787">
      <pivotArea dataOnly="0" labelOnly="1" outline="0" fieldPosition="0">
        <references count="6">
          <reference field="0" count="1" selected="0">
            <x v="285"/>
          </reference>
          <reference field="1" count="1" selected="0">
            <x v="58"/>
          </reference>
          <reference field="2" count="1" selected="0">
            <x v="1"/>
          </reference>
          <reference field="3" count="1" selected="0">
            <x v="2"/>
          </reference>
          <reference field="4" count="1" selected="0">
            <x v="2"/>
          </reference>
          <reference field="16" count="1">
            <x v="0"/>
          </reference>
        </references>
      </pivotArea>
    </format>
    <format dxfId="2786">
      <pivotArea dataOnly="0" labelOnly="1" outline="0" fieldPosition="0">
        <references count="6">
          <reference field="0" count="1" selected="0">
            <x v="286"/>
          </reference>
          <reference field="1" count="1" selected="0">
            <x v="47"/>
          </reference>
          <reference field="2" count="1" selected="0">
            <x v="0"/>
          </reference>
          <reference field="3" count="1" selected="0">
            <x v="5"/>
          </reference>
          <reference field="4" count="1" selected="0">
            <x v="2"/>
          </reference>
          <reference field="16" count="1">
            <x v="0"/>
          </reference>
        </references>
      </pivotArea>
    </format>
    <format dxfId="2785">
      <pivotArea dataOnly="0" labelOnly="1" outline="0" fieldPosition="0">
        <references count="6">
          <reference field="0" count="1" selected="0">
            <x v="287"/>
          </reference>
          <reference field="1" count="1" selected="0">
            <x v="27"/>
          </reference>
          <reference field="2" count="1" selected="0">
            <x v="0"/>
          </reference>
          <reference field="3" count="1" selected="0">
            <x v="3"/>
          </reference>
          <reference field="4" count="1" selected="0">
            <x v="4"/>
          </reference>
          <reference field="16" count="1">
            <x v="1"/>
          </reference>
        </references>
      </pivotArea>
    </format>
    <format dxfId="2784">
      <pivotArea dataOnly="0" labelOnly="1" outline="0" fieldPosition="0">
        <references count="6">
          <reference field="0" count="1" selected="0">
            <x v="288"/>
          </reference>
          <reference field="1" count="1" selected="0">
            <x v="46"/>
          </reference>
          <reference field="2" count="1" selected="0">
            <x v="3"/>
          </reference>
          <reference field="3" count="1" selected="0">
            <x v="4"/>
          </reference>
          <reference field="4" count="1" selected="0">
            <x v="0"/>
          </reference>
          <reference field="16" count="1">
            <x v="0"/>
          </reference>
        </references>
      </pivotArea>
    </format>
    <format dxfId="2783">
      <pivotArea dataOnly="0" labelOnly="1" outline="0" fieldPosition="0">
        <references count="6">
          <reference field="0" count="1" selected="0">
            <x v="289"/>
          </reference>
          <reference field="1" count="1" selected="0">
            <x v="53"/>
          </reference>
          <reference field="2" count="1" selected="0">
            <x v="1"/>
          </reference>
          <reference field="3" count="1" selected="0">
            <x v="0"/>
          </reference>
          <reference field="4" count="1" selected="0">
            <x v="0"/>
          </reference>
          <reference field="16" count="1">
            <x v="0"/>
          </reference>
        </references>
      </pivotArea>
    </format>
    <format dxfId="2782">
      <pivotArea dataOnly="0" labelOnly="1" outline="0" fieldPosition="0">
        <references count="6">
          <reference field="0" count="1" selected="0">
            <x v="290"/>
          </reference>
          <reference field="1" count="1" selected="0">
            <x v="41"/>
          </reference>
          <reference field="2" count="1" selected="0">
            <x v="0"/>
          </reference>
          <reference field="3" count="1" selected="0">
            <x v="3"/>
          </reference>
          <reference field="4" count="1" selected="0">
            <x v="4"/>
          </reference>
          <reference field="16" count="1">
            <x v="0"/>
          </reference>
        </references>
      </pivotArea>
    </format>
    <format dxfId="2781">
      <pivotArea dataOnly="0" labelOnly="1" outline="0" fieldPosition="0">
        <references count="6">
          <reference field="0" count="1" selected="0">
            <x v="291"/>
          </reference>
          <reference field="1" count="1" selected="0">
            <x v="3"/>
          </reference>
          <reference field="2" count="1" selected="0">
            <x v="4"/>
          </reference>
          <reference field="3" count="1" selected="0">
            <x v="2"/>
          </reference>
          <reference field="4" count="1" selected="0">
            <x v="3"/>
          </reference>
          <reference field="16" count="1">
            <x v="0"/>
          </reference>
        </references>
      </pivotArea>
    </format>
    <format dxfId="2780">
      <pivotArea dataOnly="0" labelOnly="1" outline="0" fieldPosition="0">
        <references count="6">
          <reference field="0" count="1" selected="0">
            <x v="292"/>
          </reference>
          <reference field="1" count="1" selected="0">
            <x v="56"/>
          </reference>
          <reference field="2" count="1" selected="0">
            <x v="4"/>
          </reference>
          <reference field="3" count="1" selected="0">
            <x v="5"/>
          </reference>
          <reference field="4" count="1" selected="0">
            <x v="2"/>
          </reference>
          <reference field="16" count="1">
            <x v="1"/>
          </reference>
        </references>
      </pivotArea>
    </format>
    <format dxfId="2779">
      <pivotArea dataOnly="0" labelOnly="1" outline="0" fieldPosition="0">
        <references count="6">
          <reference field="0" count="1" selected="0">
            <x v="293"/>
          </reference>
          <reference field="1" count="1" selected="0">
            <x v="25"/>
          </reference>
          <reference field="2" count="1" selected="0">
            <x v="1"/>
          </reference>
          <reference field="3" count="1" selected="0">
            <x v="5"/>
          </reference>
          <reference field="4" count="1" selected="0">
            <x v="3"/>
          </reference>
          <reference field="16" count="1">
            <x v="1"/>
          </reference>
        </references>
      </pivotArea>
    </format>
    <format dxfId="2778">
      <pivotArea dataOnly="0" labelOnly="1" outline="0" fieldPosition="0">
        <references count="6">
          <reference field="0" count="1" selected="0">
            <x v="294"/>
          </reference>
          <reference field="1" count="1" selected="0">
            <x v="14"/>
          </reference>
          <reference field="2" count="1" selected="0">
            <x v="4"/>
          </reference>
          <reference field="3" count="1" selected="0">
            <x v="0"/>
          </reference>
          <reference field="4" count="1" selected="0">
            <x v="0"/>
          </reference>
          <reference field="16" count="1">
            <x v="1"/>
          </reference>
        </references>
      </pivotArea>
    </format>
    <format dxfId="2777">
      <pivotArea dataOnly="0" labelOnly="1" outline="0" fieldPosition="0">
        <references count="6">
          <reference field="0" count="1" selected="0">
            <x v="295"/>
          </reference>
          <reference field="1" count="1" selected="0">
            <x v="5"/>
          </reference>
          <reference field="2" count="1" selected="0">
            <x v="0"/>
          </reference>
          <reference field="3" count="1" selected="0">
            <x v="4"/>
          </reference>
          <reference field="4" count="1" selected="0">
            <x v="4"/>
          </reference>
          <reference field="16" count="1">
            <x v="1"/>
          </reference>
        </references>
      </pivotArea>
    </format>
    <format dxfId="2776">
      <pivotArea dataOnly="0" labelOnly="1" outline="0" fieldPosition="0">
        <references count="6">
          <reference field="0" count="1" selected="0">
            <x v="296"/>
          </reference>
          <reference field="1" count="1" selected="0">
            <x v="28"/>
          </reference>
          <reference field="2" count="1" selected="0">
            <x v="3"/>
          </reference>
          <reference field="3" count="1" selected="0">
            <x v="7"/>
          </reference>
          <reference field="4" count="1" selected="0">
            <x v="4"/>
          </reference>
          <reference field="16" count="1">
            <x v="0"/>
          </reference>
        </references>
      </pivotArea>
    </format>
    <format dxfId="2775">
      <pivotArea dataOnly="0" labelOnly="1" outline="0" fieldPosition="0">
        <references count="6">
          <reference field="0" count="1" selected="0">
            <x v="297"/>
          </reference>
          <reference field="1" count="1" selected="0">
            <x v="20"/>
          </reference>
          <reference field="2" count="1" selected="0">
            <x v="4"/>
          </reference>
          <reference field="3" count="1" selected="0">
            <x v="0"/>
          </reference>
          <reference field="4" count="1" selected="0">
            <x v="3"/>
          </reference>
          <reference field="16" count="1">
            <x v="1"/>
          </reference>
        </references>
      </pivotArea>
    </format>
    <format dxfId="2774">
      <pivotArea dataOnly="0" labelOnly="1" outline="0" fieldPosition="0">
        <references count="6">
          <reference field="0" count="1" selected="0">
            <x v="298"/>
          </reference>
          <reference field="1" count="1" selected="0">
            <x v="42"/>
          </reference>
          <reference field="2" count="1" selected="0">
            <x v="2"/>
          </reference>
          <reference field="3" count="1" selected="0">
            <x v="2"/>
          </reference>
          <reference field="4" count="1" selected="0">
            <x v="1"/>
          </reference>
          <reference field="16" count="1">
            <x v="0"/>
          </reference>
        </references>
      </pivotArea>
    </format>
    <format dxfId="2773">
      <pivotArea dataOnly="0" labelOnly="1" outline="0" fieldPosition="0">
        <references count="6">
          <reference field="0" count="1" selected="0">
            <x v="299"/>
          </reference>
          <reference field="1" count="1" selected="0">
            <x v="39"/>
          </reference>
          <reference field="2" count="1" selected="0">
            <x v="2"/>
          </reference>
          <reference field="3" count="1" selected="0">
            <x v="3"/>
          </reference>
          <reference field="4" count="1" selected="0">
            <x v="1"/>
          </reference>
          <reference field="16" count="1">
            <x v="0"/>
          </reference>
        </references>
      </pivotArea>
    </format>
    <format dxfId="2772">
      <pivotArea dataOnly="0" labelOnly="1" outline="0" fieldPosition="0">
        <references count="1">
          <reference field="4294967294" count="4">
            <x v="0"/>
            <x v="1"/>
            <x v="2"/>
            <x v="3"/>
          </reference>
        </references>
      </pivotArea>
    </format>
    <format dxfId="2771">
      <pivotArea type="all" dataOnly="0" outline="0" fieldPosition="0"/>
    </format>
    <format dxfId="2770">
      <pivotArea outline="0" collapsedLevelsAreSubtotals="1" fieldPosition="0"/>
    </format>
    <format dxfId="2769">
      <pivotArea field="0" type="button" dataOnly="0" labelOnly="1" outline="0" axis="axisRow" fieldPosition="0"/>
    </format>
    <format dxfId="2768">
      <pivotArea field="1" type="button" dataOnly="0" labelOnly="1" outline="0" axis="axisRow" fieldPosition="1"/>
    </format>
    <format dxfId="2767">
      <pivotArea field="2" type="button" dataOnly="0" labelOnly="1" outline="0" axis="axisRow" fieldPosition="2"/>
    </format>
    <format dxfId="2766">
      <pivotArea field="3" type="button" dataOnly="0" labelOnly="1" outline="0" axis="axisRow" fieldPosition="3"/>
    </format>
    <format dxfId="2765">
      <pivotArea field="4" type="button" dataOnly="0" labelOnly="1" outline="0" axis="axisRow" fieldPosition="4"/>
    </format>
    <format dxfId="2764">
      <pivotArea field="16" type="button" dataOnly="0" labelOnly="1" outline="0" axis="axisRow" fieldPosition="5"/>
    </format>
    <format dxfId="2763">
      <pivotArea dataOnly="0" labelOnly="1" outline="0"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2762">
      <pivotArea dataOnly="0" labelOnly="1" outline="0" fieldPosition="0">
        <references count="1">
          <reference field="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2761">
      <pivotArea dataOnly="0" labelOnly="1" outline="0" fieldPosition="0">
        <references count="1">
          <reference field="0"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2760">
      <pivotArea dataOnly="0" labelOnly="1" outline="0" fieldPosition="0">
        <references count="1">
          <reference field="0"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2759">
      <pivotArea dataOnly="0" labelOnly="1" outline="0" fieldPosition="0">
        <references count="1">
          <reference field="0"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2758">
      <pivotArea dataOnly="0" labelOnly="1" outline="0" fieldPosition="0">
        <references count="1">
          <reference field="0"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2757">
      <pivotArea dataOnly="0" labelOnly="1" outline="0" fieldPosition="0">
        <references count="2">
          <reference field="0" count="1" selected="0">
            <x v="0"/>
          </reference>
          <reference field="1" count="1">
            <x v="0"/>
          </reference>
        </references>
      </pivotArea>
    </format>
    <format dxfId="2756">
      <pivotArea dataOnly="0" labelOnly="1" outline="0" fieldPosition="0">
        <references count="2">
          <reference field="0" count="1" selected="0">
            <x v="1"/>
          </reference>
          <reference field="1" count="1">
            <x v="58"/>
          </reference>
        </references>
      </pivotArea>
    </format>
    <format dxfId="2755">
      <pivotArea dataOnly="0" labelOnly="1" outline="0" fieldPosition="0">
        <references count="2">
          <reference field="0" count="1" selected="0">
            <x v="2"/>
          </reference>
          <reference field="1" count="1">
            <x v="35"/>
          </reference>
        </references>
      </pivotArea>
    </format>
    <format dxfId="2754">
      <pivotArea dataOnly="0" labelOnly="1" outline="0" fieldPosition="0">
        <references count="2">
          <reference field="0" count="1" selected="0">
            <x v="3"/>
          </reference>
          <reference field="1" count="1">
            <x v="33"/>
          </reference>
        </references>
      </pivotArea>
    </format>
    <format dxfId="2753">
      <pivotArea dataOnly="0" labelOnly="1" outline="0" fieldPosition="0">
        <references count="2">
          <reference field="0" count="1" selected="0">
            <x v="4"/>
          </reference>
          <reference field="1" count="1">
            <x v="8"/>
          </reference>
        </references>
      </pivotArea>
    </format>
    <format dxfId="2752">
      <pivotArea dataOnly="0" labelOnly="1" outline="0" fieldPosition="0">
        <references count="2">
          <reference field="0" count="1" selected="0">
            <x v="5"/>
          </reference>
          <reference field="1" count="1">
            <x v="36"/>
          </reference>
        </references>
      </pivotArea>
    </format>
    <format dxfId="2751">
      <pivotArea dataOnly="0" labelOnly="1" outline="0" fieldPosition="0">
        <references count="2">
          <reference field="0" count="1" selected="0">
            <x v="6"/>
          </reference>
          <reference field="1" count="1">
            <x v="23"/>
          </reference>
        </references>
      </pivotArea>
    </format>
    <format dxfId="2750">
      <pivotArea dataOnly="0" labelOnly="1" outline="0" fieldPosition="0">
        <references count="2">
          <reference field="0" count="1" selected="0">
            <x v="7"/>
          </reference>
          <reference field="1" count="1">
            <x v="16"/>
          </reference>
        </references>
      </pivotArea>
    </format>
    <format dxfId="2749">
      <pivotArea dataOnly="0" labelOnly="1" outline="0" fieldPosition="0">
        <references count="2">
          <reference field="0" count="1" selected="0">
            <x v="8"/>
          </reference>
          <reference field="1" count="1">
            <x v="9"/>
          </reference>
        </references>
      </pivotArea>
    </format>
    <format dxfId="2748">
      <pivotArea dataOnly="0" labelOnly="1" outline="0" fieldPosition="0">
        <references count="2">
          <reference field="0" count="1" selected="0">
            <x v="9"/>
          </reference>
          <reference field="1" count="1">
            <x v="50"/>
          </reference>
        </references>
      </pivotArea>
    </format>
    <format dxfId="2747">
      <pivotArea dataOnly="0" labelOnly="1" outline="0" fieldPosition="0">
        <references count="2">
          <reference field="0" count="1" selected="0">
            <x v="10"/>
          </reference>
          <reference field="1" count="1">
            <x v="14"/>
          </reference>
        </references>
      </pivotArea>
    </format>
    <format dxfId="2746">
      <pivotArea dataOnly="0" labelOnly="1" outline="0" fieldPosition="0">
        <references count="2">
          <reference field="0" count="1" selected="0">
            <x v="11"/>
          </reference>
          <reference field="1" count="1">
            <x v="27"/>
          </reference>
        </references>
      </pivotArea>
    </format>
    <format dxfId="2745">
      <pivotArea dataOnly="0" labelOnly="1" outline="0" fieldPosition="0">
        <references count="2">
          <reference field="0" count="1" selected="0">
            <x v="12"/>
          </reference>
          <reference field="1" count="1">
            <x v="28"/>
          </reference>
        </references>
      </pivotArea>
    </format>
    <format dxfId="2744">
      <pivotArea dataOnly="0" labelOnly="1" outline="0" fieldPosition="0">
        <references count="2">
          <reference field="0" count="1" selected="0">
            <x v="13"/>
          </reference>
          <reference field="1" count="1">
            <x v="37"/>
          </reference>
        </references>
      </pivotArea>
    </format>
    <format dxfId="2743">
      <pivotArea dataOnly="0" labelOnly="1" outline="0" fieldPosition="0">
        <references count="2">
          <reference field="0" count="1" selected="0">
            <x v="14"/>
          </reference>
          <reference field="1" count="1">
            <x v="15"/>
          </reference>
        </references>
      </pivotArea>
    </format>
    <format dxfId="2742">
      <pivotArea dataOnly="0" labelOnly="1" outline="0" fieldPosition="0">
        <references count="2">
          <reference field="0" count="1" selected="0">
            <x v="15"/>
          </reference>
          <reference field="1" count="1">
            <x v="9"/>
          </reference>
        </references>
      </pivotArea>
    </format>
    <format dxfId="2741">
      <pivotArea dataOnly="0" labelOnly="1" outline="0" fieldPosition="0">
        <references count="2">
          <reference field="0" count="1" selected="0">
            <x v="16"/>
          </reference>
          <reference field="1" count="1">
            <x v="3"/>
          </reference>
        </references>
      </pivotArea>
    </format>
    <format dxfId="2740">
      <pivotArea dataOnly="0" labelOnly="1" outline="0" fieldPosition="0">
        <references count="2">
          <reference field="0" count="1" selected="0">
            <x v="17"/>
          </reference>
          <reference field="1" count="1">
            <x v="58"/>
          </reference>
        </references>
      </pivotArea>
    </format>
    <format dxfId="2739">
      <pivotArea dataOnly="0" labelOnly="1" outline="0" fieldPosition="0">
        <references count="2">
          <reference field="0" count="1" selected="0">
            <x v="18"/>
          </reference>
          <reference field="1" count="1">
            <x v="40"/>
          </reference>
        </references>
      </pivotArea>
    </format>
    <format dxfId="2738">
      <pivotArea dataOnly="0" labelOnly="1" outline="0" fieldPosition="0">
        <references count="2">
          <reference field="0" count="1" selected="0">
            <x v="19"/>
          </reference>
          <reference field="1" count="1">
            <x v="12"/>
          </reference>
        </references>
      </pivotArea>
    </format>
    <format dxfId="2737">
      <pivotArea dataOnly="0" labelOnly="1" outline="0" fieldPosition="0">
        <references count="2">
          <reference field="0" count="1" selected="0">
            <x v="20"/>
          </reference>
          <reference field="1" count="1">
            <x v="17"/>
          </reference>
        </references>
      </pivotArea>
    </format>
    <format dxfId="2736">
      <pivotArea dataOnly="0" labelOnly="1" outline="0" fieldPosition="0">
        <references count="2">
          <reference field="0" count="1" selected="0">
            <x v="21"/>
          </reference>
          <reference field="1" count="1">
            <x v="4"/>
          </reference>
        </references>
      </pivotArea>
    </format>
    <format dxfId="2735">
      <pivotArea dataOnly="0" labelOnly="1" outline="0" fieldPosition="0">
        <references count="2">
          <reference field="0" count="1" selected="0">
            <x v="22"/>
          </reference>
          <reference field="1" count="1">
            <x v="49"/>
          </reference>
        </references>
      </pivotArea>
    </format>
    <format dxfId="2734">
      <pivotArea dataOnly="0" labelOnly="1" outline="0" fieldPosition="0">
        <references count="2">
          <reference field="0" count="1" selected="0">
            <x v="23"/>
          </reference>
          <reference field="1" count="1">
            <x v="31"/>
          </reference>
        </references>
      </pivotArea>
    </format>
    <format dxfId="2733">
      <pivotArea dataOnly="0" labelOnly="1" outline="0" fieldPosition="0">
        <references count="2">
          <reference field="0" count="1" selected="0">
            <x v="24"/>
          </reference>
          <reference field="1" count="1">
            <x v="21"/>
          </reference>
        </references>
      </pivotArea>
    </format>
    <format dxfId="2732">
      <pivotArea dataOnly="0" labelOnly="1" outline="0" fieldPosition="0">
        <references count="2">
          <reference field="0" count="1" selected="0">
            <x v="25"/>
          </reference>
          <reference field="1" count="1">
            <x v="23"/>
          </reference>
        </references>
      </pivotArea>
    </format>
    <format dxfId="2731">
      <pivotArea dataOnly="0" labelOnly="1" outline="0" fieldPosition="0">
        <references count="2">
          <reference field="0" count="1" selected="0">
            <x v="26"/>
          </reference>
          <reference field="1" count="1">
            <x v="9"/>
          </reference>
        </references>
      </pivotArea>
    </format>
    <format dxfId="2730">
      <pivotArea dataOnly="0" labelOnly="1" outline="0" fieldPosition="0">
        <references count="2">
          <reference field="0" count="1" selected="0">
            <x v="27"/>
          </reference>
          <reference field="1" count="1">
            <x v="22"/>
          </reference>
        </references>
      </pivotArea>
    </format>
    <format dxfId="2729">
      <pivotArea dataOnly="0" labelOnly="1" outline="0" fieldPosition="0">
        <references count="2">
          <reference field="0" count="1" selected="0">
            <x v="28"/>
          </reference>
          <reference field="1" count="1">
            <x v="19"/>
          </reference>
        </references>
      </pivotArea>
    </format>
    <format dxfId="2728">
      <pivotArea dataOnly="0" labelOnly="1" outline="0" fieldPosition="0">
        <references count="2">
          <reference field="0" count="1" selected="0">
            <x v="29"/>
          </reference>
          <reference field="1" count="1">
            <x v="4"/>
          </reference>
        </references>
      </pivotArea>
    </format>
    <format dxfId="2727">
      <pivotArea dataOnly="0" labelOnly="1" outline="0" fieldPosition="0">
        <references count="2">
          <reference field="0" count="1" selected="0">
            <x v="30"/>
          </reference>
          <reference field="1" count="1">
            <x v="23"/>
          </reference>
        </references>
      </pivotArea>
    </format>
    <format dxfId="2726">
      <pivotArea dataOnly="0" labelOnly="1" outline="0" fieldPosition="0">
        <references count="2">
          <reference field="0" count="1" selected="0">
            <x v="31"/>
          </reference>
          <reference field="1" count="1">
            <x v="34"/>
          </reference>
        </references>
      </pivotArea>
    </format>
    <format dxfId="2725">
      <pivotArea dataOnly="0" labelOnly="1" outline="0" fieldPosition="0">
        <references count="2">
          <reference field="0" count="1" selected="0">
            <x v="32"/>
          </reference>
          <reference field="1" count="1">
            <x v="53"/>
          </reference>
        </references>
      </pivotArea>
    </format>
    <format dxfId="2724">
      <pivotArea dataOnly="0" labelOnly="1" outline="0" fieldPosition="0">
        <references count="2">
          <reference field="0" count="1" selected="0">
            <x v="33"/>
          </reference>
          <reference field="1" count="1">
            <x v="45"/>
          </reference>
        </references>
      </pivotArea>
    </format>
    <format dxfId="2723">
      <pivotArea dataOnly="0" labelOnly="1" outline="0" fieldPosition="0">
        <references count="2">
          <reference field="0" count="1" selected="0">
            <x v="34"/>
          </reference>
          <reference field="1" count="1">
            <x v="49"/>
          </reference>
        </references>
      </pivotArea>
    </format>
    <format dxfId="2722">
      <pivotArea dataOnly="0" labelOnly="1" outline="0" fieldPosition="0">
        <references count="2">
          <reference field="0" count="1" selected="0">
            <x v="35"/>
          </reference>
          <reference field="1" count="1">
            <x v="0"/>
          </reference>
        </references>
      </pivotArea>
    </format>
    <format dxfId="2721">
      <pivotArea dataOnly="0" labelOnly="1" outline="0" fieldPosition="0">
        <references count="2">
          <reference field="0" count="1" selected="0">
            <x v="36"/>
          </reference>
          <reference field="1" count="1">
            <x v="6"/>
          </reference>
        </references>
      </pivotArea>
    </format>
    <format dxfId="2720">
      <pivotArea dataOnly="0" labelOnly="1" outline="0" fieldPosition="0">
        <references count="2">
          <reference field="0" count="1" selected="0">
            <x v="37"/>
          </reference>
          <reference field="1" count="1">
            <x v="4"/>
          </reference>
        </references>
      </pivotArea>
    </format>
    <format dxfId="2719">
      <pivotArea dataOnly="0" labelOnly="1" outline="0" fieldPosition="0">
        <references count="2">
          <reference field="0" count="1" selected="0">
            <x v="38"/>
          </reference>
          <reference field="1" count="1">
            <x v="35"/>
          </reference>
        </references>
      </pivotArea>
    </format>
    <format dxfId="2718">
      <pivotArea dataOnly="0" labelOnly="1" outline="0" fieldPosition="0">
        <references count="2">
          <reference field="0" count="1" selected="0">
            <x v="39"/>
          </reference>
          <reference field="1" count="1">
            <x v="41"/>
          </reference>
        </references>
      </pivotArea>
    </format>
    <format dxfId="2717">
      <pivotArea dataOnly="0" labelOnly="1" outline="0" fieldPosition="0">
        <references count="2">
          <reference field="0" count="1" selected="0">
            <x v="40"/>
          </reference>
          <reference field="1" count="1">
            <x v="47"/>
          </reference>
        </references>
      </pivotArea>
    </format>
    <format dxfId="2716">
      <pivotArea dataOnly="0" labelOnly="1" outline="0" fieldPosition="0">
        <references count="2">
          <reference field="0" count="1" selected="0">
            <x v="41"/>
          </reference>
          <reference field="1" count="1">
            <x v="22"/>
          </reference>
        </references>
      </pivotArea>
    </format>
    <format dxfId="2715">
      <pivotArea dataOnly="0" labelOnly="1" outline="0" fieldPosition="0">
        <references count="2">
          <reference field="0" count="1" selected="0">
            <x v="42"/>
          </reference>
          <reference field="1" count="1">
            <x v="12"/>
          </reference>
        </references>
      </pivotArea>
    </format>
    <format dxfId="2714">
      <pivotArea dataOnly="0" labelOnly="1" outline="0" fieldPosition="0">
        <references count="2">
          <reference field="0" count="1" selected="0">
            <x v="43"/>
          </reference>
          <reference field="1" count="1">
            <x v="30"/>
          </reference>
        </references>
      </pivotArea>
    </format>
    <format dxfId="2713">
      <pivotArea dataOnly="0" labelOnly="1" outline="0" fieldPosition="0">
        <references count="2">
          <reference field="0" count="1" selected="0">
            <x v="44"/>
          </reference>
          <reference field="1" count="1">
            <x v="14"/>
          </reference>
        </references>
      </pivotArea>
    </format>
    <format dxfId="2712">
      <pivotArea dataOnly="0" labelOnly="1" outline="0" fieldPosition="0">
        <references count="2">
          <reference field="0" count="1" selected="0">
            <x v="45"/>
          </reference>
          <reference field="1" count="1">
            <x v="50"/>
          </reference>
        </references>
      </pivotArea>
    </format>
    <format dxfId="2711">
      <pivotArea dataOnly="0" labelOnly="1" outline="0" fieldPosition="0">
        <references count="2">
          <reference field="0" count="1" selected="0">
            <x v="46"/>
          </reference>
          <reference field="1" count="1">
            <x v="42"/>
          </reference>
        </references>
      </pivotArea>
    </format>
    <format dxfId="2710">
      <pivotArea dataOnly="0" labelOnly="1" outline="0" fieldPosition="0">
        <references count="2">
          <reference field="0" count="1" selected="0">
            <x v="47"/>
          </reference>
          <reference field="1" count="1">
            <x v="9"/>
          </reference>
        </references>
      </pivotArea>
    </format>
    <format dxfId="2709">
      <pivotArea dataOnly="0" labelOnly="1" outline="0" fieldPosition="0">
        <references count="2">
          <reference field="0" count="1" selected="0">
            <x v="48"/>
          </reference>
          <reference field="1" count="1">
            <x v="31"/>
          </reference>
        </references>
      </pivotArea>
    </format>
    <format dxfId="2708">
      <pivotArea dataOnly="0" labelOnly="1" outline="0" fieldPosition="0">
        <references count="2">
          <reference field="0" count="1" selected="0">
            <x v="49"/>
          </reference>
          <reference field="1" count="1">
            <x v="14"/>
          </reference>
        </references>
      </pivotArea>
    </format>
    <format dxfId="2707">
      <pivotArea dataOnly="0" labelOnly="1" outline="0" fieldPosition="0">
        <references count="2">
          <reference field="0" count="1" selected="0">
            <x v="50"/>
          </reference>
          <reference field="1" count="1">
            <x v="23"/>
          </reference>
        </references>
      </pivotArea>
    </format>
    <format dxfId="2706">
      <pivotArea dataOnly="0" labelOnly="1" outline="0" fieldPosition="0">
        <references count="2">
          <reference field="0" count="1" selected="0">
            <x v="51"/>
          </reference>
          <reference field="1" count="1">
            <x v="17"/>
          </reference>
        </references>
      </pivotArea>
    </format>
    <format dxfId="2705">
      <pivotArea dataOnly="0" labelOnly="1" outline="0" fieldPosition="0">
        <references count="2">
          <reference field="0" count="1" selected="0">
            <x v="52"/>
          </reference>
          <reference field="1" count="1">
            <x v="16"/>
          </reference>
        </references>
      </pivotArea>
    </format>
    <format dxfId="2704">
      <pivotArea dataOnly="0" labelOnly="1" outline="0" fieldPosition="0">
        <references count="2">
          <reference field="0" count="1" selected="0">
            <x v="53"/>
          </reference>
          <reference field="1" count="1">
            <x v="10"/>
          </reference>
        </references>
      </pivotArea>
    </format>
    <format dxfId="2703">
      <pivotArea dataOnly="0" labelOnly="1" outline="0" fieldPosition="0">
        <references count="2">
          <reference field="0" count="1" selected="0">
            <x v="54"/>
          </reference>
          <reference field="1" count="1">
            <x v="40"/>
          </reference>
        </references>
      </pivotArea>
    </format>
    <format dxfId="2702">
      <pivotArea dataOnly="0" labelOnly="1" outline="0" fieldPosition="0">
        <references count="2">
          <reference field="0" count="1" selected="0">
            <x v="55"/>
          </reference>
          <reference field="1" count="1">
            <x v="13"/>
          </reference>
        </references>
      </pivotArea>
    </format>
    <format dxfId="2701">
      <pivotArea dataOnly="0" labelOnly="1" outline="0" fieldPosition="0">
        <references count="2">
          <reference field="0" count="1" selected="0">
            <x v="56"/>
          </reference>
          <reference field="1" count="1">
            <x v="37"/>
          </reference>
        </references>
      </pivotArea>
    </format>
    <format dxfId="2700">
      <pivotArea dataOnly="0" labelOnly="1" outline="0" fieldPosition="0">
        <references count="2">
          <reference field="0" count="1" selected="0">
            <x v="57"/>
          </reference>
          <reference field="1" count="1">
            <x v="48"/>
          </reference>
        </references>
      </pivotArea>
    </format>
    <format dxfId="2699">
      <pivotArea dataOnly="0" labelOnly="1" outline="0" fieldPosition="0">
        <references count="2">
          <reference field="0" count="1" selected="0">
            <x v="58"/>
          </reference>
          <reference field="1" count="1">
            <x v="44"/>
          </reference>
        </references>
      </pivotArea>
    </format>
    <format dxfId="2698">
      <pivotArea dataOnly="0" labelOnly="1" outline="0" fieldPosition="0">
        <references count="2">
          <reference field="0" count="1" selected="0">
            <x v="59"/>
          </reference>
          <reference field="1" count="1">
            <x v="24"/>
          </reference>
        </references>
      </pivotArea>
    </format>
    <format dxfId="2697">
      <pivotArea dataOnly="0" labelOnly="1" outline="0" fieldPosition="0">
        <references count="2">
          <reference field="0" count="1" selected="0">
            <x v="60"/>
          </reference>
          <reference field="1" count="1">
            <x v="34"/>
          </reference>
        </references>
      </pivotArea>
    </format>
    <format dxfId="2696">
      <pivotArea dataOnly="0" labelOnly="1" outline="0" fieldPosition="0">
        <references count="2">
          <reference field="0" count="1" selected="0">
            <x v="61"/>
          </reference>
          <reference field="1" count="1">
            <x v="59"/>
          </reference>
        </references>
      </pivotArea>
    </format>
    <format dxfId="2695">
      <pivotArea dataOnly="0" labelOnly="1" outline="0" fieldPosition="0">
        <references count="2">
          <reference field="0" count="1" selected="0">
            <x v="62"/>
          </reference>
          <reference field="1" count="1">
            <x v="10"/>
          </reference>
        </references>
      </pivotArea>
    </format>
    <format dxfId="2694">
      <pivotArea dataOnly="0" labelOnly="1" outline="0" fieldPosition="0">
        <references count="2">
          <reference field="0" count="1" selected="0">
            <x v="63"/>
          </reference>
          <reference field="1" count="1">
            <x v="16"/>
          </reference>
        </references>
      </pivotArea>
    </format>
    <format dxfId="2693">
      <pivotArea dataOnly="0" labelOnly="1" outline="0" fieldPosition="0">
        <references count="2">
          <reference field="0" count="1" selected="0">
            <x v="64"/>
          </reference>
          <reference field="1" count="1">
            <x v="4"/>
          </reference>
        </references>
      </pivotArea>
    </format>
    <format dxfId="2692">
      <pivotArea dataOnly="0" labelOnly="1" outline="0" fieldPosition="0">
        <references count="2">
          <reference field="0" count="1" selected="0">
            <x v="65"/>
          </reference>
          <reference field="1" count="1">
            <x v="9"/>
          </reference>
        </references>
      </pivotArea>
    </format>
    <format dxfId="2691">
      <pivotArea dataOnly="0" labelOnly="1" outline="0" fieldPosition="0">
        <references count="2">
          <reference field="0" count="1" selected="0">
            <x v="66"/>
          </reference>
          <reference field="1" count="1">
            <x v="43"/>
          </reference>
        </references>
      </pivotArea>
    </format>
    <format dxfId="2690">
      <pivotArea dataOnly="0" labelOnly="1" outline="0" fieldPosition="0">
        <references count="2">
          <reference field="0" count="1" selected="0">
            <x v="67"/>
          </reference>
          <reference field="1" count="1">
            <x v="44"/>
          </reference>
        </references>
      </pivotArea>
    </format>
    <format dxfId="2689">
      <pivotArea dataOnly="0" labelOnly="1" outline="0" fieldPosition="0">
        <references count="2">
          <reference field="0" count="1" selected="0">
            <x v="68"/>
          </reference>
          <reference field="1" count="1">
            <x v="1"/>
          </reference>
        </references>
      </pivotArea>
    </format>
    <format dxfId="2688">
      <pivotArea dataOnly="0" labelOnly="1" outline="0" fieldPosition="0">
        <references count="2">
          <reference field="0" count="1" selected="0">
            <x v="69"/>
          </reference>
          <reference field="1" count="1">
            <x v="20"/>
          </reference>
        </references>
      </pivotArea>
    </format>
    <format dxfId="2687">
      <pivotArea dataOnly="0" labelOnly="1" outline="0" fieldPosition="0">
        <references count="2">
          <reference field="0" count="1" selected="0">
            <x v="70"/>
          </reference>
          <reference field="1" count="1">
            <x v="1"/>
          </reference>
        </references>
      </pivotArea>
    </format>
    <format dxfId="2686">
      <pivotArea dataOnly="0" labelOnly="1" outline="0" fieldPosition="0">
        <references count="2">
          <reference field="0" count="1" selected="0">
            <x v="71"/>
          </reference>
          <reference field="1" count="1">
            <x v="30"/>
          </reference>
        </references>
      </pivotArea>
    </format>
    <format dxfId="2685">
      <pivotArea dataOnly="0" labelOnly="1" outline="0" fieldPosition="0">
        <references count="2">
          <reference field="0" count="1" selected="0">
            <x v="72"/>
          </reference>
          <reference field="1" count="1">
            <x v="33"/>
          </reference>
        </references>
      </pivotArea>
    </format>
    <format dxfId="2684">
      <pivotArea dataOnly="0" labelOnly="1" outline="0" fieldPosition="0">
        <references count="2">
          <reference field="0" count="1" selected="0">
            <x v="73"/>
          </reference>
          <reference field="1" count="1">
            <x v="44"/>
          </reference>
        </references>
      </pivotArea>
    </format>
    <format dxfId="2683">
      <pivotArea dataOnly="0" labelOnly="1" outline="0" fieldPosition="0">
        <references count="2">
          <reference field="0" count="1" selected="0">
            <x v="74"/>
          </reference>
          <reference field="1" count="1">
            <x v="59"/>
          </reference>
        </references>
      </pivotArea>
    </format>
    <format dxfId="2682">
      <pivotArea dataOnly="0" labelOnly="1" outline="0" fieldPosition="0">
        <references count="2">
          <reference field="0" count="1" selected="0">
            <x v="75"/>
          </reference>
          <reference field="1" count="1">
            <x v="5"/>
          </reference>
        </references>
      </pivotArea>
    </format>
    <format dxfId="2681">
      <pivotArea dataOnly="0" labelOnly="1" outline="0" fieldPosition="0">
        <references count="2">
          <reference field="0" count="1" selected="0">
            <x v="76"/>
          </reference>
          <reference field="1" count="1">
            <x v="55"/>
          </reference>
        </references>
      </pivotArea>
    </format>
    <format dxfId="2680">
      <pivotArea dataOnly="0" labelOnly="1" outline="0" fieldPosition="0">
        <references count="2">
          <reference field="0" count="1" selected="0">
            <x v="77"/>
          </reference>
          <reference field="1" count="1">
            <x v="59"/>
          </reference>
        </references>
      </pivotArea>
    </format>
    <format dxfId="2679">
      <pivotArea dataOnly="0" labelOnly="1" outline="0" fieldPosition="0">
        <references count="2">
          <reference field="0" count="1" selected="0">
            <x v="78"/>
          </reference>
          <reference field="1" count="1">
            <x v="4"/>
          </reference>
        </references>
      </pivotArea>
    </format>
    <format dxfId="2678">
      <pivotArea dataOnly="0" labelOnly="1" outline="0" fieldPosition="0">
        <references count="2">
          <reference field="0" count="1" selected="0">
            <x v="79"/>
          </reference>
          <reference field="1" count="1">
            <x v="9"/>
          </reference>
        </references>
      </pivotArea>
    </format>
    <format dxfId="2677">
      <pivotArea dataOnly="0" labelOnly="1" outline="0" fieldPosition="0">
        <references count="2">
          <reference field="0" count="1" selected="0">
            <x v="80"/>
          </reference>
          <reference field="1" count="1">
            <x v="48"/>
          </reference>
        </references>
      </pivotArea>
    </format>
    <format dxfId="2676">
      <pivotArea dataOnly="0" labelOnly="1" outline="0" fieldPosition="0">
        <references count="2">
          <reference field="0" count="1" selected="0">
            <x v="81"/>
          </reference>
          <reference field="1" count="1">
            <x v="54"/>
          </reference>
        </references>
      </pivotArea>
    </format>
    <format dxfId="2675">
      <pivotArea dataOnly="0" labelOnly="1" outline="0" fieldPosition="0">
        <references count="2">
          <reference field="0" count="1" selected="0">
            <x v="82"/>
          </reference>
          <reference field="1" count="1">
            <x v="52"/>
          </reference>
        </references>
      </pivotArea>
    </format>
    <format dxfId="2674">
      <pivotArea dataOnly="0" labelOnly="1" outline="0" fieldPosition="0">
        <references count="2">
          <reference field="0" count="1" selected="0">
            <x v="83"/>
          </reference>
          <reference field="1" count="1">
            <x v="46"/>
          </reference>
        </references>
      </pivotArea>
    </format>
    <format dxfId="2673">
      <pivotArea dataOnly="0" labelOnly="1" outline="0" fieldPosition="0">
        <references count="2">
          <reference field="0" count="1" selected="0">
            <x v="84"/>
          </reference>
          <reference field="1" count="1">
            <x v="39"/>
          </reference>
        </references>
      </pivotArea>
    </format>
    <format dxfId="2672">
      <pivotArea dataOnly="0" labelOnly="1" outline="0" fieldPosition="0">
        <references count="2">
          <reference field="0" count="1" selected="0">
            <x v="85"/>
          </reference>
          <reference field="1" count="1">
            <x v="10"/>
          </reference>
        </references>
      </pivotArea>
    </format>
    <format dxfId="2671">
      <pivotArea dataOnly="0" labelOnly="1" outline="0" fieldPosition="0">
        <references count="2">
          <reference field="0" count="1" selected="0">
            <x v="86"/>
          </reference>
          <reference field="1" count="1">
            <x v="29"/>
          </reference>
        </references>
      </pivotArea>
    </format>
    <format dxfId="2670">
      <pivotArea dataOnly="0" labelOnly="1" outline="0" fieldPosition="0">
        <references count="2">
          <reference field="0" count="1" selected="0">
            <x v="87"/>
          </reference>
          <reference field="1" count="1">
            <x v="4"/>
          </reference>
        </references>
      </pivotArea>
    </format>
    <format dxfId="2669">
      <pivotArea dataOnly="0" labelOnly="1" outline="0" fieldPosition="0">
        <references count="2">
          <reference field="0" count="1" selected="0">
            <x v="88"/>
          </reference>
          <reference field="1" count="1">
            <x v="2"/>
          </reference>
        </references>
      </pivotArea>
    </format>
    <format dxfId="2668">
      <pivotArea dataOnly="0" labelOnly="1" outline="0" fieldPosition="0">
        <references count="2">
          <reference field="0" count="1" selected="0">
            <x v="89"/>
          </reference>
          <reference field="1" count="1">
            <x v="52"/>
          </reference>
        </references>
      </pivotArea>
    </format>
    <format dxfId="2667">
      <pivotArea dataOnly="0" labelOnly="1" outline="0" fieldPosition="0">
        <references count="2">
          <reference field="0" count="1" selected="0">
            <x v="90"/>
          </reference>
          <reference field="1" count="1">
            <x v="37"/>
          </reference>
        </references>
      </pivotArea>
    </format>
    <format dxfId="2666">
      <pivotArea dataOnly="0" labelOnly="1" outline="0" fieldPosition="0">
        <references count="2">
          <reference field="0" count="1" selected="0">
            <x v="91"/>
          </reference>
          <reference field="1" count="1">
            <x v="51"/>
          </reference>
        </references>
      </pivotArea>
    </format>
    <format dxfId="2665">
      <pivotArea dataOnly="0" labelOnly="1" outline="0" fieldPosition="0">
        <references count="2">
          <reference field="0" count="1" selected="0">
            <x v="92"/>
          </reference>
          <reference field="1" count="1">
            <x v="5"/>
          </reference>
        </references>
      </pivotArea>
    </format>
    <format dxfId="2664">
      <pivotArea dataOnly="0" labelOnly="1" outline="0" fieldPosition="0">
        <references count="2">
          <reference field="0" count="1" selected="0">
            <x v="94"/>
          </reference>
          <reference field="1" count="1">
            <x v="42"/>
          </reference>
        </references>
      </pivotArea>
    </format>
    <format dxfId="2663">
      <pivotArea dataOnly="0" labelOnly="1" outline="0" fieldPosition="0">
        <references count="2">
          <reference field="0" count="1" selected="0">
            <x v="95"/>
          </reference>
          <reference field="1" count="1">
            <x v="51"/>
          </reference>
        </references>
      </pivotArea>
    </format>
    <format dxfId="2662">
      <pivotArea dataOnly="0" labelOnly="1" outline="0" fieldPosition="0">
        <references count="2">
          <reference field="0" count="1" selected="0">
            <x v="96"/>
          </reference>
          <reference field="1" count="1">
            <x v="31"/>
          </reference>
        </references>
      </pivotArea>
    </format>
    <format dxfId="2661">
      <pivotArea dataOnly="0" labelOnly="1" outline="0" fieldPosition="0">
        <references count="2">
          <reference field="0" count="1" selected="0">
            <x v="97"/>
          </reference>
          <reference field="1" count="1">
            <x v="38"/>
          </reference>
        </references>
      </pivotArea>
    </format>
    <format dxfId="2660">
      <pivotArea dataOnly="0" labelOnly="1" outline="0" fieldPosition="0">
        <references count="2">
          <reference field="0" count="1" selected="0">
            <x v="98"/>
          </reference>
          <reference field="1" count="1">
            <x v="1"/>
          </reference>
        </references>
      </pivotArea>
    </format>
    <format dxfId="2659">
      <pivotArea dataOnly="0" labelOnly="1" outline="0" fieldPosition="0">
        <references count="2">
          <reference field="0" count="1" selected="0">
            <x v="99"/>
          </reference>
          <reference field="1" count="1">
            <x v="27"/>
          </reference>
        </references>
      </pivotArea>
    </format>
    <format dxfId="2658">
      <pivotArea dataOnly="0" labelOnly="1" outline="0" fieldPosition="0">
        <references count="2">
          <reference field="0" count="1" selected="0">
            <x v="100"/>
          </reference>
          <reference field="1" count="1">
            <x v="5"/>
          </reference>
        </references>
      </pivotArea>
    </format>
    <format dxfId="2657">
      <pivotArea dataOnly="0" labelOnly="1" outline="0" fieldPosition="0">
        <references count="2">
          <reference field="0" count="1" selected="0">
            <x v="101"/>
          </reference>
          <reference field="1" count="1">
            <x v="49"/>
          </reference>
        </references>
      </pivotArea>
    </format>
    <format dxfId="2656">
      <pivotArea dataOnly="0" labelOnly="1" outline="0" fieldPosition="0">
        <references count="2">
          <reference field="0" count="1" selected="0">
            <x v="102"/>
          </reference>
          <reference field="1" count="1">
            <x v="35"/>
          </reference>
        </references>
      </pivotArea>
    </format>
    <format dxfId="2655">
      <pivotArea dataOnly="0" labelOnly="1" outline="0" fieldPosition="0">
        <references count="2">
          <reference field="0" count="1" selected="0">
            <x v="103"/>
          </reference>
          <reference field="1" count="1">
            <x v="42"/>
          </reference>
        </references>
      </pivotArea>
    </format>
    <format dxfId="2654">
      <pivotArea dataOnly="0" labelOnly="1" outline="0" fieldPosition="0">
        <references count="2">
          <reference field="0" count="1" selected="0">
            <x v="104"/>
          </reference>
          <reference field="1" count="1">
            <x v="25"/>
          </reference>
        </references>
      </pivotArea>
    </format>
    <format dxfId="2653">
      <pivotArea dataOnly="0" labelOnly="1" outline="0" fieldPosition="0">
        <references count="2">
          <reference field="0" count="1" selected="0">
            <x v="105"/>
          </reference>
          <reference field="1" count="1">
            <x v="26"/>
          </reference>
        </references>
      </pivotArea>
    </format>
    <format dxfId="2652">
      <pivotArea dataOnly="0" labelOnly="1" outline="0" fieldPosition="0">
        <references count="2">
          <reference field="0" count="1" selected="0">
            <x v="106"/>
          </reference>
          <reference field="1" count="1">
            <x v="6"/>
          </reference>
        </references>
      </pivotArea>
    </format>
    <format dxfId="2651">
      <pivotArea dataOnly="0" labelOnly="1" outline="0" fieldPosition="0">
        <references count="2">
          <reference field="0" count="1" selected="0">
            <x v="107"/>
          </reference>
          <reference field="1" count="1">
            <x v="0"/>
          </reference>
        </references>
      </pivotArea>
    </format>
    <format dxfId="2650">
      <pivotArea dataOnly="0" labelOnly="1" outline="0" fieldPosition="0">
        <references count="2">
          <reference field="0" count="1" selected="0">
            <x v="108"/>
          </reference>
          <reference field="1" count="1">
            <x v="44"/>
          </reference>
        </references>
      </pivotArea>
    </format>
    <format dxfId="2649">
      <pivotArea dataOnly="0" labelOnly="1" outline="0" fieldPosition="0">
        <references count="2">
          <reference field="0" count="1" selected="0">
            <x v="109"/>
          </reference>
          <reference field="1" count="1">
            <x v="8"/>
          </reference>
        </references>
      </pivotArea>
    </format>
    <format dxfId="2648">
      <pivotArea dataOnly="0" labelOnly="1" outline="0" fieldPosition="0">
        <references count="2">
          <reference field="0" count="1" selected="0">
            <x v="110"/>
          </reference>
          <reference field="1" count="1">
            <x v="44"/>
          </reference>
        </references>
      </pivotArea>
    </format>
    <format dxfId="2647">
      <pivotArea dataOnly="0" labelOnly="1" outline="0" fieldPosition="0">
        <references count="2">
          <reference field="0" count="1" selected="0">
            <x v="111"/>
          </reference>
          <reference field="1" count="1">
            <x v="49"/>
          </reference>
        </references>
      </pivotArea>
    </format>
    <format dxfId="2646">
      <pivotArea dataOnly="0" labelOnly="1" outline="0" fieldPosition="0">
        <references count="2">
          <reference field="0" count="1" selected="0">
            <x v="112"/>
          </reference>
          <reference field="1" count="1">
            <x v="57"/>
          </reference>
        </references>
      </pivotArea>
    </format>
    <format dxfId="2645">
      <pivotArea dataOnly="0" labelOnly="1" outline="0" fieldPosition="0">
        <references count="2">
          <reference field="0" count="1" selected="0">
            <x v="113"/>
          </reference>
          <reference field="1" count="1">
            <x v="21"/>
          </reference>
        </references>
      </pivotArea>
    </format>
    <format dxfId="2644">
      <pivotArea dataOnly="0" labelOnly="1" outline="0" fieldPosition="0">
        <references count="2">
          <reference field="0" count="1" selected="0">
            <x v="114"/>
          </reference>
          <reference field="1" count="1">
            <x v="54"/>
          </reference>
        </references>
      </pivotArea>
    </format>
    <format dxfId="2643">
      <pivotArea dataOnly="0" labelOnly="1" outline="0" fieldPosition="0">
        <references count="2">
          <reference field="0" count="1" selected="0">
            <x v="115"/>
          </reference>
          <reference field="1" count="1">
            <x v="1"/>
          </reference>
        </references>
      </pivotArea>
    </format>
    <format dxfId="2642">
      <pivotArea dataOnly="0" labelOnly="1" outline="0" fieldPosition="0">
        <references count="2">
          <reference field="0" count="1" selected="0">
            <x v="116"/>
          </reference>
          <reference field="1" count="1">
            <x v="37"/>
          </reference>
        </references>
      </pivotArea>
    </format>
    <format dxfId="2641">
      <pivotArea dataOnly="0" labelOnly="1" outline="0" fieldPosition="0">
        <references count="2">
          <reference field="0" count="1" selected="0">
            <x v="117"/>
          </reference>
          <reference field="1" count="1">
            <x v="39"/>
          </reference>
        </references>
      </pivotArea>
    </format>
    <format dxfId="2640">
      <pivotArea dataOnly="0" labelOnly="1" outline="0" fieldPosition="0">
        <references count="2">
          <reference field="0" count="1" selected="0">
            <x v="118"/>
          </reference>
          <reference field="1" count="1">
            <x v="7"/>
          </reference>
        </references>
      </pivotArea>
    </format>
    <format dxfId="2639">
      <pivotArea dataOnly="0" labelOnly="1" outline="0" fieldPosition="0">
        <references count="2">
          <reference field="0" count="1" selected="0">
            <x v="119"/>
          </reference>
          <reference field="1" count="1">
            <x v="44"/>
          </reference>
        </references>
      </pivotArea>
    </format>
    <format dxfId="2638">
      <pivotArea dataOnly="0" labelOnly="1" outline="0" fieldPosition="0">
        <references count="2">
          <reference field="0" count="1" selected="0">
            <x v="120"/>
          </reference>
          <reference field="1" count="1">
            <x v="8"/>
          </reference>
        </references>
      </pivotArea>
    </format>
    <format dxfId="2637">
      <pivotArea dataOnly="0" labelOnly="1" outline="0" fieldPosition="0">
        <references count="2">
          <reference field="0" count="1" selected="0">
            <x v="121"/>
          </reference>
          <reference field="1" count="1">
            <x v="50"/>
          </reference>
        </references>
      </pivotArea>
    </format>
    <format dxfId="2636">
      <pivotArea dataOnly="0" labelOnly="1" outline="0" fieldPosition="0">
        <references count="2">
          <reference field="0" count="1" selected="0">
            <x v="122"/>
          </reference>
          <reference field="1" count="1">
            <x v="21"/>
          </reference>
        </references>
      </pivotArea>
    </format>
    <format dxfId="2635">
      <pivotArea dataOnly="0" labelOnly="1" outline="0" fieldPosition="0">
        <references count="2">
          <reference field="0" count="1" selected="0">
            <x v="123"/>
          </reference>
          <reference field="1" count="1">
            <x v="39"/>
          </reference>
        </references>
      </pivotArea>
    </format>
    <format dxfId="2634">
      <pivotArea dataOnly="0" labelOnly="1" outline="0" fieldPosition="0">
        <references count="2">
          <reference field="0" count="1" selected="0">
            <x v="124"/>
          </reference>
          <reference field="1" count="1">
            <x v="36"/>
          </reference>
        </references>
      </pivotArea>
    </format>
    <format dxfId="2633">
      <pivotArea dataOnly="0" labelOnly="1" outline="0" fieldPosition="0">
        <references count="2">
          <reference field="0" count="1" selected="0">
            <x v="125"/>
          </reference>
          <reference field="1" count="1">
            <x v="2"/>
          </reference>
        </references>
      </pivotArea>
    </format>
    <format dxfId="2632">
      <pivotArea dataOnly="0" labelOnly="1" outline="0" fieldPosition="0">
        <references count="2">
          <reference field="0" count="1" selected="0">
            <x v="127"/>
          </reference>
          <reference field="1" count="1">
            <x v="35"/>
          </reference>
        </references>
      </pivotArea>
    </format>
    <format dxfId="2631">
      <pivotArea dataOnly="0" labelOnly="1" outline="0" fieldPosition="0">
        <references count="2">
          <reference field="0" count="1" selected="0">
            <x v="128"/>
          </reference>
          <reference field="1" count="1">
            <x v="12"/>
          </reference>
        </references>
      </pivotArea>
    </format>
    <format dxfId="2630">
      <pivotArea dataOnly="0" labelOnly="1" outline="0" fieldPosition="0">
        <references count="2">
          <reference field="0" count="1" selected="0">
            <x v="129"/>
          </reference>
          <reference field="1" count="1">
            <x v="1"/>
          </reference>
        </references>
      </pivotArea>
    </format>
    <format dxfId="2629">
      <pivotArea dataOnly="0" labelOnly="1" outline="0" fieldPosition="0">
        <references count="2">
          <reference field="0" count="1" selected="0">
            <x v="130"/>
          </reference>
          <reference field="1" count="1">
            <x v="41"/>
          </reference>
        </references>
      </pivotArea>
    </format>
    <format dxfId="2628">
      <pivotArea dataOnly="0" labelOnly="1" outline="0" fieldPosition="0">
        <references count="2">
          <reference field="0" count="1" selected="0">
            <x v="131"/>
          </reference>
          <reference field="1" count="1">
            <x v="40"/>
          </reference>
        </references>
      </pivotArea>
    </format>
    <format dxfId="2627">
      <pivotArea dataOnly="0" labelOnly="1" outline="0" fieldPosition="0">
        <references count="2">
          <reference field="0" count="1" selected="0">
            <x v="132"/>
          </reference>
          <reference field="1" count="1">
            <x v="14"/>
          </reference>
        </references>
      </pivotArea>
    </format>
    <format dxfId="2626">
      <pivotArea dataOnly="0" labelOnly="1" outline="0" fieldPosition="0">
        <references count="2">
          <reference field="0" count="1" selected="0">
            <x v="133"/>
          </reference>
          <reference field="1" count="1">
            <x v="24"/>
          </reference>
        </references>
      </pivotArea>
    </format>
    <format dxfId="2625">
      <pivotArea dataOnly="0" labelOnly="1" outline="0" fieldPosition="0">
        <references count="2">
          <reference field="0" count="1" selected="0">
            <x v="134"/>
          </reference>
          <reference field="1" count="1">
            <x v="13"/>
          </reference>
        </references>
      </pivotArea>
    </format>
    <format dxfId="2624">
      <pivotArea dataOnly="0" labelOnly="1" outline="0" fieldPosition="0">
        <references count="2">
          <reference field="0" count="1" selected="0">
            <x v="135"/>
          </reference>
          <reference field="1" count="1">
            <x v="42"/>
          </reference>
        </references>
      </pivotArea>
    </format>
    <format dxfId="2623">
      <pivotArea dataOnly="0" labelOnly="1" outline="0" fieldPosition="0">
        <references count="2">
          <reference field="0" count="1" selected="0">
            <x v="136"/>
          </reference>
          <reference field="1" count="1">
            <x v="52"/>
          </reference>
        </references>
      </pivotArea>
    </format>
    <format dxfId="2622">
      <pivotArea dataOnly="0" labelOnly="1" outline="0" fieldPosition="0">
        <references count="2">
          <reference field="0" count="1" selected="0">
            <x v="137"/>
          </reference>
          <reference field="1" count="1">
            <x v="39"/>
          </reference>
        </references>
      </pivotArea>
    </format>
    <format dxfId="2621">
      <pivotArea dataOnly="0" labelOnly="1" outline="0" fieldPosition="0">
        <references count="2">
          <reference field="0" count="1" selected="0">
            <x v="138"/>
          </reference>
          <reference field="1" count="1">
            <x v="45"/>
          </reference>
        </references>
      </pivotArea>
    </format>
    <format dxfId="2620">
      <pivotArea dataOnly="0" labelOnly="1" outline="0" fieldPosition="0">
        <references count="2">
          <reference field="0" count="1" selected="0">
            <x v="139"/>
          </reference>
          <reference field="1" count="1">
            <x v="8"/>
          </reference>
        </references>
      </pivotArea>
    </format>
    <format dxfId="2619">
      <pivotArea dataOnly="0" labelOnly="1" outline="0" fieldPosition="0">
        <references count="2">
          <reference field="0" count="1" selected="0">
            <x v="140"/>
          </reference>
          <reference field="1" count="1">
            <x v="40"/>
          </reference>
        </references>
      </pivotArea>
    </format>
    <format dxfId="2618">
      <pivotArea dataOnly="0" labelOnly="1" outline="0" fieldPosition="0">
        <references count="2">
          <reference field="0" count="1" selected="0">
            <x v="141"/>
          </reference>
          <reference field="1" count="1">
            <x v="1"/>
          </reference>
        </references>
      </pivotArea>
    </format>
    <format dxfId="2617">
      <pivotArea dataOnly="0" labelOnly="1" outline="0" fieldPosition="0">
        <references count="2">
          <reference field="0" count="1" selected="0">
            <x v="142"/>
          </reference>
          <reference field="1" count="1">
            <x v="34"/>
          </reference>
        </references>
      </pivotArea>
    </format>
    <format dxfId="2616">
      <pivotArea dataOnly="0" labelOnly="1" outline="0" fieldPosition="0">
        <references count="2">
          <reference field="0" count="1" selected="0">
            <x v="143"/>
          </reference>
          <reference field="1" count="1">
            <x v="25"/>
          </reference>
        </references>
      </pivotArea>
    </format>
    <format dxfId="2615">
      <pivotArea dataOnly="0" labelOnly="1" outline="0" fieldPosition="0">
        <references count="2">
          <reference field="0" count="1" selected="0">
            <x v="144"/>
          </reference>
          <reference field="1" count="1">
            <x v="58"/>
          </reference>
        </references>
      </pivotArea>
    </format>
    <format dxfId="2614">
      <pivotArea dataOnly="0" labelOnly="1" outline="0" fieldPosition="0">
        <references count="2">
          <reference field="0" count="1" selected="0">
            <x v="146"/>
          </reference>
          <reference field="1" count="1">
            <x v="4"/>
          </reference>
        </references>
      </pivotArea>
    </format>
    <format dxfId="2613">
      <pivotArea dataOnly="0" labelOnly="1" outline="0" fieldPosition="0">
        <references count="2">
          <reference field="0" count="1" selected="0">
            <x v="147"/>
          </reference>
          <reference field="1" count="1">
            <x v="42"/>
          </reference>
        </references>
      </pivotArea>
    </format>
    <format dxfId="2612">
      <pivotArea dataOnly="0" labelOnly="1" outline="0" fieldPosition="0">
        <references count="2">
          <reference field="0" count="1" selected="0">
            <x v="148"/>
          </reference>
          <reference field="1" count="1">
            <x v="19"/>
          </reference>
        </references>
      </pivotArea>
    </format>
    <format dxfId="2611">
      <pivotArea dataOnly="0" labelOnly="1" outline="0" fieldPosition="0">
        <references count="2">
          <reference field="0" count="1" selected="0">
            <x v="149"/>
          </reference>
          <reference field="1" count="1">
            <x v="6"/>
          </reference>
        </references>
      </pivotArea>
    </format>
    <format dxfId="2610">
      <pivotArea dataOnly="0" labelOnly="1" outline="0" fieldPosition="0">
        <references count="2">
          <reference field="0" count="1" selected="0">
            <x v="150"/>
          </reference>
          <reference field="1" count="1">
            <x v="55"/>
          </reference>
        </references>
      </pivotArea>
    </format>
    <format dxfId="2609">
      <pivotArea dataOnly="0" labelOnly="1" outline="0" fieldPosition="0">
        <references count="2">
          <reference field="0" count="1" selected="0">
            <x v="151"/>
          </reference>
          <reference field="1" count="1">
            <x v="18"/>
          </reference>
        </references>
      </pivotArea>
    </format>
    <format dxfId="2608">
      <pivotArea dataOnly="0" labelOnly="1" outline="0" fieldPosition="0">
        <references count="2">
          <reference field="0" count="1" selected="0">
            <x v="152"/>
          </reference>
          <reference field="1" count="1">
            <x v="25"/>
          </reference>
        </references>
      </pivotArea>
    </format>
    <format dxfId="2607">
      <pivotArea dataOnly="0" labelOnly="1" outline="0" fieldPosition="0">
        <references count="2">
          <reference field="0" count="1" selected="0">
            <x v="153"/>
          </reference>
          <reference field="1" count="1">
            <x v="1"/>
          </reference>
        </references>
      </pivotArea>
    </format>
    <format dxfId="2606">
      <pivotArea dataOnly="0" labelOnly="1" outline="0" fieldPosition="0">
        <references count="2">
          <reference field="0" count="1" selected="0">
            <x v="154"/>
          </reference>
          <reference field="1" count="1">
            <x v="44"/>
          </reference>
        </references>
      </pivotArea>
    </format>
    <format dxfId="2605">
      <pivotArea dataOnly="0" labelOnly="1" outline="0" fieldPosition="0">
        <references count="2">
          <reference field="0" count="1" selected="0">
            <x v="155"/>
          </reference>
          <reference field="1" count="1">
            <x v="34"/>
          </reference>
        </references>
      </pivotArea>
    </format>
    <format dxfId="2604">
      <pivotArea dataOnly="0" labelOnly="1" outline="0" fieldPosition="0">
        <references count="2">
          <reference field="0" count="1" selected="0">
            <x v="156"/>
          </reference>
          <reference field="1" count="1">
            <x v="29"/>
          </reference>
        </references>
      </pivotArea>
    </format>
    <format dxfId="2603">
      <pivotArea dataOnly="0" labelOnly="1" outline="0" fieldPosition="0">
        <references count="2">
          <reference field="0" count="1" selected="0">
            <x v="157"/>
          </reference>
          <reference field="1" count="1">
            <x v="38"/>
          </reference>
        </references>
      </pivotArea>
    </format>
    <format dxfId="2602">
      <pivotArea dataOnly="0" labelOnly="1" outline="0" fieldPosition="0">
        <references count="2">
          <reference field="0" count="1" selected="0">
            <x v="158"/>
          </reference>
          <reference field="1" count="1">
            <x v="29"/>
          </reference>
        </references>
      </pivotArea>
    </format>
    <format dxfId="2601">
      <pivotArea dataOnly="0" labelOnly="1" outline="0" fieldPosition="0">
        <references count="2">
          <reference field="0" count="1" selected="0">
            <x v="159"/>
          </reference>
          <reference field="1" count="1">
            <x v="57"/>
          </reference>
        </references>
      </pivotArea>
    </format>
    <format dxfId="2600">
      <pivotArea dataOnly="0" labelOnly="1" outline="0" fieldPosition="0">
        <references count="2">
          <reference field="0" count="1" selected="0">
            <x v="160"/>
          </reference>
          <reference field="1" count="1">
            <x v="27"/>
          </reference>
        </references>
      </pivotArea>
    </format>
    <format dxfId="2599">
      <pivotArea dataOnly="0" labelOnly="1" outline="0" fieldPosition="0">
        <references count="2">
          <reference field="0" count="1" selected="0">
            <x v="161"/>
          </reference>
          <reference field="1" count="1">
            <x v="23"/>
          </reference>
        </references>
      </pivotArea>
    </format>
    <format dxfId="2598">
      <pivotArea dataOnly="0" labelOnly="1" outline="0" fieldPosition="0">
        <references count="2">
          <reference field="0" count="1" selected="0">
            <x v="162"/>
          </reference>
          <reference field="1" count="1">
            <x v="13"/>
          </reference>
        </references>
      </pivotArea>
    </format>
    <format dxfId="2597">
      <pivotArea dataOnly="0" labelOnly="1" outline="0" fieldPosition="0">
        <references count="2">
          <reference field="0" count="1" selected="0">
            <x v="163"/>
          </reference>
          <reference field="1" count="1">
            <x v="29"/>
          </reference>
        </references>
      </pivotArea>
    </format>
    <format dxfId="2596">
      <pivotArea dataOnly="0" labelOnly="1" outline="0" fieldPosition="0">
        <references count="2">
          <reference field="0" count="1" selected="0">
            <x v="164"/>
          </reference>
          <reference field="1" count="1">
            <x v="50"/>
          </reference>
        </references>
      </pivotArea>
    </format>
    <format dxfId="2595">
      <pivotArea dataOnly="0" labelOnly="1" outline="0" fieldPosition="0">
        <references count="2">
          <reference field="0" count="1" selected="0">
            <x v="165"/>
          </reference>
          <reference field="1" count="1">
            <x v="48"/>
          </reference>
        </references>
      </pivotArea>
    </format>
    <format dxfId="2594">
      <pivotArea dataOnly="0" labelOnly="1" outline="0" fieldPosition="0">
        <references count="2">
          <reference field="0" count="1" selected="0">
            <x v="166"/>
          </reference>
          <reference field="1" count="1">
            <x v="40"/>
          </reference>
        </references>
      </pivotArea>
    </format>
    <format dxfId="2593">
      <pivotArea dataOnly="0" labelOnly="1" outline="0" fieldPosition="0">
        <references count="2">
          <reference field="0" count="1" selected="0">
            <x v="167"/>
          </reference>
          <reference field="1" count="1">
            <x v="58"/>
          </reference>
        </references>
      </pivotArea>
    </format>
    <format dxfId="2592">
      <pivotArea dataOnly="0" labelOnly="1" outline="0" fieldPosition="0">
        <references count="2">
          <reference field="0" count="1" selected="0">
            <x v="168"/>
          </reference>
          <reference field="1" count="1">
            <x v="11"/>
          </reference>
        </references>
      </pivotArea>
    </format>
    <format dxfId="2591">
      <pivotArea dataOnly="0" labelOnly="1" outline="0" fieldPosition="0">
        <references count="2">
          <reference field="0" count="1" selected="0">
            <x v="169"/>
          </reference>
          <reference field="1" count="1">
            <x v="40"/>
          </reference>
        </references>
      </pivotArea>
    </format>
    <format dxfId="2590">
      <pivotArea dataOnly="0" labelOnly="1" outline="0" fieldPosition="0">
        <references count="2">
          <reference field="0" count="1" selected="0">
            <x v="170"/>
          </reference>
          <reference field="1" count="1">
            <x v="33"/>
          </reference>
        </references>
      </pivotArea>
    </format>
    <format dxfId="2589">
      <pivotArea dataOnly="0" labelOnly="1" outline="0" fieldPosition="0">
        <references count="2">
          <reference field="0" count="1" selected="0">
            <x v="171"/>
          </reference>
          <reference field="1" count="1">
            <x v="7"/>
          </reference>
        </references>
      </pivotArea>
    </format>
    <format dxfId="2588">
      <pivotArea dataOnly="0" labelOnly="1" outline="0" fieldPosition="0">
        <references count="2">
          <reference field="0" count="1" selected="0">
            <x v="172"/>
          </reference>
          <reference field="1" count="1">
            <x v="3"/>
          </reference>
        </references>
      </pivotArea>
    </format>
    <format dxfId="2587">
      <pivotArea dataOnly="0" labelOnly="1" outline="0" fieldPosition="0">
        <references count="2">
          <reference field="0" count="1" selected="0">
            <x v="173"/>
          </reference>
          <reference field="1" count="1">
            <x v="48"/>
          </reference>
        </references>
      </pivotArea>
    </format>
    <format dxfId="2586">
      <pivotArea dataOnly="0" labelOnly="1" outline="0" fieldPosition="0">
        <references count="2">
          <reference field="0" count="1" selected="0">
            <x v="174"/>
          </reference>
          <reference field="1" count="1">
            <x v="23"/>
          </reference>
        </references>
      </pivotArea>
    </format>
    <format dxfId="2585">
      <pivotArea dataOnly="0" labelOnly="1" outline="0" fieldPosition="0">
        <references count="2">
          <reference field="0" count="1" selected="0">
            <x v="175"/>
          </reference>
          <reference field="1" count="1">
            <x v="2"/>
          </reference>
        </references>
      </pivotArea>
    </format>
    <format dxfId="2584">
      <pivotArea dataOnly="0" labelOnly="1" outline="0" fieldPosition="0">
        <references count="2">
          <reference field="0" count="1" selected="0">
            <x v="176"/>
          </reference>
          <reference field="1" count="1">
            <x v="58"/>
          </reference>
        </references>
      </pivotArea>
    </format>
    <format dxfId="2583">
      <pivotArea dataOnly="0" labelOnly="1" outline="0" fieldPosition="0">
        <references count="2">
          <reference field="0" count="1" selected="0">
            <x v="177"/>
          </reference>
          <reference field="1" count="1">
            <x v="42"/>
          </reference>
        </references>
      </pivotArea>
    </format>
    <format dxfId="2582">
      <pivotArea dataOnly="0" labelOnly="1" outline="0" fieldPosition="0">
        <references count="2">
          <reference field="0" count="1" selected="0">
            <x v="178"/>
          </reference>
          <reference field="1" count="1">
            <x v="44"/>
          </reference>
        </references>
      </pivotArea>
    </format>
    <format dxfId="2581">
      <pivotArea dataOnly="0" labelOnly="1" outline="0" fieldPosition="0">
        <references count="2">
          <reference field="0" count="1" selected="0">
            <x v="179"/>
          </reference>
          <reference field="1" count="1">
            <x v="8"/>
          </reference>
        </references>
      </pivotArea>
    </format>
    <format dxfId="2580">
      <pivotArea dataOnly="0" labelOnly="1" outline="0" fieldPosition="0">
        <references count="2">
          <reference field="0" count="1" selected="0">
            <x v="180"/>
          </reference>
          <reference field="1" count="1">
            <x v="37"/>
          </reference>
        </references>
      </pivotArea>
    </format>
    <format dxfId="2579">
      <pivotArea dataOnly="0" labelOnly="1" outline="0" fieldPosition="0">
        <references count="2">
          <reference field="0" count="1" selected="0">
            <x v="181"/>
          </reference>
          <reference field="1" count="1">
            <x v="51"/>
          </reference>
        </references>
      </pivotArea>
    </format>
    <format dxfId="2578">
      <pivotArea dataOnly="0" labelOnly="1" outline="0" fieldPosition="0">
        <references count="2">
          <reference field="0" count="1" selected="0">
            <x v="182"/>
          </reference>
          <reference field="1" count="1">
            <x v="48"/>
          </reference>
        </references>
      </pivotArea>
    </format>
    <format dxfId="2577">
      <pivotArea dataOnly="0" labelOnly="1" outline="0" fieldPosition="0">
        <references count="2">
          <reference field="0" count="1" selected="0">
            <x v="183"/>
          </reference>
          <reference field="1" count="1">
            <x v="41"/>
          </reference>
        </references>
      </pivotArea>
    </format>
    <format dxfId="2576">
      <pivotArea dataOnly="0" labelOnly="1" outline="0" fieldPosition="0">
        <references count="2">
          <reference field="0" count="1" selected="0">
            <x v="184"/>
          </reference>
          <reference field="1" count="1">
            <x v="26"/>
          </reference>
        </references>
      </pivotArea>
    </format>
    <format dxfId="2575">
      <pivotArea dataOnly="0" labelOnly="1" outline="0" fieldPosition="0">
        <references count="2">
          <reference field="0" count="1" selected="0">
            <x v="185"/>
          </reference>
          <reference field="1" count="1">
            <x v="54"/>
          </reference>
        </references>
      </pivotArea>
    </format>
    <format dxfId="2574">
      <pivotArea dataOnly="0" labelOnly="1" outline="0" fieldPosition="0">
        <references count="2">
          <reference field="0" count="1" selected="0">
            <x v="186"/>
          </reference>
          <reference field="1" count="1">
            <x v="53"/>
          </reference>
        </references>
      </pivotArea>
    </format>
    <format dxfId="2573">
      <pivotArea dataOnly="0" labelOnly="1" outline="0" fieldPosition="0">
        <references count="2">
          <reference field="0" count="1" selected="0">
            <x v="187"/>
          </reference>
          <reference field="1" count="1">
            <x v="12"/>
          </reference>
        </references>
      </pivotArea>
    </format>
    <format dxfId="2572">
      <pivotArea dataOnly="0" labelOnly="1" outline="0" fieldPosition="0">
        <references count="2">
          <reference field="0" count="1" selected="0">
            <x v="188"/>
          </reference>
          <reference field="1" count="1">
            <x v="28"/>
          </reference>
        </references>
      </pivotArea>
    </format>
    <format dxfId="2571">
      <pivotArea dataOnly="0" labelOnly="1" outline="0" fieldPosition="0">
        <references count="2">
          <reference field="0" count="1" selected="0">
            <x v="189"/>
          </reference>
          <reference field="1" count="1">
            <x v="52"/>
          </reference>
        </references>
      </pivotArea>
    </format>
    <format dxfId="2570">
      <pivotArea dataOnly="0" labelOnly="1" outline="0" fieldPosition="0">
        <references count="2">
          <reference field="0" count="1" selected="0">
            <x v="190"/>
          </reference>
          <reference field="1" count="1">
            <x v="20"/>
          </reference>
        </references>
      </pivotArea>
    </format>
    <format dxfId="2569">
      <pivotArea dataOnly="0" labelOnly="1" outline="0" fieldPosition="0">
        <references count="2">
          <reference field="0" count="1" selected="0">
            <x v="191"/>
          </reference>
          <reference field="1" count="1">
            <x v="8"/>
          </reference>
        </references>
      </pivotArea>
    </format>
    <format dxfId="2568">
      <pivotArea dataOnly="0" labelOnly="1" outline="0" fieldPosition="0">
        <references count="2">
          <reference field="0" count="1" selected="0">
            <x v="192"/>
          </reference>
          <reference field="1" count="1">
            <x v="46"/>
          </reference>
        </references>
      </pivotArea>
    </format>
    <format dxfId="2567">
      <pivotArea dataOnly="0" labelOnly="1" outline="0" fieldPosition="0">
        <references count="2">
          <reference field="0" count="1" selected="0">
            <x v="193"/>
          </reference>
          <reference field="1" count="1">
            <x v="24"/>
          </reference>
        </references>
      </pivotArea>
    </format>
    <format dxfId="2566">
      <pivotArea dataOnly="0" labelOnly="1" outline="0" fieldPosition="0">
        <references count="2">
          <reference field="0" count="1" selected="0">
            <x v="194"/>
          </reference>
          <reference field="1" count="1">
            <x v="4"/>
          </reference>
        </references>
      </pivotArea>
    </format>
    <format dxfId="2565">
      <pivotArea dataOnly="0" labelOnly="1" outline="0" fieldPosition="0">
        <references count="2">
          <reference field="0" count="1" selected="0">
            <x v="195"/>
          </reference>
          <reference field="1" count="1">
            <x v="24"/>
          </reference>
        </references>
      </pivotArea>
    </format>
    <format dxfId="2564">
      <pivotArea dataOnly="0" labelOnly="1" outline="0" fieldPosition="0">
        <references count="2">
          <reference field="0" count="1" selected="0">
            <x v="196"/>
          </reference>
          <reference field="1" count="1">
            <x v="18"/>
          </reference>
        </references>
      </pivotArea>
    </format>
    <format dxfId="2563">
      <pivotArea dataOnly="0" labelOnly="1" outline="0" fieldPosition="0">
        <references count="2">
          <reference field="0" count="1" selected="0">
            <x v="197"/>
          </reference>
          <reference field="1" count="1">
            <x v="50"/>
          </reference>
        </references>
      </pivotArea>
    </format>
    <format dxfId="2562">
      <pivotArea dataOnly="0" labelOnly="1" outline="0" fieldPosition="0">
        <references count="2">
          <reference field="0" count="1" selected="0">
            <x v="198"/>
          </reference>
          <reference field="1" count="1">
            <x v="17"/>
          </reference>
        </references>
      </pivotArea>
    </format>
    <format dxfId="2561">
      <pivotArea dataOnly="0" labelOnly="1" outline="0" fieldPosition="0">
        <references count="2">
          <reference field="0" count="1" selected="0">
            <x v="199"/>
          </reference>
          <reference field="1" count="1">
            <x v="30"/>
          </reference>
        </references>
      </pivotArea>
    </format>
    <format dxfId="2560">
      <pivotArea dataOnly="0" labelOnly="1" outline="0" fieldPosition="0">
        <references count="2">
          <reference field="0" count="1" selected="0">
            <x v="200"/>
          </reference>
          <reference field="1" count="1">
            <x v="52"/>
          </reference>
        </references>
      </pivotArea>
    </format>
    <format dxfId="2559">
      <pivotArea dataOnly="0" labelOnly="1" outline="0" fieldPosition="0">
        <references count="2">
          <reference field="0" count="1" selected="0">
            <x v="201"/>
          </reference>
          <reference field="1" count="1">
            <x v="14"/>
          </reference>
        </references>
      </pivotArea>
    </format>
    <format dxfId="2558">
      <pivotArea dataOnly="0" labelOnly="1" outline="0" fieldPosition="0">
        <references count="2">
          <reference field="0" count="1" selected="0">
            <x v="202"/>
          </reference>
          <reference field="1" count="1">
            <x v="3"/>
          </reference>
        </references>
      </pivotArea>
    </format>
    <format dxfId="2557">
      <pivotArea dataOnly="0" labelOnly="1" outline="0" fieldPosition="0">
        <references count="2">
          <reference field="0" count="1" selected="0">
            <x v="203"/>
          </reference>
          <reference field="1" count="1">
            <x v="11"/>
          </reference>
        </references>
      </pivotArea>
    </format>
    <format dxfId="2556">
      <pivotArea dataOnly="0" labelOnly="1" outline="0" fieldPosition="0">
        <references count="2">
          <reference field="0" count="1" selected="0">
            <x v="204"/>
          </reference>
          <reference field="1" count="1">
            <x v="59"/>
          </reference>
        </references>
      </pivotArea>
    </format>
    <format dxfId="2555">
      <pivotArea dataOnly="0" labelOnly="1" outline="0" fieldPosition="0">
        <references count="2">
          <reference field="0" count="1" selected="0">
            <x v="205"/>
          </reference>
          <reference field="1" count="1">
            <x v="12"/>
          </reference>
        </references>
      </pivotArea>
    </format>
    <format dxfId="2554">
      <pivotArea dataOnly="0" labelOnly="1" outline="0" fieldPosition="0">
        <references count="2">
          <reference field="0" count="1" selected="0">
            <x v="206"/>
          </reference>
          <reference field="1" count="1">
            <x v="42"/>
          </reference>
        </references>
      </pivotArea>
    </format>
    <format dxfId="2553">
      <pivotArea dataOnly="0" labelOnly="1" outline="0" fieldPosition="0">
        <references count="2">
          <reference field="0" count="1" selected="0">
            <x v="207"/>
          </reference>
          <reference field="1" count="1">
            <x v="47"/>
          </reference>
        </references>
      </pivotArea>
    </format>
    <format dxfId="2552">
      <pivotArea dataOnly="0" labelOnly="1" outline="0" fieldPosition="0">
        <references count="2">
          <reference field="0" count="1" selected="0">
            <x v="208"/>
          </reference>
          <reference field="1" count="1">
            <x v="16"/>
          </reference>
        </references>
      </pivotArea>
    </format>
    <format dxfId="2551">
      <pivotArea dataOnly="0" labelOnly="1" outline="0" fieldPosition="0">
        <references count="2">
          <reference field="0" count="1" selected="0">
            <x v="209"/>
          </reference>
          <reference field="1" count="1">
            <x v="39"/>
          </reference>
        </references>
      </pivotArea>
    </format>
    <format dxfId="2550">
      <pivotArea dataOnly="0" labelOnly="1" outline="0" fieldPosition="0">
        <references count="2">
          <reference field="0" count="1" selected="0">
            <x v="210"/>
          </reference>
          <reference field="1" count="1">
            <x v="1"/>
          </reference>
        </references>
      </pivotArea>
    </format>
    <format dxfId="2549">
      <pivotArea dataOnly="0" labelOnly="1" outline="0" fieldPosition="0">
        <references count="2">
          <reference field="0" count="1" selected="0">
            <x v="211"/>
          </reference>
          <reference field="1" count="1">
            <x v="4"/>
          </reference>
        </references>
      </pivotArea>
    </format>
    <format dxfId="2548">
      <pivotArea dataOnly="0" labelOnly="1" outline="0" fieldPosition="0">
        <references count="2">
          <reference field="0" count="1" selected="0">
            <x v="212"/>
          </reference>
          <reference field="1" count="1">
            <x v="13"/>
          </reference>
        </references>
      </pivotArea>
    </format>
    <format dxfId="2547">
      <pivotArea dataOnly="0" labelOnly="1" outline="0" fieldPosition="0">
        <references count="2">
          <reference field="0" count="1" selected="0">
            <x v="213"/>
          </reference>
          <reference field="1" count="1">
            <x v="19"/>
          </reference>
        </references>
      </pivotArea>
    </format>
    <format dxfId="2546">
      <pivotArea dataOnly="0" labelOnly="1" outline="0" fieldPosition="0">
        <references count="2">
          <reference field="0" count="1" selected="0">
            <x v="214"/>
          </reference>
          <reference field="1" count="1">
            <x v="38"/>
          </reference>
        </references>
      </pivotArea>
    </format>
    <format dxfId="2545">
      <pivotArea dataOnly="0" labelOnly="1" outline="0" fieldPosition="0">
        <references count="2">
          <reference field="0" count="1" selected="0">
            <x v="215"/>
          </reference>
          <reference field="1" count="1">
            <x v="26"/>
          </reference>
        </references>
      </pivotArea>
    </format>
    <format dxfId="2544">
      <pivotArea dataOnly="0" labelOnly="1" outline="0" fieldPosition="0">
        <references count="2">
          <reference field="0" count="1" selected="0">
            <x v="216"/>
          </reference>
          <reference field="1" count="1">
            <x v="57"/>
          </reference>
        </references>
      </pivotArea>
    </format>
    <format dxfId="2543">
      <pivotArea dataOnly="0" labelOnly="1" outline="0" fieldPosition="0">
        <references count="2">
          <reference field="0" count="1" selected="0">
            <x v="217"/>
          </reference>
          <reference field="1" count="1">
            <x v="59"/>
          </reference>
        </references>
      </pivotArea>
    </format>
    <format dxfId="2542">
      <pivotArea dataOnly="0" labelOnly="1" outline="0" fieldPosition="0">
        <references count="2">
          <reference field="0" count="1" selected="0">
            <x v="218"/>
          </reference>
          <reference field="1" count="1">
            <x v="18"/>
          </reference>
        </references>
      </pivotArea>
    </format>
    <format dxfId="2541">
      <pivotArea dataOnly="0" labelOnly="1" outline="0" fieldPosition="0">
        <references count="2">
          <reference field="0" count="1" selected="0">
            <x v="219"/>
          </reference>
          <reference field="1" count="1">
            <x v="39"/>
          </reference>
        </references>
      </pivotArea>
    </format>
    <format dxfId="2540">
      <pivotArea dataOnly="0" labelOnly="1" outline="0" fieldPosition="0">
        <references count="2">
          <reference field="0" count="1" selected="0">
            <x v="220"/>
          </reference>
          <reference field="1" count="1">
            <x v="53"/>
          </reference>
        </references>
      </pivotArea>
    </format>
    <format dxfId="2539">
      <pivotArea dataOnly="0" labelOnly="1" outline="0" fieldPosition="0">
        <references count="2">
          <reference field="0" count="1" selected="0">
            <x v="221"/>
          </reference>
          <reference field="1" count="1">
            <x v="12"/>
          </reference>
        </references>
      </pivotArea>
    </format>
    <format dxfId="2538">
      <pivotArea dataOnly="0" labelOnly="1" outline="0" fieldPosition="0">
        <references count="2">
          <reference field="0" count="1" selected="0">
            <x v="222"/>
          </reference>
          <reference field="1" count="1">
            <x v="36"/>
          </reference>
        </references>
      </pivotArea>
    </format>
    <format dxfId="2537">
      <pivotArea dataOnly="0" labelOnly="1" outline="0" fieldPosition="0">
        <references count="2">
          <reference field="0" count="1" selected="0">
            <x v="223"/>
          </reference>
          <reference field="1" count="1">
            <x v="15"/>
          </reference>
        </references>
      </pivotArea>
    </format>
    <format dxfId="2536">
      <pivotArea dataOnly="0" labelOnly="1" outline="0" fieldPosition="0">
        <references count="2">
          <reference field="0" count="1" selected="0">
            <x v="224"/>
          </reference>
          <reference field="1" count="1">
            <x v="59"/>
          </reference>
        </references>
      </pivotArea>
    </format>
    <format dxfId="2535">
      <pivotArea dataOnly="0" labelOnly="1" outline="0" fieldPosition="0">
        <references count="2">
          <reference field="0" count="1" selected="0">
            <x v="225"/>
          </reference>
          <reference field="1" count="1">
            <x v="26"/>
          </reference>
        </references>
      </pivotArea>
    </format>
    <format dxfId="2534">
      <pivotArea dataOnly="0" labelOnly="1" outline="0" fieldPosition="0">
        <references count="2">
          <reference field="0" count="1" selected="0">
            <x v="226"/>
          </reference>
          <reference field="1" count="1">
            <x v="42"/>
          </reference>
        </references>
      </pivotArea>
    </format>
    <format dxfId="2533">
      <pivotArea dataOnly="0" labelOnly="1" outline="0" fieldPosition="0">
        <references count="2">
          <reference field="0" count="1" selected="0">
            <x v="227"/>
          </reference>
          <reference field="1" count="1">
            <x v="52"/>
          </reference>
        </references>
      </pivotArea>
    </format>
    <format dxfId="2532">
      <pivotArea dataOnly="0" labelOnly="1" outline="0" fieldPosition="0">
        <references count="2">
          <reference field="0" count="1" selected="0">
            <x v="228"/>
          </reference>
          <reference field="1" count="1">
            <x v="54"/>
          </reference>
        </references>
      </pivotArea>
    </format>
    <format dxfId="2531">
      <pivotArea dataOnly="0" labelOnly="1" outline="0" fieldPosition="0">
        <references count="2">
          <reference field="0" count="1" selected="0">
            <x v="229"/>
          </reference>
          <reference field="1" count="1">
            <x v="53"/>
          </reference>
        </references>
      </pivotArea>
    </format>
    <format dxfId="2530">
      <pivotArea dataOnly="0" labelOnly="1" outline="0" fieldPosition="0">
        <references count="2">
          <reference field="0" count="1" selected="0">
            <x v="230"/>
          </reference>
          <reference field="1" count="1">
            <x v="21"/>
          </reference>
        </references>
      </pivotArea>
    </format>
    <format dxfId="2529">
      <pivotArea dataOnly="0" labelOnly="1" outline="0" fieldPosition="0">
        <references count="2">
          <reference field="0" count="1" selected="0">
            <x v="231"/>
          </reference>
          <reference field="1" count="1">
            <x v="52"/>
          </reference>
        </references>
      </pivotArea>
    </format>
    <format dxfId="2528">
      <pivotArea dataOnly="0" labelOnly="1" outline="0" fieldPosition="0">
        <references count="2">
          <reference field="0" count="1" selected="0">
            <x v="232"/>
          </reference>
          <reference field="1" count="1">
            <x v="47"/>
          </reference>
        </references>
      </pivotArea>
    </format>
    <format dxfId="2527">
      <pivotArea dataOnly="0" labelOnly="1" outline="0" fieldPosition="0">
        <references count="2">
          <reference field="0" count="1" selected="0">
            <x v="233"/>
          </reference>
          <reference field="1" count="1">
            <x v="33"/>
          </reference>
        </references>
      </pivotArea>
    </format>
    <format dxfId="2526">
      <pivotArea dataOnly="0" labelOnly="1" outline="0" fieldPosition="0">
        <references count="2">
          <reference field="0" count="1" selected="0">
            <x v="234"/>
          </reference>
          <reference field="1" count="1">
            <x v="34"/>
          </reference>
        </references>
      </pivotArea>
    </format>
    <format dxfId="2525">
      <pivotArea dataOnly="0" labelOnly="1" outline="0" fieldPosition="0">
        <references count="2">
          <reference field="0" count="1" selected="0">
            <x v="235"/>
          </reference>
          <reference field="1" count="1">
            <x v="38"/>
          </reference>
        </references>
      </pivotArea>
    </format>
    <format dxfId="2524">
      <pivotArea dataOnly="0" labelOnly="1" outline="0" fieldPosition="0">
        <references count="2">
          <reference field="0" count="1" selected="0">
            <x v="236"/>
          </reference>
          <reference field="1" count="1">
            <x v="7"/>
          </reference>
        </references>
      </pivotArea>
    </format>
    <format dxfId="2523">
      <pivotArea dataOnly="0" labelOnly="1" outline="0" fieldPosition="0">
        <references count="2">
          <reference field="0" count="1" selected="0">
            <x v="237"/>
          </reference>
          <reference field="1" count="1">
            <x v="55"/>
          </reference>
        </references>
      </pivotArea>
    </format>
    <format dxfId="2522">
      <pivotArea dataOnly="0" labelOnly="1" outline="0" fieldPosition="0">
        <references count="2">
          <reference field="0" count="1" selected="0">
            <x v="238"/>
          </reference>
          <reference field="1" count="1">
            <x v="9"/>
          </reference>
        </references>
      </pivotArea>
    </format>
    <format dxfId="2521">
      <pivotArea dataOnly="0" labelOnly="1" outline="0" fieldPosition="0">
        <references count="2">
          <reference field="0" count="1" selected="0">
            <x v="239"/>
          </reference>
          <reference field="1" count="1">
            <x v="3"/>
          </reference>
        </references>
      </pivotArea>
    </format>
    <format dxfId="2520">
      <pivotArea dataOnly="0" labelOnly="1" outline="0" fieldPosition="0">
        <references count="2">
          <reference field="0" count="1" selected="0">
            <x v="240"/>
          </reference>
          <reference field="1" count="1">
            <x v="27"/>
          </reference>
        </references>
      </pivotArea>
    </format>
    <format dxfId="2519">
      <pivotArea dataOnly="0" labelOnly="1" outline="0" fieldPosition="0">
        <references count="2">
          <reference field="0" count="1" selected="0">
            <x v="241"/>
          </reference>
          <reference field="1" count="1">
            <x v="58"/>
          </reference>
        </references>
      </pivotArea>
    </format>
    <format dxfId="2518">
      <pivotArea dataOnly="0" labelOnly="1" outline="0" fieldPosition="0">
        <references count="2">
          <reference field="0" count="1" selected="0">
            <x v="242"/>
          </reference>
          <reference field="1" count="1">
            <x v="12"/>
          </reference>
        </references>
      </pivotArea>
    </format>
    <format dxfId="2517">
      <pivotArea dataOnly="0" labelOnly="1" outline="0" fieldPosition="0">
        <references count="2">
          <reference field="0" count="1" selected="0">
            <x v="243"/>
          </reference>
          <reference field="1" count="1">
            <x v="19"/>
          </reference>
        </references>
      </pivotArea>
    </format>
    <format dxfId="2516">
      <pivotArea dataOnly="0" labelOnly="1" outline="0" fieldPosition="0">
        <references count="2">
          <reference field="0" count="1" selected="0">
            <x v="244"/>
          </reference>
          <reference field="1" count="1">
            <x v="34"/>
          </reference>
        </references>
      </pivotArea>
    </format>
    <format dxfId="2515">
      <pivotArea dataOnly="0" labelOnly="1" outline="0" fieldPosition="0">
        <references count="2">
          <reference field="0" count="1" selected="0">
            <x v="245"/>
          </reference>
          <reference field="1" count="1">
            <x v="40"/>
          </reference>
        </references>
      </pivotArea>
    </format>
    <format dxfId="2514">
      <pivotArea dataOnly="0" labelOnly="1" outline="0" fieldPosition="0">
        <references count="2">
          <reference field="0" count="1" selected="0">
            <x v="246"/>
          </reference>
          <reference field="1" count="1">
            <x v="37"/>
          </reference>
        </references>
      </pivotArea>
    </format>
    <format dxfId="2513">
      <pivotArea dataOnly="0" labelOnly="1" outline="0" fieldPosition="0">
        <references count="2">
          <reference field="0" count="1" selected="0">
            <x v="247"/>
          </reference>
          <reference field="1" count="1">
            <x v="40"/>
          </reference>
        </references>
      </pivotArea>
    </format>
    <format dxfId="2512">
      <pivotArea dataOnly="0" labelOnly="1" outline="0" fieldPosition="0">
        <references count="2">
          <reference field="0" count="1" selected="0">
            <x v="248"/>
          </reference>
          <reference field="1" count="1">
            <x v="39"/>
          </reference>
        </references>
      </pivotArea>
    </format>
    <format dxfId="2511">
      <pivotArea dataOnly="0" labelOnly="1" outline="0" fieldPosition="0">
        <references count="2">
          <reference field="0" count="1" selected="0">
            <x v="249"/>
          </reference>
          <reference field="1" count="1">
            <x v="43"/>
          </reference>
        </references>
      </pivotArea>
    </format>
    <format dxfId="2510">
      <pivotArea dataOnly="0" labelOnly="1" outline="0" fieldPosition="0">
        <references count="2">
          <reference field="0" count="1" selected="0">
            <x v="250"/>
          </reference>
          <reference field="1" count="1">
            <x v="39"/>
          </reference>
        </references>
      </pivotArea>
    </format>
    <format dxfId="2509">
      <pivotArea dataOnly="0" labelOnly="1" outline="0" fieldPosition="0">
        <references count="2">
          <reference field="0" count="1" selected="0">
            <x v="251"/>
          </reference>
          <reference field="1" count="1">
            <x v="35"/>
          </reference>
        </references>
      </pivotArea>
    </format>
    <format dxfId="2508">
      <pivotArea dataOnly="0" labelOnly="1" outline="0" fieldPosition="0">
        <references count="2">
          <reference field="0" count="1" selected="0">
            <x v="252"/>
          </reference>
          <reference field="1" count="1">
            <x v="12"/>
          </reference>
        </references>
      </pivotArea>
    </format>
    <format dxfId="2507">
      <pivotArea dataOnly="0" labelOnly="1" outline="0" fieldPosition="0">
        <references count="2">
          <reference field="0" count="1" selected="0">
            <x v="253"/>
          </reference>
          <reference field="1" count="1">
            <x v="28"/>
          </reference>
        </references>
      </pivotArea>
    </format>
    <format dxfId="2506">
      <pivotArea dataOnly="0" labelOnly="1" outline="0" fieldPosition="0">
        <references count="2">
          <reference field="0" count="1" selected="0">
            <x v="254"/>
          </reference>
          <reference field="1" count="1">
            <x v="48"/>
          </reference>
        </references>
      </pivotArea>
    </format>
    <format dxfId="2505">
      <pivotArea dataOnly="0" labelOnly="1" outline="0" fieldPosition="0">
        <references count="2">
          <reference field="0" count="1" selected="0">
            <x v="255"/>
          </reference>
          <reference field="1" count="1">
            <x v="20"/>
          </reference>
        </references>
      </pivotArea>
    </format>
    <format dxfId="2504">
      <pivotArea dataOnly="0" labelOnly="1" outline="0" fieldPosition="0">
        <references count="2">
          <reference field="0" count="1" selected="0">
            <x v="256"/>
          </reference>
          <reference field="1" count="1">
            <x v="24"/>
          </reference>
        </references>
      </pivotArea>
    </format>
    <format dxfId="2503">
      <pivotArea dataOnly="0" labelOnly="1" outline="0" fieldPosition="0">
        <references count="2">
          <reference field="0" count="1" selected="0">
            <x v="257"/>
          </reference>
          <reference field="1" count="1">
            <x v="8"/>
          </reference>
        </references>
      </pivotArea>
    </format>
    <format dxfId="2502">
      <pivotArea dataOnly="0" labelOnly="1" outline="0" fieldPosition="0">
        <references count="2">
          <reference field="0" count="1" selected="0">
            <x v="258"/>
          </reference>
          <reference field="1" count="1">
            <x v="52"/>
          </reference>
        </references>
      </pivotArea>
    </format>
    <format dxfId="2501">
      <pivotArea dataOnly="0" labelOnly="1" outline="0" fieldPosition="0">
        <references count="2">
          <reference field="0" count="1" selected="0">
            <x v="259"/>
          </reference>
          <reference field="1" count="1">
            <x v="54"/>
          </reference>
        </references>
      </pivotArea>
    </format>
    <format dxfId="2500">
      <pivotArea dataOnly="0" labelOnly="1" outline="0" fieldPosition="0">
        <references count="2">
          <reference field="0" count="1" selected="0">
            <x v="260"/>
          </reference>
          <reference field="1" count="1">
            <x v="8"/>
          </reference>
        </references>
      </pivotArea>
    </format>
    <format dxfId="2499">
      <pivotArea dataOnly="0" labelOnly="1" outline="0" fieldPosition="0">
        <references count="2">
          <reference field="0" count="1" selected="0">
            <x v="261"/>
          </reference>
          <reference field="1" count="1">
            <x v="11"/>
          </reference>
        </references>
      </pivotArea>
    </format>
    <format dxfId="2498">
      <pivotArea dataOnly="0" labelOnly="1" outline="0" fieldPosition="0">
        <references count="2">
          <reference field="0" count="1" selected="0">
            <x v="262"/>
          </reference>
          <reference field="1" count="1">
            <x v="51"/>
          </reference>
        </references>
      </pivotArea>
    </format>
    <format dxfId="2497">
      <pivotArea dataOnly="0" labelOnly="1" outline="0" fieldPosition="0">
        <references count="2">
          <reference field="0" count="1" selected="0">
            <x v="263"/>
          </reference>
          <reference field="1" count="1">
            <x v="50"/>
          </reference>
        </references>
      </pivotArea>
    </format>
    <format dxfId="2496">
      <pivotArea dataOnly="0" labelOnly="1" outline="0" fieldPosition="0">
        <references count="2">
          <reference field="0" count="1" selected="0">
            <x v="264"/>
          </reference>
          <reference field="1" count="1">
            <x v="36"/>
          </reference>
        </references>
      </pivotArea>
    </format>
    <format dxfId="2495">
      <pivotArea dataOnly="0" labelOnly="1" outline="0" fieldPosition="0">
        <references count="2">
          <reference field="0" count="1" selected="0">
            <x v="265"/>
          </reference>
          <reference field="1" count="1">
            <x v="18"/>
          </reference>
        </references>
      </pivotArea>
    </format>
    <format dxfId="2494">
      <pivotArea dataOnly="0" labelOnly="1" outline="0" fieldPosition="0">
        <references count="2">
          <reference field="0" count="1" selected="0">
            <x v="266"/>
          </reference>
          <reference field="1" count="1">
            <x v="49"/>
          </reference>
        </references>
      </pivotArea>
    </format>
    <format dxfId="2493">
      <pivotArea dataOnly="0" labelOnly="1" outline="0" fieldPosition="0">
        <references count="2">
          <reference field="0" count="1" selected="0">
            <x v="267"/>
          </reference>
          <reference field="1" count="1">
            <x v="32"/>
          </reference>
        </references>
      </pivotArea>
    </format>
    <format dxfId="2492">
      <pivotArea dataOnly="0" labelOnly="1" outline="0" fieldPosition="0">
        <references count="2">
          <reference field="0" count="1" selected="0">
            <x v="268"/>
          </reference>
          <reference field="1" count="1">
            <x v="18"/>
          </reference>
        </references>
      </pivotArea>
    </format>
    <format dxfId="2491">
      <pivotArea dataOnly="0" labelOnly="1" outline="0" fieldPosition="0">
        <references count="2">
          <reference field="0" count="1" selected="0">
            <x v="269"/>
          </reference>
          <reference field="1" count="1">
            <x v="26"/>
          </reference>
        </references>
      </pivotArea>
    </format>
    <format dxfId="2490">
      <pivotArea dataOnly="0" labelOnly="1" outline="0" fieldPosition="0">
        <references count="2">
          <reference field="0" count="1" selected="0">
            <x v="270"/>
          </reference>
          <reference field="1" count="1">
            <x v="5"/>
          </reference>
        </references>
      </pivotArea>
    </format>
    <format dxfId="2489">
      <pivotArea dataOnly="0" labelOnly="1" outline="0" fieldPosition="0">
        <references count="2">
          <reference field="0" count="1" selected="0">
            <x v="271"/>
          </reference>
          <reference field="1" count="1">
            <x v="30"/>
          </reference>
        </references>
      </pivotArea>
    </format>
    <format dxfId="2488">
      <pivotArea dataOnly="0" labelOnly="1" outline="0" fieldPosition="0">
        <references count="2">
          <reference field="0" count="1" selected="0">
            <x v="272"/>
          </reference>
          <reference field="1" count="1">
            <x v="40"/>
          </reference>
        </references>
      </pivotArea>
    </format>
    <format dxfId="2487">
      <pivotArea dataOnly="0" labelOnly="1" outline="0" fieldPosition="0">
        <references count="2">
          <reference field="0" count="1" selected="0">
            <x v="273"/>
          </reference>
          <reference field="1" count="1">
            <x v="54"/>
          </reference>
        </references>
      </pivotArea>
    </format>
    <format dxfId="2486">
      <pivotArea dataOnly="0" labelOnly="1" outline="0" fieldPosition="0">
        <references count="2">
          <reference field="0" count="1" selected="0">
            <x v="274"/>
          </reference>
          <reference field="1" count="1">
            <x v="32"/>
          </reference>
        </references>
      </pivotArea>
    </format>
    <format dxfId="2485">
      <pivotArea dataOnly="0" labelOnly="1" outline="0" fieldPosition="0">
        <references count="2">
          <reference field="0" count="1" selected="0">
            <x v="275"/>
          </reference>
          <reference field="1" count="1">
            <x v="47"/>
          </reference>
        </references>
      </pivotArea>
    </format>
    <format dxfId="2484">
      <pivotArea dataOnly="0" labelOnly="1" outline="0" fieldPosition="0">
        <references count="2">
          <reference field="0" count="1" selected="0">
            <x v="276"/>
          </reference>
          <reference field="1" count="1">
            <x v="58"/>
          </reference>
        </references>
      </pivotArea>
    </format>
    <format dxfId="2483">
      <pivotArea dataOnly="0" labelOnly="1" outline="0" fieldPosition="0">
        <references count="2">
          <reference field="0" count="1" selected="0">
            <x v="277"/>
          </reference>
          <reference field="1" count="1">
            <x v="9"/>
          </reference>
        </references>
      </pivotArea>
    </format>
    <format dxfId="2482">
      <pivotArea dataOnly="0" labelOnly="1" outline="0" fieldPosition="0">
        <references count="2">
          <reference field="0" count="1" selected="0">
            <x v="278"/>
          </reference>
          <reference field="1" count="1">
            <x v="12"/>
          </reference>
        </references>
      </pivotArea>
    </format>
    <format dxfId="2481">
      <pivotArea dataOnly="0" labelOnly="1" outline="0" fieldPosition="0">
        <references count="2">
          <reference field="0" count="1" selected="0">
            <x v="279"/>
          </reference>
          <reference field="1" count="1">
            <x v="28"/>
          </reference>
        </references>
      </pivotArea>
    </format>
    <format dxfId="2480">
      <pivotArea dataOnly="0" labelOnly="1" outline="0" fieldPosition="0">
        <references count="2">
          <reference field="0" count="1" selected="0">
            <x v="280"/>
          </reference>
          <reference field="1" count="1">
            <x v="39"/>
          </reference>
        </references>
      </pivotArea>
    </format>
    <format dxfId="2479">
      <pivotArea dataOnly="0" labelOnly="1" outline="0" fieldPosition="0">
        <references count="2">
          <reference field="0" count="1" selected="0">
            <x v="281"/>
          </reference>
          <reference field="1" count="1">
            <x v="51"/>
          </reference>
        </references>
      </pivotArea>
    </format>
    <format dxfId="2478">
      <pivotArea dataOnly="0" labelOnly="1" outline="0" fieldPosition="0">
        <references count="2">
          <reference field="0" count="1" selected="0">
            <x v="282"/>
          </reference>
          <reference field="1" count="1">
            <x v="1"/>
          </reference>
        </references>
      </pivotArea>
    </format>
    <format dxfId="2477">
      <pivotArea dataOnly="0" labelOnly="1" outline="0" fieldPosition="0">
        <references count="2">
          <reference field="0" count="1" selected="0">
            <x v="283"/>
          </reference>
          <reference field="1" count="1">
            <x v="18"/>
          </reference>
        </references>
      </pivotArea>
    </format>
    <format dxfId="2476">
      <pivotArea dataOnly="0" labelOnly="1" outline="0" fieldPosition="0">
        <references count="2">
          <reference field="0" count="1" selected="0">
            <x v="284"/>
          </reference>
          <reference field="1" count="1">
            <x v="34"/>
          </reference>
        </references>
      </pivotArea>
    </format>
    <format dxfId="2475">
      <pivotArea dataOnly="0" labelOnly="1" outline="0" fieldPosition="0">
        <references count="2">
          <reference field="0" count="1" selected="0">
            <x v="285"/>
          </reference>
          <reference field="1" count="1">
            <x v="58"/>
          </reference>
        </references>
      </pivotArea>
    </format>
    <format dxfId="2474">
      <pivotArea dataOnly="0" labelOnly="1" outline="0" fieldPosition="0">
        <references count="2">
          <reference field="0" count="1" selected="0">
            <x v="286"/>
          </reference>
          <reference field="1" count="1">
            <x v="47"/>
          </reference>
        </references>
      </pivotArea>
    </format>
    <format dxfId="2473">
      <pivotArea dataOnly="0" labelOnly="1" outline="0" fieldPosition="0">
        <references count="2">
          <reference field="0" count="1" selected="0">
            <x v="287"/>
          </reference>
          <reference field="1" count="1">
            <x v="27"/>
          </reference>
        </references>
      </pivotArea>
    </format>
    <format dxfId="2472">
      <pivotArea dataOnly="0" labelOnly="1" outline="0" fieldPosition="0">
        <references count="2">
          <reference field="0" count="1" selected="0">
            <x v="288"/>
          </reference>
          <reference field="1" count="1">
            <x v="46"/>
          </reference>
        </references>
      </pivotArea>
    </format>
    <format dxfId="2471">
      <pivotArea dataOnly="0" labelOnly="1" outline="0" fieldPosition="0">
        <references count="2">
          <reference field="0" count="1" selected="0">
            <x v="289"/>
          </reference>
          <reference field="1" count="1">
            <x v="53"/>
          </reference>
        </references>
      </pivotArea>
    </format>
    <format dxfId="2470">
      <pivotArea dataOnly="0" labelOnly="1" outline="0" fieldPosition="0">
        <references count="2">
          <reference field="0" count="1" selected="0">
            <x v="290"/>
          </reference>
          <reference field="1" count="1">
            <x v="41"/>
          </reference>
        </references>
      </pivotArea>
    </format>
    <format dxfId="2469">
      <pivotArea dataOnly="0" labelOnly="1" outline="0" fieldPosition="0">
        <references count="2">
          <reference field="0" count="1" selected="0">
            <x v="291"/>
          </reference>
          <reference field="1" count="1">
            <x v="3"/>
          </reference>
        </references>
      </pivotArea>
    </format>
    <format dxfId="2468">
      <pivotArea dataOnly="0" labelOnly="1" outline="0" fieldPosition="0">
        <references count="2">
          <reference field="0" count="1" selected="0">
            <x v="292"/>
          </reference>
          <reference field="1" count="1">
            <x v="56"/>
          </reference>
        </references>
      </pivotArea>
    </format>
    <format dxfId="2467">
      <pivotArea dataOnly="0" labelOnly="1" outline="0" fieldPosition="0">
        <references count="2">
          <reference field="0" count="1" selected="0">
            <x v="293"/>
          </reference>
          <reference field="1" count="1">
            <x v="25"/>
          </reference>
        </references>
      </pivotArea>
    </format>
    <format dxfId="2466">
      <pivotArea dataOnly="0" labelOnly="1" outline="0" fieldPosition="0">
        <references count="2">
          <reference field="0" count="1" selected="0">
            <x v="294"/>
          </reference>
          <reference field="1" count="1">
            <x v="14"/>
          </reference>
        </references>
      </pivotArea>
    </format>
    <format dxfId="2465">
      <pivotArea dataOnly="0" labelOnly="1" outline="0" fieldPosition="0">
        <references count="2">
          <reference field="0" count="1" selected="0">
            <x v="295"/>
          </reference>
          <reference field="1" count="1">
            <x v="5"/>
          </reference>
        </references>
      </pivotArea>
    </format>
    <format dxfId="2464">
      <pivotArea dataOnly="0" labelOnly="1" outline="0" fieldPosition="0">
        <references count="2">
          <reference field="0" count="1" selected="0">
            <x v="296"/>
          </reference>
          <reference field="1" count="1">
            <x v="28"/>
          </reference>
        </references>
      </pivotArea>
    </format>
    <format dxfId="2463">
      <pivotArea dataOnly="0" labelOnly="1" outline="0" fieldPosition="0">
        <references count="2">
          <reference field="0" count="1" selected="0">
            <x v="297"/>
          </reference>
          <reference field="1" count="1">
            <x v="20"/>
          </reference>
        </references>
      </pivotArea>
    </format>
    <format dxfId="2462">
      <pivotArea dataOnly="0" labelOnly="1" outline="0" fieldPosition="0">
        <references count="2">
          <reference field="0" count="1" selected="0">
            <x v="298"/>
          </reference>
          <reference field="1" count="1">
            <x v="42"/>
          </reference>
        </references>
      </pivotArea>
    </format>
    <format dxfId="2461">
      <pivotArea dataOnly="0" labelOnly="1" outline="0" fieldPosition="0">
        <references count="2">
          <reference field="0" count="1" selected="0">
            <x v="299"/>
          </reference>
          <reference field="1" count="1">
            <x v="39"/>
          </reference>
        </references>
      </pivotArea>
    </format>
    <format dxfId="2460">
      <pivotArea dataOnly="0" labelOnly="1" outline="0" fieldPosition="0">
        <references count="3">
          <reference field="0" count="1" selected="0">
            <x v="0"/>
          </reference>
          <reference field="1" count="1" selected="0">
            <x v="0"/>
          </reference>
          <reference field="2" count="1">
            <x v="0"/>
          </reference>
        </references>
      </pivotArea>
    </format>
    <format dxfId="2459">
      <pivotArea dataOnly="0" labelOnly="1" outline="0" fieldPosition="0">
        <references count="3">
          <reference field="0" count="1" selected="0">
            <x v="1"/>
          </reference>
          <reference field="1" count="1" selected="0">
            <x v="58"/>
          </reference>
          <reference field="2" count="1">
            <x v="1"/>
          </reference>
        </references>
      </pivotArea>
    </format>
    <format dxfId="2458">
      <pivotArea dataOnly="0" labelOnly="1" outline="0" fieldPosition="0">
        <references count="3">
          <reference field="0" count="1" selected="0">
            <x v="2"/>
          </reference>
          <reference field="1" count="1" selected="0">
            <x v="35"/>
          </reference>
          <reference field="2" count="1">
            <x v="4"/>
          </reference>
        </references>
      </pivotArea>
    </format>
    <format dxfId="2457">
      <pivotArea dataOnly="0" labelOnly="1" outline="0" fieldPosition="0">
        <references count="3">
          <reference field="0" count="1" selected="0">
            <x v="4"/>
          </reference>
          <reference field="1" count="1" selected="0">
            <x v="8"/>
          </reference>
          <reference field="2" count="1">
            <x v="5"/>
          </reference>
        </references>
      </pivotArea>
    </format>
    <format dxfId="2456">
      <pivotArea dataOnly="0" labelOnly="1" outline="0" fieldPosition="0">
        <references count="3">
          <reference field="0" count="1" selected="0">
            <x v="5"/>
          </reference>
          <reference field="1" count="1" selected="0">
            <x v="36"/>
          </reference>
          <reference field="2" count="1">
            <x v="1"/>
          </reference>
        </references>
      </pivotArea>
    </format>
    <format dxfId="2455">
      <pivotArea dataOnly="0" labelOnly="1" outline="0" fieldPosition="0">
        <references count="3">
          <reference field="0" count="1" selected="0">
            <x v="6"/>
          </reference>
          <reference field="1" count="1" selected="0">
            <x v="23"/>
          </reference>
          <reference field="2" count="1">
            <x v="2"/>
          </reference>
        </references>
      </pivotArea>
    </format>
    <format dxfId="2454">
      <pivotArea dataOnly="0" labelOnly="1" outline="0" fieldPosition="0">
        <references count="3">
          <reference field="0" count="1" selected="0">
            <x v="7"/>
          </reference>
          <reference field="1" count="1" selected="0">
            <x v="16"/>
          </reference>
          <reference field="2" count="1">
            <x v="5"/>
          </reference>
        </references>
      </pivotArea>
    </format>
    <format dxfId="2453">
      <pivotArea dataOnly="0" labelOnly="1" outline="0" fieldPosition="0">
        <references count="3">
          <reference field="0" count="1" selected="0">
            <x v="8"/>
          </reference>
          <reference field="1" count="1" selected="0">
            <x v="9"/>
          </reference>
          <reference field="2" count="1">
            <x v="3"/>
          </reference>
        </references>
      </pivotArea>
    </format>
    <format dxfId="2452">
      <pivotArea dataOnly="0" labelOnly="1" outline="0" fieldPosition="0">
        <references count="3">
          <reference field="0" count="1" selected="0">
            <x v="10"/>
          </reference>
          <reference field="1" count="1" selected="0">
            <x v="14"/>
          </reference>
          <reference field="2" count="1">
            <x v="4"/>
          </reference>
        </references>
      </pivotArea>
    </format>
    <format dxfId="2451">
      <pivotArea dataOnly="0" labelOnly="1" outline="0" fieldPosition="0">
        <references count="3">
          <reference field="0" count="1" selected="0">
            <x v="11"/>
          </reference>
          <reference field="1" count="1" selected="0">
            <x v="27"/>
          </reference>
          <reference field="2" count="1">
            <x v="0"/>
          </reference>
        </references>
      </pivotArea>
    </format>
    <format dxfId="2450">
      <pivotArea dataOnly="0" labelOnly="1" outline="0" fieldPosition="0">
        <references count="3">
          <reference field="0" count="1" selected="0">
            <x v="12"/>
          </reference>
          <reference field="1" count="1" selected="0">
            <x v="28"/>
          </reference>
          <reference field="2" count="1">
            <x v="3"/>
          </reference>
        </references>
      </pivotArea>
    </format>
    <format dxfId="2449">
      <pivotArea dataOnly="0" labelOnly="1" outline="0" fieldPosition="0">
        <references count="3">
          <reference field="0" count="1" selected="0">
            <x v="13"/>
          </reference>
          <reference field="1" count="1" selected="0">
            <x v="37"/>
          </reference>
          <reference field="2" count="1">
            <x v="1"/>
          </reference>
        </references>
      </pivotArea>
    </format>
    <format dxfId="2448">
      <pivotArea dataOnly="0" labelOnly="1" outline="0" fieldPosition="0">
        <references count="3">
          <reference field="0" count="1" selected="0">
            <x v="14"/>
          </reference>
          <reference field="1" count="1" selected="0">
            <x v="15"/>
          </reference>
          <reference field="2" count="1">
            <x v="2"/>
          </reference>
        </references>
      </pivotArea>
    </format>
    <format dxfId="2447">
      <pivotArea dataOnly="0" labelOnly="1" outline="0" fieldPosition="0">
        <references count="3">
          <reference field="0" count="1" selected="0">
            <x v="15"/>
          </reference>
          <reference field="1" count="1" selected="0">
            <x v="9"/>
          </reference>
          <reference field="2" count="1">
            <x v="3"/>
          </reference>
        </references>
      </pivotArea>
    </format>
    <format dxfId="2446">
      <pivotArea dataOnly="0" labelOnly="1" outline="0" fieldPosition="0">
        <references count="3">
          <reference field="0" count="1" selected="0">
            <x v="16"/>
          </reference>
          <reference field="1" count="1" selected="0">
            <x v="3"/>
          </reference>
          <reference field="2" count="1">
            <x v="4"/>
          </reference>
        </references>
      </pivotArea>
    </format>
    <format dxfId="2445">
      <pivotArea dataOnly="0" labelOnly="1" outline="0" fieldPosition="0">
        <references count="3">
          <reference field="0" count="1" selected="0">
            <x v="17"/>
          </reference>
          <reference field="1" count="1" selected="0">
            <x v="58"/>
          </reference>
          <reference field="2" count="1">
            <x v="1"/>
          </reference>
        </references>
      </pivotArea>
    </format>
    <format dxfId="2444">
      <pivotArea dataOnly="0" labelOnly="1" outline="0" fieldPosition="0">
        <references count="3">
          <reference field="0" count="1" selected="0">
            <x v="18"/>
          </reference>
          <reference field="1" count="1" selected="0">
            <x v="40"/>
          </reference>
          <reference field="2" count="1">
            <x v="2"/>
          </reference>
        </references>
      </pivotArea>
    </format>
    <format dxfId="2443">
      <pivotArea dataOnly="0" labelOnly="1" outline="0" fieldPosition="0">
        <references count="3">
          <reference field="0" count="1" selected="0">
            <x v="19"/>
          </reference>
          <reference field="1" count="1" selected="0">
            <x v="12"/>
          </reference>
          <reference field="2" count="1">
            <x v="4"/>
          </reference>
        </references>
      </pivotArea>
    </format>
    <format dxfId="2442">
      <pivotArea dataOnly="0" labelOnly="1" outline="0" fieldPosition="0">
        <references count="3">
          <reference field="0" count="1" selected="0">
            <x v="21"/>
          </reference>
          <reference field="1" count="1" selected="0">
            <x v="4"/>
          </reference>
          <reference field="2" count="1">
            <x v="0"/>
          </reference>
        </references>
      </pivotArea>
    </format>
    <format dxfId="2441">
      <pivotArea dataOnly="0" labelOnly="1" outline="0" fieldPosition="0">
        <references count="3">
          <reference field="0" count="1" selected="0">
            <x v="22"/>
          </reference>
          <reference field="1" count="1" selected="0">
            <x v="49"/>
          </reference>
          <reference field="2" count="1">
            <x v="3"/>
          </reference>
        </references>
      </pivotArea>
    </format>
    <format dxfId="2440">
      <pivotArea dataOnly="0" labelOnly="1" outline="0" fieldPosition="0">
        <references count="3">
          <reference field="0" count="1" selected="0">
            <x v="24"/>
          </reference>
          <reference field="1" count="1" selected="0">
            <x v="21"/>
          </reference>
          <reference field="2" count="1">
            <x v="2"/>
          </reference>
        </references>
      </pivotArea>
    </format>
    <format dxfId="2439">
      <pivotArea dataOnly="0" labelOnly="1" outline="0" fieldPosition="0">
        <references count="3">
          <reference field="0" count="1" selected="0">
            <x v="26"/>
          </reference>
          <reference field="1" count="1" selected="0">
            <x v="9"/>
          </reference>
          <reference field="2" count="1">
            <x v="3"/>
          </reference>
        </references>
      </pivotArea>
    </format>
    <format dxfId="2438">
      <pivotArea dataOnly="0" labelOnly="1" outline="0" fieldPosition="0">
        <references count="3">
          <reference field="0" count="1" selected="0">
            <x v="27"/>
          </reference>
          <reference field="1" count="1" selected="0">
            <x v="22"/>
          </reference>
          <reference field="2" count="1">
            <x v="2"/>
          </reference>
        </references>
      </pivotArea>
    </format>
    <format dxfId="2437">
      <pivotArea dataOnly="0" labelOnly="1" outline="0" fieldPosition="0">
        <references count="3">
          <reference field="0" count="1" selected="0">
            <x v="28"/>
          </reference>
          <reference field="1" count="1" selected="0">
            <x v="19"/>
          </reference>
          <reference field="2" count="1">
            <x v="5"/>
          </reference>
        </references>
      </pivotArea>
    </format>
    <format dxfId="2436">
      <pivotArea dataOnly="0" labelOnly="1" outline="0" fieldPosition="0">
        <references count="3">
          <reference field="0" count="1" selected="0">
            <x v="29"/>
          </reference>
          <reference field="1" count="1" selected="0">
            <x v="4"/>
          </reference>
          <reference field="2" count="1">
            <x v="0"/>
          </reference>
        </references>
      </pivotArea>
    </format>
    <format dxfId="2435">
      <pivotArea dataOnly="0" labelOnly="1" outline="0" fieldPosition="0">
        <references count="3">
          <reference field="0" count="1" selected="0">
            <x v="30"/>
          </reference>
          <reference field="1" count="1" selected="0">
            <x v="23"/>
          </reference>
          <reference field="2" count="1">
            <x v="2"/>
          </reference>
        </references>
      </pivotArea>
    </format>
    <format dxfId="2434">
      <pivotArea dataOnly="0" labelOnly="1" outline="0" fieldPosition="0">
        <references count="3">
          <reference field="0" count="1" selected="0">
            <x v="31"/>
          </reference>
          <reference field="1" count="1" selected="0">
            <x v="34"/>
          </reference>
          <reference field="2" count="1">
            <x v="5"/>
          </reference>
        </references>
      </pivotArea>
    </format>
    <format dxfId="2433">
      <pivotArea dataOnly="0" labelOnly="1" outline="0" fieldPosition="0">
        <references count="3">
          <reference field="0" count="1" selected="0">
            <x v="32"/>
          </reference>
          <reference field="1" count="1" selected="0">
            <x v="53"/>
          </reference>
          <reference field="2" count="1">
            <x v="1"/>
          </reference>
        </references>
      </pivotArea>
    </format>
    <format dxfId="2432">
      <pivotArea dataOnly="0" labelOnly="1" outline="0" fieldPosition="0">
        <references count="3">
          <reference field="0" count="1" selected="0">
            <x v="33"/>
          </reference>
          <reference field="1" count="1" selected="0">
            <x v="45"/>
          </reference>
          <reference field="2" count="1">
            <x v="5"/>
          </reference>
        </references>
      </pivotArea>
    </format>
    <format dxfId="2431">
      <pivotArea dataOnly="0" labelOnly="1" outline="0" fieldPosition="0">
        <references count="3">
          <reference field="0" count="1" selected="0">
            <x v="34"/>
          </reference>
          <reference field="1" count="1" selected="0">
            <x v="49"/>
          </reference>
          <reference field="2" count="1">
            <x v="3"/>
          </reference>
        </references>
      </pivotArea>
    </format>
    <format dxfId="2430">
      <pivotArea dataOnly="0" labelOnly="1" outline="0" fieldPosition="0">
        <references count="3">
          <reference field="0" count="1" selected="0">
            <x v="35"/>
          </reference>
          <reference field="1" count="1" selected="0">
            <x v="0"/>
          </reference>
          <reference field="2" count="1">
            <x v="0"/>
          </reference>
        </references>
      </pivotArea>
    </format>
    <format dxfId="2429">
      <pivotArea dataOnly="0" labelOnly="1" outline="0" fieldPosition="0">
        <references count="3">
          <reference field="0" count="1" selected="0">
            <x v="36"/>
          </reference>
          <reference field="1" count="1" selected="0">
            <x v="6"/>
          </reference>
          <reference field="2" count="1">
            <x v="3"/>
          </reference>
        </references>
      </pivotArea>
    </format>
    <format dxfId="2428">
      <pivotArea dataOnly="0" labelOnly="1" outline="0" fieldPosition="0">
        <references count="3">
          <reference field="0" count="1" selected="0">
            <x v="37"/>
          </reference>
          <reference field="1" count="1" selected="0">
            <x v="4"/>
          </reference>
          <reference field="2" count="1">
            <x v="0"/>
          </reference>
        </references>
      </pivotArea>
    </format>
    <format dxfId="2427">
      <pivotArea dataOnly="0" labelOnly="1" outline="0" fieldPosition="0">
        <references count="3">
          <reference field="0" count="1" selected="0">
            <x v="38"/>
          </reference>
          <reference field="1" count="1" selected="0">
            <x v="35"/>
          </reference>
          <reference field="2" count="1">
            <x v="4"/>
          </reference>
        </references>
      </pivotArea>
    </format>
    <format dxfId="2426">
      <pivotArea dataOnly="0" labelOnly="1" outline="0" fieldPosition="0">
        <references count="3">
          <reference field="0" count="1" selected="0">
            <x v="39"/>
          </reference>
          <reference field="1" count="1" selected="0">
            <x v="41"/>
          </reference>
          <reference field="2" count="1">
            <x v="0"/>
          </reference>
        </references>
      </pivotArea>
    </format>
    <format dxfId="2425">
      <pivotArea dataOnly="0" labelOnly="1" outline="0" fieldPosition="0">
        <references count="3">
          <reference field="0" count="1" selected="0">
            <x v="41"/>
          </reference>
          <reference field="1" count="1" selected="0">
            <x v="22"/>
          </reference>
          <reference field="2" count="1">
            <x v="2"/>
          </reference>
        </references>
      </pivotArea>
    </format>
    <format dxfId="2424">
      <pivotArea dataOnly="0" labelOnly="1" outline="0" fieldPosition="0">
        <references count="3">
          <reference field="0" count="1" selected="0">
            <x v="42"/>
          </reference>
          <reference field="1" count="1" selected="0">
            <x v="12"/>
          </reference>
          <reference field="2" count="1">
            <x v="4"/>
          </reference>
        </references>
      </pivotArea>
    </format>
    <format dxfId="2423">
      <pivotArea dataOnly="0" labelOnly="1" outline="0" fieldPosition="0">
        <references count="3">
          <reference field="0" count="1" selected="0">
            <x v="43"/>
          </reference>
          <reference field="1" count="1" selected="0">
            <x v="30"/>
          </reference>
          <reference field="2" count="1">
            <x v="1"/>
          </reference>
        </references>
      </pivotArea>
    </format>
    <format dxfId="2422">
      <pivotArea dataOnly="0" labelOnly="1" outline="0" fieldPosition="0">
        <references count="3">
          <reference field="0" count="1" selected="0">
            <x v="44"/>
          </reference>
          <reference field="1" count="1" selected="0">
            <x v="14"/>
          </reference>
          <reference field="2" count="1">
            <x v="4"/>
          </reference>
        </references>
      </pivotArea>
    </format>
    <format dxfId="2421">
      <pivotArea dataOnly="0" labelOnly="1" outline="0" fieldPosition="0">
        <references count="3">
          <reference field="0" count="1" selected="0">
            <x v="45"/>
          </reference>
          <reference field="1" count="1" selected="0">
            <x v="50"/>
          </reference>
          <reference field="2" count="1">
            <x v="3"/>
          </reference>
        </references>
      </pivotArea>
    </format>
    <format dxfId="2420">
      <pivotArea dataOnly="0" labelOnly="1" outline="0" fieldPosition="0">
        <references count="3">
          <reference field="0" count="1" selected="0">
            <x v="46"/>
          </reference>
          <reference field="1" count="1" selected="0">
            <x v="42"/>
          </reference>
          <reference field="2" count="1">
            <x v="2"/>
          </reference>
        </references>
      </pivotArea>
    </format>
    <format dxfId="2419">
      <pivotArea dataOnly="0" labelOnly="1" outline="0" fieldPosition="0">
        <references count="3">
          <reference field="0" count="1" selected="0">
            <x v="47"/>
          </reference>
          <reference field="1" count="1" selected="0">
            <x v="9"/>
          </reference>
          <reference field="2" count="1">
            <x v="3"/>
          </reference>
        </references>
      </pivotArea>
    </format>
    <format dxfId="2418">
      <pivotArea dataOnly="0" labelOnly="1" outline="0" fieldPosition="0">
        <references count="3">
          <reference field="0" count="1" selected="0">
            <x v="49"/>
          </reference>
          <reference field="1" count="1" selected="0">
            <x v="14"/>
          </reference>
          <reference field="2" count="1">
            <x v="4"/>
          </reference>
        </references>
      </pivotArea>
    </format>
    <format dxfId="2417">
      <pivotArea dataOnly="0" labelOnly="1" outline="0" fieldPosition="0">
        <references count="3">
          <reference field="0" count="1" selected="0">
            <x v="50"/>
          </reference>
          <reference field="1" count="1" selected="0">
            <x v="23"/>
          </reference>
          <reference field="2" count="1">
            <x v="2"/>
          </reference>
        </references>
      </pivotArea>
    </format>
    <format dxfId="2416">
      <pivotArea dataOnly="0" labelOnly="1" outline="0" fieldPosition="0">
        <references count="3">
          <reference field="0" count="1" selected="0">
            <x v="51"/>
          </reference>
          <reference field="1" count="1" selected="0">
            <x v="17"/>
          </reference>
          <reference field="2" count="1">
            <x v="4"/>
          </reference>
        </references>
      </pivotArea>
    </format>
    <format dxfId="2415">
      <pivotArea dataOnly="0" labelOnly="1" outline="0" fieldPosition="0">
        <references count="3">
          <reference field="0" count="1" selected="0">
            <x v="52"/>
          </reference>
          <reference field="1" count="1" selected="0">
            <x v="16"/>
          </reference>
          <reference field="2" count="1">
            <x v="5"/>
          </reference>
        </references>
      </pivotArea>
    </format>
    <format dxfId="2414">
      <pivotArea dataOnly="0" labelOnly="1" outline="0" fieldPosition="0">
        <references count="3">
          <reference field="0" count="1" selected="0">
            <x v="53"/>
          </reference>
          <reference field="1" count="1" selected="0">
            <x v="10"/>
          </reference>
          <reference field="2" count="1">
            <x v="4"/>
          </reference>
        </references>
      </pivotArea>
    </format>
    <format dxfId="2413">
      <pivotArea dataOnly="0" labelOnly="1" outline="0" fieldPosition="0">
        <references count="3">
          <reference field="0" count="1" selected="0">
            <x v="54"/>
          </reference>
          <reference field="1" count="1" selected="0">
            <x v="40"/>
          </reference>
          <reference field="2" count="1">
            <x v="2"/>
          </reference>
        </references>
      </pivotArea>
    </format>
    <format dxfId="2412">
      <pivotArea dataOnly="0" labelOnly="1" outline="0" fieldPosition="0">
        <references count="3">
          <reference field="0" count="1" selected="0">
            <x v="55"/>
          </reference>
          <reference field="1" count="1" selected="0">
            <x v="13"/>
          </reference>
          <reference field="2" count="1">
            <x v="3"/>
          </reference>
        </references>
      </pivotArea>
    </format>
    <format dxfId="2411">
      <pivotArea dataOnly="0" labelOnly="1" outline="0" fieldPosition="0">
        <references count="3">
          <reference field="0" count="1" selected="0">
            <x v="56"/>
          </reference>
          <reference field="1" count="1" selected="0">
            <x v="37"/>
          </reference>
          <reference field="2" count="1">
            <x v="1"/>
          </reference>
        </references>
      </pivotArea>
    </format>
    <format dxfId="2410">
      <pivotArea dataOnly="0" labelOnly="1" outline="0" fieldPosition="0">
        <references count="3">
          <reference field="0" count="1" selected="0">
            <x v="57"/>
          </reference>
          <reference field="1" count="1" selected="0">
            <x v="48"/>
          </reference>
          <reference field="2" count="1">
            <x v="5"/>
          </reference>
        </references>
      </pivotArea>
    </format>
    <format dxfId="2409">
      <pivotArea dataOnly="0" labelOnly="1" outline="0" fieldPosition="0">
        <references count="3">
          <reference field="0" count="1" selected="0">
            <x v="59"/>
          </reference>
          <reference field="1" count="1" selected="0">
            <x v="24"/>
          </reference>
          <reference field="2" count="1">
            <x v="0"/>
          </reference>
        </references>
      </pivotArea>
    </format>
    <format dxfId="2408">
      <pivotArea dataOnly="0" labelOnly="1" outline="0" fieldPosition="0">
        <references count="3">
          <reference field="0" count="1" selected="0">
            <x v="60"/>
          </reference>
          <reference field="1" count="1" selected="0">
            <x v="34"/>
          </reference>
          <reference field="2" count="1">
            <x v="5"/>
          </reference>
        </references>
      </pivotArea>
    </format>
    <format dxfId="2407">
      <pivotArea dataOnly="0" labelOnly="1" outline="0" fieldPosition="0">
        <references count="3">
          <reference field="0" count="1" selected="0">
            <x v="61"/>
          </reference>
          <reference field="1" count="1" selected="0">
            <x v="59"/>
          </reference>
          <reference field="2" count="1">
            <x v="2"/>
          </reference>
        </references>
      </pivotArea>
    </format>
    <format dxfId="2406">
      <pivotArea dataOnly="0" labelOnly="1" outline="0" fieldPosition="0">
        <references count="3">
          <reference field="0" count="1" selected="0">
            <x v="62"/>
          </reference>
          <reference field="1" count="1" selected="0">
            <x v="10"/>
          </reference>
          <reference field="2" count="1">
            <x v="4"/>
          </reference>
        </references>
      </pivotArea>
    </format>
    <format dxfId="2405">
      <pivotArea dataOnly="0" labelOnly="1" outline="0" fieldPosition="0">
        <references count="3">
          <reference field="0" count="1" selected="0">
            <x v="63"/>
          </reference>
          <reference field="1" count="1" selected="0">
            <x v="16"/>
          </reference>
          <reference field="2" count="1">
            <x v="5"/>
          </reference>
        </references>
      </pivotArea>
    </format>
    <format dxfId="2404">
      <pivotArea dataOnly="0" labelOnly="1" outline="0" fieldPosition="0">
        <references count="3">
          <reference field="0" count="1" selected="0">
            <x v="64"/>
          </reference>
          <reference field="1" count="1" selected="0">
            <x v="4"/>
          </reference>
          <reference field="2" count="1">
            <x v="0"/>
          </reference>
        </references>
      </pivotArea>
    </format>
    <format dxfId="2403">
      <pivotArea dataOnly="0" labelOnly="1" outline="0" fieldPosition="0">
        <references count="3">
          <reference field="0" count="1" selected="0">
            <x v="65"/>
          </reference>
          <reference field="1" count="1" selected="0">
            <x v="9"/>
          </reference>
          <reference field="2" count="1">
            <x v="3"/>
          </reference>
        </references>
      </pivotArea>
    </format>
    <format dxfId="2402">
      <pivotArea dataOnly="0" labelOnly="1" outline="0" fieldPosition="0">
        <references count="3">
          <reference field="0" count="1" selected="0">
            <x v="66"/>
          </reference>
          <reference field="1" count="1" selected="0">
            <x v="43"/>
          </reference>
          <reference field="2" count="1">
            <x v="0"/>
          </reference>
        </references>
      </pivotArea>
    </format>
    <format dxfId="2401">
      <pivotArea dataOnly="0" labelOnly="1" outline="0" fieldPosition="0">
        <references count="3">
          <reference field="0" count="1" selected="0">
            <x v="67"/>
          </reference>
          <reference field="1" count="1" selected="0">
            <x v="44"/>
          </reference>
          <reference field="2" count="1">
            <x v="5"/>
          </reference>
        </references>
      </pivotArea>
    </format>
    <format dxfId="2400">
      <pivotArea dataOnly="0" labelOnly="1" outline="0" fieldPosition="0">
        <references count="3">
          <reference field="0" count="1" selected="0">
            <x v="69"/>
          </reference>
          <reference field="1" count="1" selected="0">
            <x v="20"/>
          </reference>
          <reference field="2" count="1">
            <x v="4"/>
          </reference>
        </references>
      </pivotArea>
    </format>
    <format dxfId="2399">
      <pivotArea dataOnly="0" labelOnly="1" outline="0" fieldPosition="0">
        <references count="3">
          <reference field="0" count="1" selected="0">
            <x v="70"/>
          </reference>
          <reference field="1" count="1" selected="0">
            <x v="1"/>
          </reference>
          <reference field="2" count="1">
            <x v="5"/>
          </reference>
        </references>
      </pivotArea>
    </format>
    <format dxfId="2398">
      <pivotArea dataOnly="0" labelOnly="1" outline="0" fieldPosition="0">
        <references count="3">
          <reference field="0" count="1" selected="0">
            <x v="71"/>
          </reference>
          <reference field="1" count="1" selected="0">
            <x v="30"/>
          </reference>
          <reference field="2" count="1">
            <x v="1"/>
          </reference>
        </references>
      </pivotArea>
    </format>
    <format dxfId="2397">
      <pivotArea dataOnly="0" labelOnly="1" outline="0" fieldPosition="0">
        <references count="3">
          <reference field="0" count="1" selected="0">
            <x v="72"/>
          </reference>
          <reference field="1" count="1" selected="0">
            <x v="33"/>
          </reference>
          <reference field="2" count="1">
            <x v="4"/>
          </reference>
        </references>
      </pivotArea>
    </format>
    <format dxfId="2396">
      <pivotArea dataOnly="0" labelOnly="1" outline="0" fieldPosition="0">
        <references count="3">
          <reference field="0" count="1" selected="0">
            <x v="73"/>
          </reference>
          <reference field="1" count="1" selected="0">
            <x v="44"/>
          </reference>
          <reference field="2" count="1">
            <x v="5"/>
          </reference>
        </references>
      </pivotArea>
    </format>
    <format dxfId="2395">
      <pivotArea dataOnly="0" labelOnly="1" outline="0" fieldPosition="0">
        <references count="3">
          <reference field="0" count="1" selected="0">
            <x v="74"/>
          </reference>
          <reference field="1" count="1" selected="0">
            <x v="59"/>
          </reference>
          <reference field="2" count="1">
            <x v="2"/>
          </reference>
        </references>
      </pivotArea>
    </format>
    <format dxfId="2394">
      <pivotArea dataOnly="0" labelOnly="1" outline="0" fieldPosition="0">
        <references count="3">
          <reference field="0" count="1" selected="0">
            <x v="75"/>
          </reference>
          <reference field="1" count="1" selected="0">
            <x v="5"/>
          </reference>
          <reference field="2" count="1">
            <x v="0"/>
          </reference>
        </references>
      </pivotArea>
    </format>
    <format dxfId="2393">
      <pivotArea dataOnly="0" labelOnly="1" outline="0" fieldPosition="0">
        <references count="3">
          <reference field="0" count="1" selected="0">
            <x v="76"/>
          </reference>
          <reference field="1" count="1" selected="0">
            <x v="55"/>
          </reference>
          <reference field="2" count="1">
            <x v="1"/>
          </reference>
        </references>
      </pivotArea>
    </format>
    <format dxfId="2392">
      <pivotArea dataOnly="0" labelOnly="1" outline="0" fieldPosition="0">
        <references count="3">
          <reference field="0" count="1" selected="0">
            <x v="77"/>
          </reference>
          <reference field="1" count="1" selected="0">
            <x v="59"/>
          </reference>
          <reference field="2" count="1">
            <x v="2"/>
          </reference>
        </references>
      </pivotArea>
    </format>
    <format dxfId="2391">
      <pivotArea dataOnly="0" labelOnly="1" outline="0" fieldPosition="0">
        <references count="3">
          <reference field="0" count="1" selected="0">
            <x v="78"/>
          </reference>
          <reference field="1" count="1" selected="0">
            <x v="4"/>
          </reference>
          <reference field="2" count="1">
            <x v="0"/>
          </reference>
        </references>
      </pivotArea>
    </format>
    <format dxfId="2390">
      <pivotArea dataOnly="0" labelOnly="1" outline="0" fieldPosition="0">
        <references count="3">
          <reference field="0" count="1" selected="0">
            <x v="79"/>
          </reference>
          <reference field="1" count="1" selected="0">
            <x v="9"/>
          </reference>
          <reference field="2" count="1">
            <x v="3"/>
          </reference>
        </references>
      </pivotArea>
    </format>
    <format dxfId="2389">
      <pivotArea dataOnly="0" labelOnly="1" outline="0" fieldPosition="0">
        <references count="3">
          <reference field="0" count="1" selected="0">
            <x v="80"/>
          </reference>
          <reference field="1" count="1" selected="0">
            <x v="48"/>
          </reference>
          <reference field="2" count="1">
            <x v="5"/>
          </reference>
        </references>
      </pivotArea>
    </format>
    <format dxfId="2388">
      <pivotArea dataOnly="0" labelOnly="1" outline="0" fieldPosition="0">
        <references count="3">
          <reference field="0" count="1" selected="0">
            <x v="81"/>
          </reference>
          <reference field="1" count="1" selected="0">
            <x v="54"/>
          </reference>
          <reference field="2" count="1">
            <x v="2"/>
          </reference>
        </references>
      </pivotArea>
    </format>
    <format dxfId="2387">
      <pivotArea dataOnly="0" labelOnly="1" outline="0" fieldPosition="0">
        <references count="3">
          <reference field="0" count="1" selected="0">
            <x v="82"/>
          </reference>
          <reference field="1" count="1" selected="0">
            <x v="52"/>
          </reference>
          <reference field="2" count="1">
            <x v="1"/>
          </reference>
        </references>
      </pivotArea>
    </format>
    <format dxfId="2386">
      <pivotArea dataOnly="0" labelOnly="1" outline="0" fieldPosition="0">
        <references count="3">
          <reference field="0" count="1" selected="0">
            <x v="83"/>
          </reference>
          <reference field="1" count="1" selected="0">
            <x v="46"/>
          </reference>
          <reference field="2" count="1">
            <x v="3"/>
          </reference>
        </references>
      </pivotArea>
    </format>
    <format dxfId="2385">
      <pivotArea dataOnly="0" labelOnly="1" outline="0" fieldPosition="0">
        <references count="3">
          <reference field="0" count="1" selected="0">
            <x v="84"/>
          </reference>
          <reference field="1" count="1" selected="0">
            <x v="39"/>
          </reference>
          <reference field="2" count="1">
            <x v="2"/>
          </reference>
        </references>
      </pivotArea>
    </format>
    <format dxfId="2384">
      <pivotArea dataOnly="0" labelOnly="1" outline="0" fieldPosition="0">
        <references count="3">
          <reference field="0" count="1" selected="0">
            <x v="85"/>
          </reference>
          <reference field="1" count="1" selected="0">
            <x v="10"/>
          </reference>
          <reference field="2" count="1">
            <x v="4"/>
          </reference>
        </references>
      </pivotArea>
    </format>
    <format dxfId="2383">
      <pivotArea dataOnly="0" labelOnly="1" outline="0" fieldPosition="0">
        <references count="3">
          <reference field="0" count="1" selected="0">
            <x v="86"/>
          </reference>
          <reference field="1" count="1" selected="0">
            <x v="29"/>
          </reference>
          <reference field="2" count="1">
            <x v="1"/>
          </reference>
        </references>
      </pivotArea>
    </format>
    <format dxfId="2382">
      <pivotArea dataOnly="0" labelOnly="1" outline="0" fieldPosition="0">
        <references count="3">
          <reference field="0" count="1" selected="0">
            <x v="87"/>
          </reference>
          <reference field="1" count="1" selected="0">
            <x v="4"/>
          </reference>
          <reference field="2" count="1">
            <x v="0"/>
          </reference>
        </references>
      </pivotArea>
    </format>
    <format dxfId="2381">
      <pivotArea dataOnly="0" labelOnly="1" outline="0" fieldPosition="0">
        <references count="3">
          <reference field="0" count="1" selected="0">
            <x v="88"/>
          </reference>
          <reference field="1" count="1" selected="0">
            <x v="2"/>
          </reference>
          <reference field="2" count="1">
            <x v="3"/>
          </reference>
        </references>
      </pivotArea>
    </format>
    <format dxfId="2380">
      <pivotArea dataOnly="0" labelOnly="1" outline="0" fieldPosition="0">
        <references count="3">
          <reference field="0" count="1" selected="0">
            <x v="89"/>
          </reference>
          <reference field="1" count="1" selected="0">
            <x v="52"/>
          </reference>
          <reference field="2" count="1">
            <x v="1"/>
          </reference>
        </references>
      </pivotArea>
    </format>
    <format dxfId="2379">
      <pivotArea dataOnly="0" labelOnly="1" outline="0" fieldPosition="0">
        <references count="3">
          <reference field="0" count="1" selected="0">
            <x v="91"/>
          </reference>
          <reference field="1" count="1" selected="0">
            <x v="51"/>
          </reference>
          <reference field="2" count="1">
            <x v="0"/>
          </reference>
        </references>
      </pivotArea>
    </format>
    <format dxfId="2378">
      <pivotArea dataOnly="0" labelOnly="1" outline="0" fieldPosition="0">
        <references count="3">
          <reference field="0" count="1" selected="0">
            <x v="94"/>
          </reference>
          <reference field="1" count="1" selected="0">
            <x v="42"/>
          </reference>
          <reference field="2" count="1">
            <x v="2"/>
          </reference>
        </references>
      </pivotArea>
    </format>
    <format dxfId="2377">
      <pivotArea dataOnly="0" labelOnly="1" outline="0" fieldPosition="0">
        <references count="3">
          <reference field="0" count="1" selected="0">
            <x v="95"/>
          </reference>
          <reference field="1" count="1" selected="0">
            <x v="51"/>
          </reference>
          <reference field="2" count="1">
            <x v="0"/>
          </reference>
        </references>
      </pivotArea>
    </format>
    <format dxfId="2376">
      <pivotArea dataOnly="0" labelOnly="1" outline="0" fieldPosition="0">
        <references count="3">
          <reference field="0" count="1" selected="0">
            <x v="96"/>
          </reference>
          <reference field="1" count="1" selected="0">
            <x v="31"/>
          </reference>
          <reference field="2" count="1">
            <x v="3"/>
          </reference>
        </references>
      </pivotArea>
    </format>
    <format dxfId="2375">
      <pivotArea dataOnly="0" labelOnly="1" outline="0" fieldPosition="0">
        <references count="3">
          <reference field="0" count="1" selected="0">
            <x v="97"/>
          </reference>
          <reference field="1" count="1" selected="0">
            <x v="38"/>
          </reference>
          <reference field="2" count="1">
            <x v="5"/>
          </reference>
        </references>
      </pivotArea>
    </format>
    <format dxfId="2374">
      <pivotArea dataOnly="0" labelOnly="1" outline="0" fieldPosition="0">
        <references count="3">
          <reference field="0" count="1" selected="0">
            <x v="99"/>
          </reference>
          <reference field="1" count="1" selected="0">
            <x v="27"/>
          </reference>
          <reference field="2" count="1">
            <x v="0"/>
          </reference>
        </references>
      </pivotArea>
    </format>
    <format dxfId="2373">
      <pivotArea dataOnly="0" labelOnly="1" outline="0" fieldPosition="0">
        <references count="3">
          <reference field="0" count="1" selected="0">
            <x v="101"/>
          </reference>
          <reference field="1" count="1" selected="0">
            <x v="49"/>
          </reference>
          <reference field="2" count="1">
            <x v="3"/>
          </reference>
        </references>
      </pivotArea>
    </format>
    <format dxfId="2372">
      <pivotArea dataOnly="0" labelOnly="1" outline="0" fieldPosition="0">
        <references count="3">
          <reference field="0" count="1" selected="0">
            <x v="102"/>
          </reference>
          <reference field="1" count="1" selected="0">
            <x v="35"/>
          </reference>
          <reference field="2" count="1">
            <x v="4"/>
          </reference>
        </references>
      </pivotArea>
    </format>
    <format dxfId="2371">
      <pivotArea dataOnly="0" labelOnly="1" outline="0" fieldPosition="0">
        <references count="3">
          <reference field="0" count="1" selected="0">
            <x v="103"/>
          </reference>
          <reference field="1" count="1" selected="0">
            <x v="42"/>
          </reference>
          <reference field="2" count="1">
            <x v="2"/>
          </reference>
        </references>
      </pivotArea>
    </format>
    <format dxfId="2370">
      <pivotArea dataOnly="0" labelOnly="1" outline="0" fieldPosition="0">
        <references count="3">
          <reference field="0" count="1" selected="0">
            <x v="104"/>
          </reference>
          <reference field="1" count="1" selected="0">
            <x v="25"/>
          </reference>
          <reference field="2" count="1">
            <x v="1"/>
          </reference>
        </references>
      </pivotArea>
    </format>
    <format dxfId="2369">
      <pivotArea dataOnly="0" labelOnly="1" outline="0" fieldPosition="0">
        <references count="3">
          <reference field="0" count="1" selected="0">
            <x v="105"/>
          </reference>
          <reference field="1" count="1" selected="0">
            <x v="26"/>
          </reference>
          <reference field="2" count="1">
            <x v="5"/>
          </reference>
        </references>
      </pivotArea>
    </format>
    <format dxfId="2368">
      <pivotArea dataOnly="0" labelOnly="1" outline="0" fieldPosition="0">
        <references count="3">
          <reference field="0" count="1" selected="0">
            <x v="106"/>
          </reference>
          <reference field="1" count="1" selected="0">
            <x v="6"/>
          </reference>
          <reference field="2" count="1">
            <x v="3"/>
          </reference>
        </references>
      </pivotArea>
    </format>
    <format dxfId="2367">
      <pivotArea dataOnly="0" labelOnly="1" outline="0" fieldPosition="0">
        <references count="3">
          <reference field="0" count="1" selected="0">
            <x v="107"/>
          </reference>
          <reference field="1" count="1" selected="0">
            <x v="0"/>
          </reference>
          <reference field="2" count="1">
            <x v="0"/>
          </reference>
        </references>
      </pivotArea>
    </format>
    <format dxfId="2366">
      <pivotArea dataOnly="0" labelOnly="1" outline="0" fieldPosition="0">
        <references count="3">
          <reference field="0" count="1" selected="0">
            <x v="108"/>
          </reference>
          <reference field="1" count="1" selected="0">
            <x v="44"/>
          </reference>
          <reference field="2" count="1">
            <x v="5"/>
          </reference>
        </references>
      </pivotArea>
    </format>
    <format dxfId="2365">
      <pivotArea dataOnly="0" labelOnly="1" outline="0" fieldPosition="0">
        <references count="3">
          <reference field="0" count="1" selected="0">
            <x v="111"/>
          </reference>
          <reference field="1" count="1" selected="0">
            <x v="49"/>
          </reference>
          <reference field="2" count="1">
            <x v="3"/>
          </reference>
        </references>
      </pivotArea>
    </format>
    <format dxfId="2364">
      <pivotArea dataOnly="0" labelOnly="1" outline="0" fieldPosition="0">
        <references count="3">
          <reference field="0" count="1" selected="0">
            <x v="112"/>
          </reference>
          <reference field="1" count="1" selected="0">
            <x v="57"/>
          </reference>
          <reference field="2" count="1">
            <x v="0"/>
          </reference>
        </references>
      </pivotArea>
    </format>
    <format dxfId="2363">
      <pivotArea dataOnly="0" labelOnly="1" outline="0" fieldPosition="0">
        <references count="3">
          <reference field="0" count="1" selected="0">
            <x v="113"/>
          </reference>
          <reference field="1" count="1" selected="0">
            <x v="21"/>
          </reference>
          <reference field="2" count="1">
            <x v="2"/>
          </reference>
        </references>
      </pivotArea>
    </format>
    <format dxfId="2362">
      <pivotArea dataOnly="0" labelOnly="1" outline="0" fieldPosition="0">
        <references count="3">
          <reference field="0" count="1" selected="0">
            <x v="115"/>
          </reference>
          <reference field="1" count="1" selected="0">
            <x v="1"/>
          </reference>
          <reference field="2" count="1">
            <x v="5"/>
          </reference>
        </references>
      </pivotArea>
    </format>
    <format dxfId="2361">
      <pivotArea dataOnly="0" labelOnly="1" outline="0" fieldPosition="0">
        <references count="3">
          <reference field="0" count="1" selected="0">
            <x v="116"/>
          </reference>
          <reference field="1" count="1" selected="0">
            <x v="37"/>
          </reference>
          <reference field="2" count="1">
            <x v="1"/>
          </reference>
        </references>
      </pivotArea>
    </format>
    <format dxfId="2360">
      <pivotArea dataOnly="0" labelOnly="1" outline="0" fieldPosition="0">
        <references count="3">
          <reference field="0" count="1" selected="0">
            <x v="117"/>
          </reference>
          <reference field="1" count="1" selected="0">
            <x v="39"/>
          </reference>
          <reference field="2" count="1">
            <x v="2"/>
          </reference>
        </references>
      </pivotArea>
    </format>
    <format dxfId="2359">
      <pivotArea dataOnly="0" labelOnly="1" outline="0" fieldPosition="0">
        <references count="3">
          <reference field="0" count="1" selected="0">
            <x v="118"/>
          </reference>
          <reference field="1" count="1" selected="0">
            <x v="7"/>
          </reference>
          <reference field="2" count="1">
            <x v="3"/>
          </reference>
        </references>
      </pivotArea>
    </format>
    <format dxfId="2358">
      <pivotArea dataOnly="0" labelOnly="1" outline="0" fieldPosition="0">
        <references count="3">
          <reference field="0" count="1" selected="0">
            <x v="119"/>
          </reference>
          <reference field="1" count="1" selected="0">
            <x v="44"/>
          </reference>
          <reference field="2" count="1">
            <x v="5"/>
          </reference>
        </references>
      </pivotArea>
    </format>
    <format dxfId="2357">
      <pivotArea dataOnly="0" labelOnly="1" outline="0" fieldPosition="0">
        <references count="3">
          <reference field="0" count="1" selected="0">
            <x v="121"/>
          </reference>
          <reference field="1" count="1" selected="0">
            <x v="50"/>
          </reference>
          <reference field="2" count="1">
            <x v="3"/>
          </reference>
        </references>
      </pivotArea>
    </format>
    <format dxfId="2356">
      <pivotArea dataOnly="0" labelOnly="1" outline="0" fieldPosition="0">
        <references count="3">
          <reference field="0" count="1" selected="0">
            <x v="122"/>
          </reference>
          <reference field="1" count="1" selected="0">
            <x v="21"/>
          </reference>
          <reference field="2" count="1">
            <x v="2"/>
          </reference>
        </references>
      </pivotArea>
    </format>
    <format dxfId="2355">
      <pivotArea dataOnly="0" labelOnly="1" outline="0" fieldPosition="0">
        <references count="3">
          <reference field="0" count="1" selected="0">
            <x v="124"/>
          </reference>
          <reference field="1" count="1" selected="0">
            <x v="36"/>
          </reference>
          <reference field="2" count="1">
            <x v="1"/>
          </reference>
        </references>
      </pivotArea>
    </format>
    <format dxfId="2354">
      <pivotArea dataOnly="0" labelOnly="1" outline="0" fieldPosition="0">
        <references count="3">
          <reference field="0" count="1" selected="0">
            <x v="125"/>
          </reference>
          <reference field="1" count="1" selected="0">
            <x v="2"/>
          </reference>
          <reference field="2" count="1">
            <x v="3"/>
          </reference>
        </references>
      </pivotArea>
    </format>
    <format dxfId="2353">
      <pivotArea dataOnly="0" labelOnly="1" outline="0" fieldPosition="0">
        <references count="3">
          <reference field="0" count="1" selected="0">
            <x v="127"/>
          </reference>
          <reference field="1" count="1" selected="0">
            <x v="35"/>
          </reference>
          <reference field="2" count="1">
            <x v="4"/>
          </reference>
        </references>
      </pivotArea>
    </format>
    <format dxfId="2352">
      <pivotArea dataOnly="0" labelOnly="1" outline="0" fieldPosition="0">
        <references count="3">
          <reference field="0" count="1" selected="0">
            <x v="129"/>
          </reference>
          <reference field="1" count="1" selected="0">
            <x v="1"/>
          </reference>
          <reference field="2" count="1">
            <x v="5"/>
          </reference>
        </references>
      </pivotArea>
    </format>
    <format dxfId="2351">
      <pivotArea dataOnly="0" labelOnly="1" outline="0" fieldPosition="0">
        <references count="3">
          <reference field="0" count="1" selected="0">
            <x v="130"/>
          </reference>
          <reference field="1" count="1" selected="0">
            <x v="41"/>
          </reference>
          <reference field="2" count="1">
            <x v="0"/>
          </reference>
        </references>
      </pivotArea>
    </format>
    <format dxfId="2350">
      <pivotArea dataOnly="0" labelOnly="1" outline="0" fieldPosition="0">
        <references count="3">
          <reference field="0" count="1" selected="0">
            <x v="131"/>
          </reference>
          <reference field="1" count="1" selected="0">
            <x v="40"/>
          </reference>
          <reference field="2" count="1">
            <x v="2"/>
          </reference>
        </references>
      </pivotArea>
    </format>
    <format dxfId="2349">
      <pivotArea dataOnly="0" labelOnly="1" outline="0" fieldPosition="0">
        <references count="3">
          <reference field="0" count="1" selected="0">
            <x v="132"/>
          </reference>
          <reference field="1" count="1" selected="0">
            <x v="14"/>
          </reference>
          <reference field="2" count="1">
            <x v="4"/>
          </reference>
        </references>
      </pivotArea>
    </format>
    <format dxfId="2348">
      <pivotArea dataOnly="0" labelOnly="1" outline="0" fieldPosition="0">
        <references count="3">
          <reference field="0" count="1" selected="0">
            <x v="133"/>
          </reference>
          <reference field="1" count="1" selected="0">
            <x v="24"/>
          </reference>
          <reference field="2" count="1">
            <x v="0"/>
          </reference>
        </references>
      </pivotArea>
    </format>
    <format dxfId="2347">
      <pivotArea dataOnly="0" labelOnly="1" outline="0" fieldPosition="0">
        <references count="3">
          <reference field="0" count="1" selected="0">
            <x v="134"/>
          </reference>
          <reference field="1" count="1" selected="0">
            <x v="13"/>
          </reference>
          <reference field="2" count="1">
            <x v="3"/>
          </reference>
        </references>
      </pivotArea>
    </format>
    <format dxfId="2346">
      <pivotArea dataOnly="0" labelOnly="1" outline="0" fieldPosition="0">
        <references count="3">
          <reference field="0" count="1" selected="0">
            <x v="135"/>
          </reference>
          <reference field="1" count="1" selected="0">
            <x v="42"/>
          </reference>
          <reference field="2" count="1">
            <x v="2"/>
          </reference>
        </references>
      </pivotArea>
    </format>
    <format dxfId="2345">
      <pivotArea dataOnly="0" labelOnly="1" outline="0" fieldPosition="0">
        <references count="3">
          <reference field="0" count="1" selected="0">
            <x v="136"/>
          </reference>
          <reference field="1" count="1" selected="0">
            <x v="52"/>
          </reference>
          <reference field="2" count="1">
            <x v="1"/>
          </reference>
        </references>
      </pivotArea>
    </format>
    <format dxfId="2344">
      <pivotArea dataOnly="0" labelOnly="1" outline="0" fieldPosition="0">
        <references count="3">
          <reference field="0" count="1" selected="0">
            <x v="137"/>
          </reference>
          <reference field="1" count="1" selected="0">
            <x v="39"/>
          </reference>
          <reference field="2" count="1">
            <x v="2"/>
          </reference>
        </references>
      </pivotArea>
    </format>
    <format dxfId="2343">
      <pivotArea dataOnly="0" labelOnly="1" outline="0" fieldPosition="0">
        <references count="3">
          <reference field="0" count="1" selected="0">
            <x v="138"/>
          </reference>
          <reference field="1" count="1" selected="0">
            <x v="45"/>
          </reference>
          <reference field="2" count="1">
            <x v="5"/>
          </reference>
        </references>
      </pivotArea>
    </format>
    <format dxfId="2342">
      <pivotArea dataOnly="0" labelOnly="1" outline="0" fieldPosition="0">
        <references count="3">
          <reference field="0" count="1" selected="0">
            <x v="140"/>
          </reference>
          <reference field="1" count="1" selected="0">
            <x v="40"/>
          </reference>
          <reference field="2" count="1">
            <x v="2"/>
          </reference>
        </references>
      </pivotArea>
    </format>
    <format dxfId="2341">
      <pivotArea dataOnly="0" labelOnly="1" outline="0" fieldPosition="0">
        <references count="3">
          <reference field="0" count="1" selected="0">
            <x v="141"/>
          </reference>
          <reference field="1" count="1" selected="0">
            <x v="1"/>
          </reference>
          <reference field="2" count="1">
            <x v="5"/>
          </reference>
        </references>
      </pivotArea>
    </format>
    <format dxfId="2340">
      <pivotArea dataOnly="0" labelOnly="1" outline="0" fieldPosition="0">
        <references count="3">
          <reference field="0" count="1" selected="0">
            <x v="143"/>
          </reference>
          <reference field="1" count="1" selected="0">
            <x v="25"/>
          </reference>
          <reference field="2" count="1">
            <x v="1"/>
          </reference>
        </references>
      </pivotArea>
    </format>
    <format dxfId="2339">
      <pivotArea dataOnly="0" labelOnly="1" outline="0" fieldPosition="0">
        <references count="3">
          <reference field="0" count="1" selected="0">
            <x v="146"/>
          </reference>
          <reference field="1" count="1" selected="0">
            <x v="4"/>
          </reference>
          <reference field="2" count="1">
            <x v="0"/>
          </reference>
        </references>
      </pivotArea>
    </format>
    <format dxfId="2338">
      <pivotArea dataOnly="0" labelOnly="1" outline="0" fieldPosition="0">
        <references count="3">
          <reference field="0" count="1" selected="0">
            <x v="147"/>
          </reference>
          <reference field="1" count="1" selected="0">
            <x v="42"/>
          </reference>
          <reference field="2" count="1">
            <x v="2"/>
          </reference>
        </references>
      </pivotArea>
    </format>
    <format dxfId="2337">
      <pivotArea dataOnly="0" labelOnly="1" outline="0" fieldPosition="0">
        <references count="3">
          <reference field="0" count="1" selected="0">
            <x v="148"/>
          </reference>
          <reference field="1" count="1" selected="0">
            <x v="19"/>
          </reference>
          <reference field="2" count="1">
            <x v="5"/>
          </reference>
        </references>
      </pivotArea>
    </format>
    <format dxfId="2336">
      <pivotArea dataOnly="0" labelOnly="1" outline="0" fieldPosition="0">
        <references count="3">
          <reference field="0" count="1" selected="0">
            <x v="149"/>
          </reference>
          <reference field="1" count="1" selected="0">
            <x v="6"/>
          </reference>
          <reference field="2" count="1">
            <x v="3"/>
          </reference>
        </references>
      </pivotArea>
    </format>
    <format dxfId="2335">
      <pivotArea dataOnly="0" labelOnly="1" outline="0" fieldPosition="0">
        <references count="3">
          <reference field="0" count="1" selected="0">
            <x v="150"/>
          </reference>
          <reference field="1" count="1" selected="0">
            <x v="55"/>
          </reference>
          <reference field="2" count="1">
            <x v="1"/>
          </reference>
        </references>
      </pivotArea>
    </format>
    <format dxfId="2334">
      <pivotArea dataOnly="0" labelOnly="1" outline="0" fieldPosition="0">
        <references count="3">
          <reference field="0" count="1" selected="0">
            <x v="151"/>
          </reference>
          <reference field="1" count="1" selected="0">
            <x v="18"/>
          </reference>
          <reference field="2" count="1">
            <x v="2"/>
          </reference>
        </references>
      </pivotArea>
    </format>
    <format dxfId="2333">
      <pivotArea dataOnly="0" labelOnly="1" outline="0" fieldPosition="0">
        <references count="3">
          <reference field="0" count="1" selected="0">
            <x v="152"/>
          </reference>
          <reference field="1" count="1" selected="0">
            <x v="25"/>
          </reference>
          <reference field="2" count="1">
            <x v="1"/>
          </reference>
        </references>
      </pivotArea>
    </format>
    <format dxfId="2332">
      <pivotArea dataOnly="0" labelOnly="1" outline="0" fieldPosition="0">
        <references count="3">
          <reference field="0" count="1" selected="0">
            <x v="153"/>
          </reference>
          <reference field="1" count="1" selected="0">
            <x v="1"/>
          </reference>
          <reference field="2" count="1">
            <x v="5"/>
          </reference>
        </references>
      </pivotArea>
    </format>
    <format dxfId="2331">
      <pivotArea dataOnly="0" labelOnly="1" outline="0" fieldPosition="0">
        <references count="3">
          <reference field="0" count="1" selected="0">
            <x v="156"/>
          </reference>
          <reference field="1" count="1" selected="0">
            <x v="29"/>
          </reference>
          <reference field="2" count="1">
            <x v="1"/>
          </reference>
        </references>
      </pivotArea>
    </format>
    <format dxfId="2330">
      <pivotArea dataOnly="0" labelOnly="1" outline="0" fieldPosition="0">
        <references count="3">
          <reference field="0" count="1" selected="0">
            <x v="157"/>
          </reference>
          <reference field="1" count="1" selected="0">
            <x v="38"/>
          </reference>
          <reference field="2" count="1">
            <x v="5"/>
          </reference>
        </references>
      </pivotArea>
    </format>
    <format dxfId="2329">
      <pivotArea dataOnly="0" labelOnly="1" outline="0" fieldPosition="0">
        <references count="3">
          <reference field="0" count="1" selected="0">
            <x v="158"/>
          </reference>
          <reference field="1" count="1" selected="0">
            <x v="29"/>
          </reference>
          <reference field="2" count="1">
            <x v="1"/>
          </reference>
        </references>
      </pivotArea>
    </format>
    <format dxfId="2328">
      <pivotArea dataOnly="0" labelOnly="1" outline="0" fieldPosition="0">
        <references count="3">
          <reference field="0" count="1" selected="0">
            <x v="159"/>
          </reference>
          <reference field="1" count="1" selected="0">
            <x v="57"/>
          </reference>
          <reference field="2" count="1">
            <x v="0"/>
          </reference>
        </references>
      </pivotArea>
    </format>
    <format dxfId="2327">
      <pivotArea dataOnly="0" labelOnly="1" outline="0" fieldPosition="0">
        <references count="3">
          <reference field="0" count="1" selected="0">
            <x v="161"/>
          </reference>
          <reference field="1" count="1" selected="0">
            <x v="23"/>
          </reference>
          <reference field="2" count="1">
            <x v="2"/>
          </reference>
        </references>
      </pivotArea>
    </format>
    <format dxfId="2326">
      <pivotArea dataOnly="0" labelOnly="1" outline="0" fieldPosition="0">
        <references count="3">
          <reference field="0" count="1" selected="0">
            <x v="162"/>
          </reference>
          <reference field="1" count="1" selected="0">
            <x v="13"/>
          </reference>
          <reference field="2" count="1">
            <x v="3"/>
          </reference>
        </references>
      </pivotArea>
    </format>
    <format dxfId="2325">
      <pivotArea dataOnly="0" labelOnly="1" outline="0" fieldPosition="0">
        <references count="3">
          <reference field="0" count="1" selected="0">
            <x v="163"/>
          </reference>
          <reference field="1" count="1" selected="0">
            <x v="29"/>
          </reference>
          <reference field="2" count="1">
            <x v="1"/>
          </reference>
        </references>
      </pivotArea>
    </format>
    <format dxfId="2324">
      <pivotArea dataOnly="0" labelOnly="1" outline="0" fieldPosition="0">
        <references count="3">
          <reference field="0" count="1" selected="0">
            <x v="164"/>
          </reference>
          <reference field="1" count="1" selected="0">
            <x v="50"/>
          </reference>
          <reference field="2" count="1">
            <x v="3"/>
          </reference>
        </references>
      </pivotArea>
    </format>
    <format dxfId="2323">
      <pivotArea dataOnly="0" labelOnly="1" outline="0" fieldPosition="0">
        <references count="3">
          <reference field="0" count="1" selected="0">
            <x v="165"/>
          </reference>
          <reference field="1" count="1" selected="0">
            <x v="48"/>
          </reference>
          <reference field="2" count="1">
            <x v="5"/>
          </reference>
        </references>
      </pivotArea>
    </format>
    <format dxfId="2322">
      <pivotArea dataOnly="0" labelOnly="1" outline="0" fieldPosition="0">
        <references count="3">
          <reference field="0" count="1" selected="0">
            <x v="166"/>
          </reference>
          <reference field="1" count="1" selected="0">
            <x v="40"/>
          </reference>
          <reference field="2" count="1">
            <x v="2"/>
          </reference>
        </references>
      </pivotArea>
    </format>
    <format dxfId="2321">
      <pivotArea dataOnly="0" labelOnly="1" outline="0" fieldPosition="0">
        <references count="3">
          <reference field="0" count="1" selected="0">
            <x v="167"/>
          </reference>
          <reference field="1" count="1" selected="0">
            <x v="58"/>
          </reference>
          <reference field="2" count="1">
            <x v="1"/>
          </reference>
        </references>
      </pivotArea>
    </format>
    <format dxfId="2320">
      <pivotArea dataOnly="0" labelOnly="1" outline="0" fieldPosition="0">
        <references count="3">
          <reference field="0" count="1" selected="0">
            <x v="168"/>
          </reference>
          <reference field="1" count="1" selected="0">
            <x v="11"/>
          </reference>
          <reference field="2" count="1">
            <x v="4"/>
          </reference>
        </references>
      </pivotArea>
    </format>
    <format dxfId="2319">
      <pivotArea dataOnly="0" labelOnly="1" outline="0" fieldPosition="0">
        <references count="3">
          <reference field="0" count="1" selected="0">
            <x v="169"/>
          </reference>
          <reference field="1" count="1" selected="0">
            <x v="40"/>
          </reference>
          <reference field="2" count="1">
            <x v="2"/>
          </reference>
        </references>
      </pivotArea>
    </format>
    <format dxfId="2318">
      <pivotArea dataOnly="0" labelOnly="1" outline="0" fieldPosition="0">
        <references count="3">
          <reference field="0" count="1" selected="0">
            <x v="170"/>
          </reference>
          <reference field="1" count="1" selected="0">
            <x v="33"/>
          </reference>
          <reference field="2" count="1">
            <x v="4"/>
          </reference>
        </references>
      </pivotArea>
    </format>
    <format dxfId="2317">
      <pivotArea dataOnly="0" labelOnly="1" outline="0" fieldPosition="0">
        <references count="3">
          <reference field="0" count="1" selected="0">
            <x v="171"/>
          </reference>
          <reference field="1" count="1" selected="0">
            <x v="7"/>
          </reference>
          <reference field="2" count="1">
            <x v="3"/>
          </reference>
        </references>
      </pivotArea>
    </format>
    <format dxfId="2316">
      <pivotArea dataOnly="0" labelOnly="1" outline="0" fieldPosition="0">
        <references count="3">
          <reference field="0" count="1" selected="0">
            <x v="172"/>
          </reference>
          <reference field="1" count="1" selected="0">
            <x v="3"/>
          </reference>
          <reference field="2" count="1">
            <x v="4"/>
          </reference>
        </references>
      </pivotArea>
    </format>
    <format dxfId="2315">
      <pivotArea dataOnly="0" labelOnly="1" outline="0" fieldPosition="0">
        <references count="3">
          <reference field="0" count="1" selected="0">
            <x v="173"/>
          </reference>
          <reference field="1" count="1" selected="0">
            <x v="48"/>
          </reference>
          <reference field="2" count="1">
            <x v="5"/>
          </reference>
        </references>
      </pivotArea>
    </format>
    <format dxfId="2314">
      <pivotArea dataOnly="0" labelOnly="1" outline="0" fieldPosition="0">
        <references count="3">
          <reference field="0" count="1" selected="0">
            <x v="174"/>
          </reference>
          <reference field="1" count="1" selected="0">
            <x v="23"/>
          </reference>
          <reference field="2" count="1">
            <x v="2"/>
          </reference>
        </references>
      </pivotArea>
    </format>
    <format dxfId="2313">
      <pivotArea dataOnly="0" labelOnly="1" outline="0" fieldPosition="0">
        <references count="3">
          <reference field="0" count="1" selected="0">
            <x v="175"/>
          </reference>
          <reference field="1" count="1" selected="0">
            <x v="2"/>
          </reference>
          <reference field="2" count="1">
            <x v="3"/>
          </reference>
        </references>
      </pivotArea>
    </format>
    <format dxfId="2312">
      <pivotArea dataOnly="0" labelOnly="1" outline="0" fieldPosition="0">
        <references count="3">
          <reference field="0" count="1" selected="0">
            <x v="176"/>
          </reference>
          <reference field="1" count="1" selected="0">
            <x v="58"/>
          </reference>
          <reference field="2" count="1">
            <x v="1"/>
          </reference>
        </references>
      </pivotArea>
    </format>
    <format dxfId="2311">
      <pivotArea dataOnly="0" labelOnly="1" outline="0" fieldPosition="0">
        <references count="3">
          <reference field="0" count="1" selected="0">
            <x v="177"/>
          </reference>
          <reference field="1" count="1" selected="0">
            <x v="42"/>
          </reference>
          <reference field="2" count="1">
            <x v="2"/>
          </reference>
        </references>
      </pivotArea>
    </format>
    <format dxfId="2310">
      <pivotArea dataOnly="0" labelOnly="1" outline="0" fieldPosition="0">
        <references count="3">
          <reference field="0" count="1" selected="0">
            <x v="178"/>
          </reference>
          <reference field="1" count="1" selected="0">
            <x v="44"/>
          </reference>
          <reference field="2" count="1">
            <x v="5"/>
          </reference>
        </references>
      </pivotArea>
    </format>
    <format dxfId="2309">
      <pivotArea dataOnly="0" labelOnly="1" outline="0" fieldPosition="0">
        <references count="3">
          <reference field="0" count="1" selected="0">
            <x v="180"/>
          </reference>
          <reference field="1" count="1" selected="0">
            <x v="37"/>
          </reference>
          <reference field="2" count="1">
            <x v="1"/>
          </reference>
        </references>
      </pivotArea>
    </format>
    <format dxfId="2308">
      <pivotArea dataOnly="0" labelOnly="1" outline="0" fieldPosition="0">
        <references count="3">
          <reference field="0" count="1" selected="0">
            <x v="181"/>
          </reference>
          <reference field="1" count="1" selected="0">
            <x v="51"/>
          </reference>
          <reference field="2" count="1">
            <x v="0"/>
          </reference>
        </references>
      </pivotArea>
    </format>
    <format dxfId="2307">
      <pivotArea dataOnly="0" labelOnly="1" outline="0" fieldPosition="0">
        <references count="3">
          <reference field="0" count="1" selected="0">
            <x v="182"/>
          </reference>
          <reference field="1" count="1" selected="0">
            <x v="48"/>
          </reference>
          <reference field="2" count="1">
            <x v="5"/>
          </reference>
        </references>
      </pivotArea>
    </format>
    <format dxfId="2306">
      <pivotArea dataOnly="0" labelOnly="1" outline="0" fieldPosition="0">
        <references count="3">
          <reference field="0" count="1" selected="0">
            <x v="183"/>
          </reference>
          <reference field="1" count="1" selected="0">
            <x v="41"/>
          </reference>
          <reference field="2" count="1">
            <x v="0"/>
          </reference>
        </references>
      </pivotArea>
    </format>
    <format dxfId="2305">
      <pivotArea dataOnly="0" labelOnly="1" outline="0" fieldPosition="0">
        <references count="3">
          <reference field="0" count="1" selected="0">
            <x v="184"/>
          </reference>
          <reference field="1" count="1" selected="0">
            <x v="26"/>
          </reference>
          <reference field="2" count="1">
            <x v="5"/>
          </reference>
        </references>
      </pivotArea>
    </format>
    <format dxfId="2304">
      <pivotArea dataOnly="0" labelOnly="1" outline="0" fieldPosition="0">
        <references count="3">
          <reference field="0" count="1" selected="0">
            <x v="185"/>
          </reference>
          <reference field="1" count="1" selected="0">
            <x v="54"/>
          </reference>
          <reference field="2" count="1">
            <x v="2"/>
          </reference>
        </references>
      </pivotArea>
    </format>
    <format dxfId="2303">
      <pivotArea dataOnly="0" labelOnly="1" outline="0" fieldPosition="0">
        <references count="3">
          <reference field="0" count="1" selected="0">
            <x v="186"/>
          </reference>
          <reference field="1" count="1" selected="0">
            <x v="53"/>
          </reference>
          <reference field="2" count="1">
            <x v="1"/>
          </reference>
        </references>
      </pivotArea>
    </format>
    <format dxfId="2302">
      <pivotArea dataOnly="0" labelOnly="1" outline="0" fieldPosition="0">
        <references count="3">
          <reference field="0" count="1" selected="0">
            <x v="187"/>
          </reference>
          <reference field="1" count="1" selected="0">
            <x v="12"/>
          </reference>
          <reference field="2" count="1">
            <x v="4"/>
          </reference>
        </references>
      </pivotArea>
    </format>
    <format dxfId="2301">
      <pivotArea dataOnly="0" labelOnly="1" outline="0" fieldPosition="0">
        <references count="3">
          <reference field="0" count="1" selected="0">
            <x v="188"/>
          </reference>
          <reference field="1" count="1" selected="0">
            <x v="28"/>
          </reference>
          <reference field="2" count="1">
            <x v="3"/>
          </reference>
        </references>
      </pivotArea>
    </format>
    <format dxfId="2300">
      <pivotArea dataOnly="0" labelOnly="1" outline="0" fieldPosition="0">
        <references count="3">
          <reference field="0" count="1" selected="0">
            <x v="189"/>
          </reference>
          <reference field="1" count="1" selected="0">
            <x v="52"/>
          </reference>
          <reference field="2" count="1">
            <x v="1"/>
          </reference>
        </references>
      </pivotArea>
    </format>
    <format dxfId="2299">
      <pivotArea dataOnly="0" labelOnly="1" outline="0" fieldPosition="0">
        <references count="3">
          <reference field="0" count="1" selected="0">
            <x v="190"/>
          </reference>
          <reference field="1" count="1" selected="0">
            <x v="20"/>
          </reference>
          <reference field="2" count="1">
            <x v="4"/>
          </reference>
        </references>
      </pivotArea>
    </format>
    <format dxfId="2298">
      <pivotArea dataOnly="0" labelOnly="1" outline="0" fieldPosition="0">
        <references count="3">
          <reference field="0" count="1" selected="0">
            <x v="191"/>
          </reference>
          <reference field="1" count="1" selected="0">
            <x v="8"/>
          </reference>
          <reference field="2" count="1">
            <x v="5"/>
          </reference>
        </references>
      </pivotArea>
    </format>
    <format dxfId="2297">
      <pivotArea dataOnly="0" labelOnly="1" outline="0" fieldPosition="0">
        <references count="3">
          <reference field="0" count="1" selected="0">
            <x v="192"/>
          </reference>
          <reference field="1" count="1" selected="0">
            <x v="46"/>
          </reference>
          <reference field="2" count="1">
            <x v="3"/>
          </reference>
        </references>
      </pivotArea>
    </format>
    <format dxfId="2296">
      <pivotArea dataOnly="0" labelOnly="1" outline="0" fieldPosition="0">
        <references count="3">
          <reference field="0" count="1" selected="0">
            <x v="193"/>
          </reference>
          <reference field="1" count="1" selected="0">
            <x v="24"/>
          </reference>
          <reference field="2" count="1">
            <x v="0"/>
          </reference>
        </references>
      </pivotArea>
    </format>
    <format dxfId="2295">
      <pivotArea dataOnly="0" labelOnly="1" outline="0" fieldPosition="0">
        <references count="3">
          <reference field="0" count="1" selected="0">
            <x v="196"/>
          </reference>
          <reference field="1" count="1" selected="0">
            <x v="18"/>
          </reference>
          <reference field="2" count="1">
            <x v="2"/>
          </reference>
        </references>
      </pivotArea>
    </format>
    <format dxfId="2294">
      <pivotArea dataOnly="0" labelOnly="1" outline="0" fieldPosition="0">
        <references count="3">
          <reference field="0" count="1" selected="0">
            <x v="197"/>
          </reference>
          <reference field="1" count="1" selected="0">
            <x v="50"/>
          </reference>
          <reference field="2" count="1">
            <x v="3"/>
          </reference>
        </references>
      </pivotArea>
    </format>
    <format dxfId="2293">
      <pivotArea dataOnly="0" labelOnly="1" outline="0" fieldPosition="0">
        <references count="3">
          <reference field="0" count="1" selected="0">
            <x v="198"/>
          </reference>
          <reference field="1" count="1" selected="0">
            <x v="17"/>
          </reference>
          <reference field="2" count="1">
            <x v="4"/>
          </reference>
        </references>
      </pivotArea>
    </format>
    <format dxfId="2292">
      <pivotArea dataOnly="0" labelOnly="1" outline="0" fieldPosition="0">
        <references count="3">
          <reference field="0" count="1" selected="0">
            <x v="199"/>
          </reference>
          <reference field="1" count="1" selected="0">
            <x v="30"/>
          </reference>
          <reference field="2" count="1">
            <x v="1"/>
          </reference>
        </references>
      </pivotArea>
    </format>
    <format dxfId="2291">
      <pivotArea dataOnly="0" labelOnly="1" outline="0" fieldPosition="0">
        <references count="3">
          <reference field="0" count="1" selected="0">
            <x v="201"/>
          </reference>
          <reference field="1" count="1" selected="0">
            <x v="14"/>
          </reference>
          <reference field="2" count="1">
            <x v="4"/>
          </reference>
        </references>
      </pivotArea>
    </format>
    <format dxfId="2290">
      <pivotArea dataOnly="0" labelOnly="1" outline="0" fieldPosition="0">
        <references count="3">
          <reference field="0" count="1" selected="0">
            <x v="204"/>
          </reference>
          <reference field="1" count="1" selected="0">
            <x v="59"/>
          </reference>
          <reference field="2" count="1">
            <x v="2"/>
          </reference>
        </references>
      </pivotArea>
    </format>
    <format dxfId="2289">
      <pivotArea dataOnly="0" labelOnly="1" outline="0" fieldPosition="0">
        <references count="3">
          <reference field="0" count="1" selected="0">
            <x v="205"/>
          </reference>
          <reference field="1" count="1" selected="0">
            <x v="12"/>
          </reference>
          <reference field="2" count="1">
            <x v="4"/>
          </reference>
        </references>
      </pivotArea>
    </format>
    <format dxfId="2288">
      <pivotArea dataOnly="0" labelOnly="1" outline="0" fieldPosition="0">
        <references count="3">
          <reference field="0" count="1" selected="0">
            <x v="206"/>
          </reference>
          <reference field="1" count="1" selected="0">
            <x v="42"/>
          </reference>
          <reference field="2" count="1">
            <x v="2"/>
          </reference>
        </references>
      </pivotArea>
    </format>
    <format dxfId="2287">
      <pivotArea dataOnly="0" labelOnly="1" outline="0" fieldPosition="0">
        <references count="3">
          <reference field="0" count="1" selected="0">
            <x v="207"/>
          </reference>
          <reference field="1" count="1" selected="0">
            <x v="47"/>
          </reference>
          <reference field="2" count="1">
            <x v="0"/>
          </reference>
        </references>
      </pivotArea>
    </format>
    <format dxfId="2286">
      <pivotArea dataOnly="0" labelOnly="1" outline="0" fieldPosition="0">
        <references count="3">
          <reference field="0" count="1" selected="0">
            <x v="208"/>
          </reference>
          <reference field="1" count="1" selected="0">
            <x v="16"/>
          </reference>
          <reference field="2" count="1">
            <x v="5"/>
          </reference>
        </references>
      </pivotArea>
    </format>
    <format dxfId="2285">
      <pivotArea dataOnly="0" labelOnly="1" outline="0" fieldPosition="0">
        <references count="3">
          <reference field="0" count="1" selected="0">
            <x v="209"/>
          </reference>
          <reference field="1" count="1" selected="0">
            <x v="39"/>
          </reference>
          <reference field="2" count="1">
            <x v="2"/>
          </reference>
        </references>
      </pivotArea>
    </format>
    <format dxfId="2284">
      <pivotArea dataOnly="0" labelOnly="1" outline="0" fieldPosition="0">
        <references count="3">
          <reference field="0" count="1" selected="0">
            <x v="210"/>
          </reference>
          <reference field="1" count="1" selected="0">
            <x v="1"/>
          </reference>
          <reference field="2" count="1">
            <x v="5"/>
          </reference>
        </references>
      </pivotArea>
    </format>
    <format dxfId="2283">
      <pivotArea dataOnly="0" labelOnly="1" outline="0" fieldPosition="0">
        <references count="3">
          <reference field="0" count="1" selected="0">
            <x v="211"/>
          </reference>
          <reference field="1" count="1" selected="0">
            <x v="4"/>
          </reference>
          <reference field="2" count="1">
            <x v="0"/>
          </reference>
        </references>
      </pivotArea>
    </format>
    <format dxfId="2282">
      <pivotArea dataOnly="0" labelOnly="1" outline="0" fieldPosition="0">
        <references count="3">
          <reference field="0" count="1" selected="0">
            <x v="212"/>
          </reference>
          <reference field="1" count="1" selected="0">
            <x v="13"/>
          </reference>
          <reference field="2" count="1">
            <x v="3"/>
          </reference>
        </references>
      </pivotArea>
    </format>
    <format dxfId="2281">
      <pivotArea dataOnly="0" labelOnly="1" outline="0" fieldPosition="0">
        <references count="3">
          <reference field="0" count="1" selected="0">
            <x v="213"/>
          </reference>
          <reference field="1" count="1" selected="0">
            <x v="19"/>
          </reference>
          <reference field="2" count="1">
            <x v="5"/>
          </reference>
        </references>
      </pivotArea>
    </format>
    <format dxfId="2280">
      <pivotArea dataOnly="0" labelOnly="1" outline="0" fieldPosition="0">
        <references count="3">
          <reference field="0" count="1" selected="0">
            <x v="216"/>
          </reference>
          <reference field="1" count="1" selected="0">
            <x v="57"/>
          </reference>
          <reference field="2" count="1">
            <x v="0"/>
          </reference>
        </references>
      </pivotArea>
    </format>
    <format dxfId="2279">
      <pivotArea dataOnly="0" labelOnly="1" outline="0" fieldPosition="0">
        <references count="3">
          <reference field="0" count="1" selected="0">
            <x v="217"/>
          </reference>
          <reference field="1" count="1" selected="0">
            <x v="59"/>
          </reference>
          <reference field="2" count="1">
            <x v="2"/>
          </reference>
        </references>
      </pivotArea>
    </format>
    <format dxfId="2278">
      <pivotArea dataOnly="0" labelOnly="1" outline="0" fieldPosition="0">
        <references count="3">
          <reference field="0" count="1" selected="0">
            <x v="220"/>
          </reference>
          <reference field="1" count="1" selected="0">
            <x v="53"/>
          </reference>
          <reference field="2" count="1">
            <x v="1"/>
          </reference>
        </references>
      </pivotArea>
    </format>
    <format dxfId="2277">
      <pivotArea dataOnly="0" labelOnly="1" outline="0" fieldPosition="0">
        <references count="3">
          <reference field="0" count="1" selected="0">
            <x v="221"/>
          </reference>
          <reference field="1" count="1" selected="0">
            <x v="12"/>
          </reference>
          <reference field="2" count="1">
            <x v="4"/>
          </reference>
        </references>
      </pivotArea>
    </format>
    <format dxfId="2276">
      <pivotArea dataOnly="0" labelOnly="1" outline="0" fieldPosition="0">
        <references count="3">
          <reference field="0" count="1" selected="0">
            <x v="222"/>
          </reference>
          <reference field="1" count="1" selected="0">
            <x v="36"/>
          </reference>
          <reference field="2" count="1">
            <x v="1"/>
          </reference>
        </references>
      </pivotArea>
    </format>
    <format dxfId="2275">
      <pivotArea dataOnly="0" labelOnly="1" outline="0" fieldPosition="0">
        <references count="3">
          <reference field="0" count="1" selected="0">
            <x v="223"/>
          </reference>
          <reference field="1" count="1" selected="0">
            <x v="15"/>
          </reference>
          <reference field="2" count="1">
            <x v="2"/>
          </reference>
        </references>
      </pivotArea>
    </format>
    <format dxfId="2274">
      <pivotArea dataOnly="0" labelOnly="1" outline="0" fieldPosition="0">
        <references count="3">
          <reference field="0" count="1" selected="0">
            <x v="225"/>
          </reference>
          <reference field="1" count="1" selected="0">
            <x v="26"/>
          </reference>
          <reference field="2" count="1">
            <x v="5"/>
          </reference>
        </references>
      </pivotArea>
    </format>
    <format dxfId="2273">
      <pivotArea dataOnly="0" labelOnly="1" outline="0" fieldPosition="0">
        <references count="3">
          <reference field="0" count="1" selected="0">
            <x v="226"/>
          </reference>
          <reference field="1" count="1" selected="0">
            <x v="42"/>
          </reference>
          <reference field="2" count="1">
            <x v="2"/>
          </reference>
        </references>
      </pivotArea>
    </format>
    <format dxfId="2272">
      <pivotArea dataOnly="0" labelOnly="1" outline="0" fieldPosition="0">
        <references count="3">
          <reference field="0" count="1" selected="0">
            <x v="227"/>
          </reference>
          <reference field="1" count="1" selected="0">
            <x v="52"/>
          </reference>
          <reference field="2" count="1">
            <x v="1"/>
          </reference>
        </references>
      </pivotArea>
    </format>
    <format dxfId="2271">
      <pivotArea dataOnly="0" labelOnly="1" outline="0" fieldPosition="0">
        <references count="3">
          <reference field="0" count="1" selected="0">
            <x v="228"/>
          </reference>
          <reference field="1" count="1" selected="0">
            <x v="54"/>
          </reference>
          <reference field="2" count="1">
            <x v="2"/>
          </reference>
        </references>
      </pivotArea>
    </format>
    <format dxfId="2270">
      <pivotArea dataOnly="0" labelOnly="1" outline="0" fieldPosition="0">
        <references count="3">
          <reference field="0" count="1" selected="0">
            <x v="229"/>
          </reference>
          <reference field="1" count="1" selected="0">
            <x v="53"/>
          </reference>
          <reference field="2" count="1">
            <x v="1"/>
          </reference>
        </references>
      </pivotArea>
    </format>
    <format dxfId="2269">
      <pivotArea dataOnly="0" labelOnly="1" outline="0" fieldPosition="0">
        <references count="3">
          <reference field="0" count="1" selected="0">
            <x v="230"/>
          </reference>
          <reference field="1" count="1" selected="0">
            <x v="21"/>
          </reference>
          <reference field="2" count="1">
            <x v="2"/>
          </reference>
        </references>
      </pivotArea>
    </format>
    <format dxfId="2268">
      <pivotArea dataOnly="0" labelOnly="1" outline="0" fieldPosition="0">
        <references count="3">
          <reference field="0" count="1" selected="0">
            <x v="231"/>
          </reference>
          <reference field="1" count="1" selected="0">
            <x v="52"/>
          </reference>
          <reference field="2" count="1">
            <x v="1"/>
          </reference>
        </references>
      </pivotArea>
    </format>
    <format dxfId="2267">
      <pivotArea dataOnly="0" labelOnly="1" outline="0" fieldPosition="0">
        <references count="3">
          <reference field="0" count="1" selected="0">
            <x v="232"/>
          </reference>
          <reference field="1" count="1" selected="0">
            <x v="47"/>
          </reference>
          <reference field="2" count="1">
            <x v="0"/>
          </reference>
        </references>
      </pivotArea>
    </format>
    <format dxfId="2266">
      <pivotArea dataOnly="0" labelOnly="1" outline="0" fieldPosition="0">
        <references count="3">
          <reference field="0" count="1" selected="0">
            <x v="233"/>
          </reference>
          <reference field="1" count="1" selected="0">
            <x v="33"/>
          </reference>
          <reference field="2" count="1">
            <x v="4"/>
          </reference>
        </references>
      </pivotArea>
    </format>
    <format dxfId="2265">
      <pivotArea dataOnly="0" labelOnly="1" outline="0" fieldPosition="0">
        <references count="3">
          <reference field="0" count="1" selected="0">
            <x v="234"/>
          </reference>
          <reference field="1" count="1" selected="0">
            <x v="34"/>
          </reference>
          <reference field="2" count="1">
            <x v="5"/>
          </reference>
        </references>
      </pivotArea>
    </format>
    <format dxfId="2264">
      <pivotArea dataOnly="0" labelOnly="1" outline="0" fieldPosition="0">
        <references count="3">
          <reference field="0" count="1" selected="0">
            <x v="236"/>
          </reference>
          <reference field="1" count="1" selected="0">
            <x v="7"/>
          </reference>
          <reference field="2" count="1">
            <x v="3"/>
          </reference>
        </references>
      </pivotArea>
    </format>
    <format dxfId="2263">
      <pivotArea dataOnly="0" labelOnly="1" outline="0" fieldPosition="0">
        <references count="3">
          <reference field="0" count="1" selected="0">
            <x v="237"/>
          </reference>
          <reference field="1" count="1" selected="0">
            <x v="55"/>
          </reference>
          <reference field="2" count="1">
            <x v="1"/>
          </reference>
        </references>
      </pivotArea>
    </format>
    <format dxfId="2262">
      <pivotArea dataOnly="0" labelOnly="1" outline="0" fieldPosition="0">
        <references count="3">
          <reference field="0" count="1" selected="0">
            <x v="238"/>
          </reference>
          <reference field="1" count="1" selected="0">
            <x v="9"/>
          </reference>
          <reference field="2" count="1">
            <x v="3"/>
          </reference>
        </references>
      </pivotArea>
    </format>
    <format dxfId="2261">
      <pivotArea dataOnly="0" labelOnly="1" outline="0" fieldPosition="0">
        <references count="3">
          <reference field="0" count="1" selected="0">
            <x v="239"/>
          </reference>
          <reference field="1" count="1" selected="0">
            <x v="3"/>
          </reference>
          <reference field="2" count="1">
            <x v="4"/>
          </reference>
        </references>
      </pivotArea>
    </format>
    <format dxfId="2260">
      <pivotArea dataOnly="0" labelOnly="1" outline="0" fieldPosition="0">
        <references count="3">
          <reference field="0" count="1" selected="0">
            <x v="240"/>
          </reference>
          <reference field="1" count="1" selected="0">
            <x v="27"/>
          </reference>
          <reference field="2" count="1">
            <x v="0"/>
          </reference>
        </references>
      </pivotArea>
    </format>
    <format dxfId="2259">
      <pivotArea dataOnly="0" labelOnly="1" outline="0" fieldPosition="0">
        <references count="3">
          <reference field="0" count="1" selected="0">
            <x v="241"/>
          </reference>
          <reference field="1" count="1" selected="0">
            <x v="58"/>
          </reference>
          <reference field="2" count="1">
            <x v="1"/>
          </reference>
        </references>
      </pivotArea>
    </format>
    <format dxfId="2258">
      <pivotArea dataOnly="0" labelOnly="1" outline="0" fieldPosition="0">
        <references count="3">
          <reference field="0" count="1" selected="0">
            <x v="242"/>
          </reference>
          <reference field="1" count="1" selected="0">
            <x v="12"/>
          </reference>
          <reference field="2" count="1">
            <x v="4"/>
          </reference>
        </references>
      </pivotArea>
    </format>
    <format dxfId="2257">
      <pivotArea dataOnly="0" labelOnly="1" outline="0" fieldPosition="0">
        <references count="3">
          <reference field="0" count="1" selected="0">
            <x v="243"/>
          </reference>
          <reference field="1" count="1" selected="0">
            <x v="19"/>
          </reference>
          <reference field="2" count="1">
            <x v="5"/>
          </reference>
        </references>
      </pivotArea>
    </format>
    <format dxfId="2256">
      <pivotArea dataOnly="0" labelOnly="1" outline="0" fieldPosition="0">
        <references count="3">
          <reference field="0" count="1" selected="0">
            <x v="245"/>
          </reference>
          <reference field="1" count="1" selected="0">
            <x v="40"/>
          </reference>
          <reference field="2" count="1">
            <x v="2"/>
          </reference>
        </references>
      </pivotArea>
    </format>
    <format dxfId="2255">
      <pivotArea dataOnly="0" labelOnly="1" outline="0" fieldPosition="0">
        <references count="3">
          <reference field="0" count="1" selected="0">
            <x v="246"/>
          </reference>
          <reference field="1" count="1" selected="0">
            <x v="37"/>
          </reference>
          <reference field="2" count="1">
            <x v="1"/>
          </reference>
        </references>
      </pivotArea>
    </format>
    <format dxfId="2254">
      <pivotArea dataOnly="0" labelOnly="1" outline="0" fieldPosition="0">
        <references count="3">
          <reference field="0" count="1" selected="0">
            <x v="247"/>
          </reference>
          <reference field="1" count="1" selected="0">
            <x v="40"/>
          </reference>
          <reference field="2" count="1">
            <x v="2"/>
          </reference>
        </references>
      </pivotArea>
    </format>
    <format dxfId="2253">
      <pivotArea dataOnly="0" labelOnly="1" outline="0" fieldPosition="0">
        <references count="3">
          <reference field="0" count="1" selected="0">
            <x v="249"/>
          </reference>
          <reference field="1" count="1" selected="0">
            <x v="43"/>
          </reference>
          <reference field="2" count="1">
            <x v="0"/>
          </reference>
        </references>
      </pivotArea>
    </format>
    <format dxfId="2252">
      <pivotArea dataOnly="0" labelOnly="1" outline="0" fieldPosition="0">
        <references count="3">
          <reference field="0" count="1" selected="0">
            <x v="250"/>
          </reference>
          <reference field="1" count="1" selected="0">
            <x v="39"/>
          </reference>
          <reference field="2" count="1">
            <x v="2"/>
          </reference>
        </references>
      </pivotArea>
    </format>
    <format dxfId="2251">
      <pivotArea dataOnly="0" labelOnly="1" outline="0" fieldPosition="0">
        <references count="3">
          <reference field="0" count="1" selected="0">
            <x v="251"/>
          </reference>
          <reference field="1" count="1" selected="0">
            <x v="35"/>
          </reference>
          <reference field="2" count="1">
            <x v="4"/>
          </reference>
        </references>
      </pivotArea>
    </format>
    <format dxfId="2250">
      <pivotArea dataOnly="0" labelOnly="1" outline="0" fieldPosition="0">
        <references count="3">
          <reference field="0" count="1" selected="0">
            <x v="253"/>
          </reference>
          <reference field="1" count="1" selected="0">
            <x v="28"/>
          </reference>
          <reference field="2" count="1">
            <x v="3"/>
          </reference>
        </references>
      </pivotArea>
    </format>
    <format dxfId="2249">
      <pivotArea dataOnly="0" labelOnly="1" outline="0" fieldPosition="0">
        <references count="3">
          <reference field="0" count="1" selected="0">
            <x v="254"/>
          </reference>
          <reference field="1" count="1" selected="0">
            <x v="48"/>
          </reference>
          <reference field="2" count="1">
            <x v="5"/>
          </reference>
        </references>
      </pivotArea>
    </format>
    <format dxfId="2248">
      <pivotArea dataOnly="0" labelOnly="1" outline="0" fieldPosition="0">
        <references count="3">
          <reference field="0" count="1" selected="0">
            <x v="255"/>
          </reference>
          <reference field="1" count="1" selected="0">
            <x v="20"/>
          </reference>
          <reference field="2" count="1">
            <x v="4"/>
          </reference>
        </references>
      </pivotArea>
    </format>
    <format dxfId="2247">
      <pivotArea dataOnly="0" labelOnly="1" outline="0" fieldPosition="0">
        <references count="3">
          <reference field="0" count="1" selected="0">
            <x v="256"/>
          </reference>
          <reference field="1" count="1" selected="0">
            <x v="24"/>
          </reference>
          <reference field="2" count="1">
            <x v="0"/>
          </reference>
        </references>
      </pivotArea>
    </format>
    <format dxfId="2246">
      <pivotArea dataOnly="0" labelOnly="1" outline="0" fieldPosition="0">
        <references count="3">
          <reference field="0" count="1" selected="0">
            <x v="257"/>
          </reference>
          <reference field="1" count="1" selected="0">
            <x v="8"/>
          </reference>
          <reference field="2" count="1">
            <x v="5"/>
          </reference>
        </references>
      </pivotArea>
    </format>
    <format dxfId="2245">
      <pivotArea dataOnly="0" labelOnly="1" outline="0" fieldPosition="0">
        <references count="3">
          <reference field="0" count="1" selected="0">
            <x v="258"/>
          </reference>
          <reference field="1" count="1" selected="0">
            <x v="52"/>
          </reference>
          <reference field="2" count="1">
            <x v="1"/>
          </reference>
        </references>
      </pivotArea>
    </format>
    <format dxfId="2244">
      <pivotArea dataOnly="0" labelOnly="1" outline="0" fieldPosition="0">
        <references count="3">
          <reference field="0" count="1" selected="0">
            <x v="259"/>
          </reference>
          <reference field="1" count="1" selected="0">
            <x v="54"/>
          </reference>
          <reference field="2" count="1">
            <x v="2"/>
          </reference>
        </references>
      </pivotArea>
    </format>
    <format dxfId="2243">
      <pivotArea dataOnly="0" labelOnly="1" outline="0" fieldPosition="0">
        <references count="3">
          <reference field="0" count="1" selected="0">
            <x v="260"/>
          </reference>
          <reference field="1" count="1" selected="0">
            <x v="8"/>
          </reference>
          <reference field="2" count="1">
            <x v="5"/>
          </reference>
        </references>
      </pivotArea>
    </format>
    <format dxfId="2242">
      <pivotArea dataOnly="0" labelOnly="1" outline="0" fieldPosition="0">
        <references count="3">
          <reference field="0" count="1" selected="0">
            <x v="261"/>
          </reference>
          <reference field="1" count="1" selected="0">
            <x v="11"/>
          </reference>
          <reference field="2" count="1">
            <x v="4"/>
          </reference>
        </references>
      </pivotArea>
    </format>
    <format dxfId="2241">
      <pivotArea dataOnly="0" labelOnly="1" outline="0" fieldPosition="0">
        <references count="3">
          <reference field="0" count="1" selected="0">
            <x v="262"/>
          </reference>
          <reference field="1" count="1" selected="0">
            <x v="51"/>
          </reference>
          <reference field="2" count="1">
            <x v="0"/>
          </reference>
        </references>
      </pivotArea>
    </format>
    <format dxfId="2240">
      <pivotArea dataOnly="0" labelOnly="1" outline="0" fieldPosition="0">
        <references count="3">
          <reference field="0" count="1" selected="0">
            <x v="263"/>
          </reference>
          <reference field="1" count="1" selected="0">
            <x v="50"/>
          </reference>
          <reference field="2" count="1">
            <x v="3"/>
          </reference>
        </references>
      </pivotArea>
    </format>
    <format dxfId="2239">
      <pivotArea dataOnly="0" labelOnly="1" outline="0" fieldPosition="0">
        <references count="3">
          <reference field="0" count="1" selected="0">
            <x v="264"/>
          </reference>
          <reference field="1" count="1" selected="0">
            <x v="36"/>
          </reference>
          <reference field="2" count="1">
            <x v="1"/>
          </reference>
        </references>
      </pivotArea>
    </format>
    <format dxfId="2238">
      <pivotArea dataOnly="0" labelOnly="1" outline="0" fieldPosition="0">
        <references count="3">
          <reference field="0" count="1" selected="0">
            <x v="265"/>
          </reference>
          <reference field="1" count="1" selected="0">
            <x v="18"/>
          </reference>
          <reference field="2" count="1">
            <x v="2"/>
          </reference>
        </references>
      </pivotArea>
    </format>
    <format dxfId="2237">
      <pivotArea dataOnly="0" labelOnly="1" outline="0" fieldPosition="0">
        <references count="3">
          <reference field="0" count="1" selected="0">
            <x v="266"/>
          </reference>
          <reference field="1" count="1" selected="0">
            <x v="49"/>
          </reference>
          <reference field="2" count="1">
            <x v="3"/>
          </reference>
        </references>
      </pivotArea>
    </format>
    <format dxfId="2236">
      <pivotArea dataOnly="0" labelOnly="1" outline="0" fieldPosition="0">
        <references count="3">
          <reference field="0" count="1" selected="0">
            <x v="267"/>
          </reference>
          <reference field="1" count="1" selected="0">
            <x v="32"/>
          </reference>
          <reference field="2" count="1">
            <x v="1"/>
          </reference>
        </references>
      </pivotArea>
    </format>
    <format dxfId="2235">
      <pivotArea dataOnly="0" labelOnly="1" outline="0" fieldPosition="0">
        <references count="3">
          <reference field="0" count="1" selected="0">
            <x v="268"/>
          </reference>
          <reference field="1" count="1" selected="0">
            <x v="18"/>
          </reference>
          <reference field="2" count="1">
            <x v="2"/>
          </reference>
        </references>
      </pivotArea>
    </format>
    <format dxfId="2234">
      <pivotArea dataOnly="0" labelOnly="1" outline="0" fieldPosition="0">
        <references count="3">
          <reference field="0" count="1" selected="0">
            <x v="269"/>
          </reference>
          <reference field="1" count="1" selected="0">
            <x v="26"/>
          </reference>
          <reference field="2" count="1">
            <x v="5"/>
          </reference>
        </references>
      </pivotArea>
    </format>
    <format dxfId="2233">
      <pivotArea dataOnly="0" labelOnly="1" outline="0" fieldPosition="0">
        <references count="3">
          <reference field="0" count="1" selected="0">
            <x v="270"/>
          </reference>
          <reference field="1" count="1" selected="0">
            <x v="5"/>
          </reference>
          <reference field="2" count="1">
            <x v="0"/>
          </reference>
        </references>
      </pivotArea>
    </format>
    <format dxfId="2232">
      <pivotArea dataOnly="0" labelOnly="1" outline="0" fieldPosition="0">
        <references count="3">
          <reference field="0" count="1" selected="0">
            <x v="271"/>
          </reference>
          <reference field="1" count="1" selected="0">
            <x v="30"/>
          </reference>
          <reference field="2" count="1">
            <x v="1"/>
          </reference>
        </references>
      </pivotArea>
    </format>
    <format dxfId="2231">
      <pivotArea dataOnly="0" labelOnly="1" outline="0" fieldPosition="0">
        <references count="3">
          <reference field="0" count="1" selected="0">
            <x v="272"/>
          </reference>
          <reference field="1" count="1" selected="0">
            <x v="40"/>
          </reference>
          <reference field="2" count="1">
            <x v="2"/>
          </reference>
        </references>
      </pivotArea>
    </format>
    <format dxfId="2230">
      <pivotArea dataOnly="0" labelOnly="1" outline="0" fieldPosition="0">
        <references count="3">
          <reference field="0" count="1" selected="0">
            <x v="274"/>
          </reference>
          <reference field="1" count="1" selected="0">
            <x v="32"/>
          </reference>
          <reference field="2" count="1">
            <x v="1"/>
          </reference>
        </references>
      </pivotArea>
    </format>
    <format dxfId="2229">
      <pivotArea dataOnly="0" labelOnly="1" outline="0" fieldPosition="0">
        <references count="3">
          <reference field="0" count="1" selected="0">
            <x v="275"/>
          </reference>
          <reference field="1" count="1" selected="0">
            <x v="47"/>
          </reference>
          <reference field="2" count="1">
            <x v="0"/>
          </reference>
        </references>
      </pivotArea>
    </format>
    <format dxfId="2228">
      <pivotArea dataOnly="0" labelOnly="1" outline="0" fieldPosition="0">
        <references count="3">
          <reference field="0" count="1" selected="0">
            <x v="276"/>
          </reference>
          <reference field="1" count="1" selected="0">
            <x v="58"/>
          </reference>
          <reference field="2" count="1">
            <x v="1"/>
          </reference>
        </references>
      </pivotArea>
    </format>
    <format dxfId="2227">
      <pivotArea dataOnly="0" labelOnly="1" outline="0" fieldPosition="0">
        <references count="3">
          <reference field="0" count="1" selected="0">
            <x v="277"/>
          </reference>
          <reference field="1" count="1" selected="0">
            <x v="9"/>
          </reference>
          <reference field="2" count="1">
            <x v="3"/>
          </reference>
        </references>
      </pivotArea>
    </format>
    <format dxfId="2226">
      <pivotArea dataOnly="0" labelOnly="1" outline="0" fieldPosition="0">
        <references count="3">
          <reference field="0" count="1" selected="0">
            <x v="278"/>
          </reference>
          <reference field="1" count="1" selected="0">
            <x v="12"/>
          </reference>
          <reference field="2" count="1">
            <x v="4"/>
          </reference>
        </references>
      </pivotArea>
    </format>
    <format dxfId="2225">
      <pivotArea dataOnly="0" labelOnly="1" outline="0" fieldPosition="0">
        <references count="3">
          <reference field="0" count="1" selected="0">
            <x v="279"/>
          </reference>
          <reference field="1" count="1" selected="0">
            <x v="28"/>
          </reference>
          <reference field="2" count="1">
            <x v="3"/>
          </reference>
        </references>
      </pivotArea>
    </format>
    <format dxfId="2224">
      <pivotArea dataOnly="0" labelOnly="1" outline="0" fieldPosition="0">
        <references count="3">
          <reference field="0" count="1" selected="0">
            <x v="280"/>
          </reference>
          <reference field="1" count="1" selected="0">
            <x v="39"/>
          </reference>
          <reference field="2" count="1">
            <x v="2"/>
          </reference>
        </references>
      </pivotArea>
    </format>
    <format dxfId="2223">
      <pivotArea dataOnly="0" labelOnly="1" outline="0" fieldPosition="0">
        <references count="3">
          <reference field="0" count="1" selected="0">
            <x v="281"/>
          </reference>
          <reference field="1" count="1" selected="0">
            <x v="51"/>
          </reference>
          <reference field="2" count="1">
            <x v="0"/>
          </reference>
        </references>
      </pivotArea>
    </format>
    <format dxfId="2222">
      <pivotArea dataOnly="0" labelOnly="1" outline="0" fieldPosition="0">
        <references count="3">
          <reference field="0" count="1" selected="0">
            <x v="282"/>
          </reference>
          <reference field="1" count="1" selected="0">
            <x v="1"/>
          </reference>
          <reference field="2" count="1">
            <x v="5"/>
          </reference>
        </references>
      </pivotArea>
    </format>
    <format dxfId="2221">
      <pivotArea dataOnly="0" labelOnly="1" outline="0" fieldPosition="0">
        <references count="3">
          <reference field="0" count="1" selected="0">
            <x v="283"/>
          </reference>
          <reference field="1" count="1" selected="0">
            <x v="18"/>
          </reference>
          <reference field="2" count="1">
            <x v="2"/>
          </reference>
        </references>
      </pivotArea>
    </format>
    <format dxfId="2220">
      <pivotArea dataOnly="0" labelOnly="1" outline="0" fieldPosition="0">
        <references count="3">
          <reference field="0" count="1" selected="0">
            <x v="284"/>
          </reference>
          <reference field="1" count="1" selected="0">
            <x v="34"/>
          </reference>
          <reference field="2" count="1">
            <x v="5"/>
          </reference>
        </references>
      </pivotArea>
    </format>
    <format dxfId="2219">
      <pivotArea dataOnly="0" labelOnly="1" outline="0" fieldPosition="0">
        <references count="3">
          <reference field="0" count="1" selected="0">
            <x v="285"/>
          </reference>
          <reference field="1" count="1" selected="0">
            <x v="58"/>
          </reference>
          <reference field="2" count="1">
            <x v="1"/>
          </reference>
        </references>
      </pivotArea>
    </format>
    <format dxfId="2218">
      <pivotArea dataOnly="0" labelOnly="1" outline="0" fieldPosition="0">
        <references count="3">
          <reference field="0" count="1" selected="0">
            <x v="286"/>
          </reference>
          <reference field="1" count="1" selected="0">
            <x v="47"/>
          </reference>
          <reference field="2" count="1">
            <x v="0"/>
          </reference>
        </references>
      </pivotArea>
    </format>
    <format dxfId="2217">
      <pivotArea dataOnly="0" labelOnly="1" outline="0" fieldPosition="0">
        <references count="3">
          <reference field="0" count="1" selected="0">
            <x v="288"/>
          </reference>
          <reference field="1" count="1" selected="0">
            <x v="46"/>
          </reference>
          <reference field="2" count="1">
            <x v="3"/>
          </reference>
        </references>
      </pivotArea>
    </format>
    <format dxfId="2216">
      <pivotArea dataOnly="0" labelOnly="1" outline="0" fieldPosition="0">
        <references count="3">
          <reference field="0" count="1" selected="0">
            <x v="289"/>
          </reference>
          <reference field="1" count="1" selected="0">
            <x v="53"/>
          </reference>
          <reference field="2" count="1">
            <x v="1"/>
          </reference>
        </references>
      </pivotArea>
    </format>
    <format dxfId="2215">
      <pivotArea dataOnly="0" labelOnly="1" outline="0" fieldPosition="0">
        <references count="3">
          <reference field="0" count="1" selected="0">
            <x v="290"/>
          </reference>
          <reference field="1" count="1" selected="0">
            <x v="41"/>
          </reference>
          <reference field="2" count="1">
            <x v="0"/>
          </reference>
        </references>
      </pivotArea>
    </format>
    <format dxfId="2214">
      <pivotArea dataOnly="0" labelOnly="1" outline="0" fieldPosition="0">
        <references count="3">
          <reference field="0" count="1" selected="0">
            <x v="291"/>
          </reference>
          <reference field="1" count="1" selected="0">
            <x v="3"/>
          </reference>
          <reference field="2" count="1">
            <x v="4"/>
          </reference>
        </references>
      </pivotArea>
    </format>
    <format dxfId="2213">
      <pivotArea dataOnly="0" labelOnly="1" outline="0" fieldPosition="0">
        <references count="3">
          <reference field="0" count="1" selected="0">
            <x v="293"/>
          </reference>
          <reference field="1" count="1" selected="0">
            <x v="25"/>
          </reference>
          <reference field="2" count="1">
            <x v="1"/>
          </reference>
        </references>
      </pivotArea>
    </format>
    <format dxfId="2212">
      <pivotArea dataOnly="0" labelOnly="1" outline="0" fieldPosition="0">
        <references count="3">
          <reference field="0" count="1" selected="0">
            <x v="294"/>
          </reference>
          <reference field="1" count="1" selected="0">
            <x v="14"/>
          </reference>
          <reference field="2" count="1">
            <x v="4"/>
          </reference>
        </references>
      </pivotArea>
    </format>
    <format dxfId="2211">
      <pivotArea dataOnly="0" labelOnly="1" outline="0" fieldPosition="0">
        <references count="3">
          <reference field="0" count="1" selected="0">
            <x v="295"/>
          </reference>
          <reference field="1" count="1" selected="0">
            <x v="5"/>
          </reference>
          <reference field="2" count="1">
            <x v="0"/>
          </reference>
        </references>
      </pivotArea>
    </format>
    <format dxfId="2210">
      <pivotArea dataOnly="0" labelOnly="1" outline="0" fieldPosition="0">
        <references count="3">
          <reference field="0" count="1" selected="0">
            <x v="296"/>
          </reference>
          <reference field="1" count="1" selected="0">
            <x v="28"/>
          </reference>
          <reference field="2" count="1">
            <x v="3"/>
          </reference>
        </references>
      </pivotArea>
    </format>
    <format dxfId="2209">
      <pivotArea dataOnly="0" labelOnly="1" outline="0" fieldPosition="0">
        <references count="3">
          <reference field="0" count="1" selected="0">
            <x v="297"/>
          </reference>
          <reference field="1" count="1" selected="0">
            <x v="20"/>
          </reference>
          <reference field="2" count="1">
            <x v="4"/>
          </reference>
        </references>
      </pivotArea>
    </format>
    <format dxfId="2208">
      <pivotArea dataOnly="0" labelOnly="1" outline="0" fieldPosition="0">
        <references count="3">
          <reference field="0" count="1" selected="0">
            <x v="298"/>
          </reference>
          <reference field="1" count="1" selected="0">
            <x v="42"/>
          </reference>
          <reference field="2" count="1">
            <x v="2"/>
          </reference>
        </references>
      </pivotArea>
    </format>
    <format dxfId="2207">
      <pivotArea dataOnly="0" labelOnly="1" outline="0" fieldPosition="0">
        <references count="4">
          <reference field="0" count="1" selected="0">
            <x v="0"/>
          </reference>
          <reference field="1" count="1" selected="0">
            <x v="0"/>
          </reference>
          <reference field="2" count="1" selected="0">
            <x v="0"/>
          </reference>
          <reference field="3" count="1">
            <x v="7"/>
          </reference>
        </references>
      </pivotArea>
    </format>
    <format dxfId="2206">
      <pivotArea dataOnly="0" labelOnly="1" outline="0" fieldPosition="0">
        <references count="4">
          <reference field="0" count="1" selected="0">
            <x v="1"/>
          </reference>
          <reference field="1" count="1" selected="0">
            <x v="58"/>
          </reference>
          <reference field="2" count="1" selected="0">
            <x v="1"/>
          </reference>
          <reference field="3" count="1">
            <x v="5"/>
          </reference>
        </references>
      </pivotArea>
    </format>
    <format dxfId="2205">
      <pivotArea dataOnly="0" labelOnly="1" outline="0" fieldPosition="0">
        <references count="4">
          <reference field="0" count="1" selected="0">
            <x v="2"/>
          </reference>
          <reference field="1" count="1" selected="0">
            <x v="35"/>
          </reference>
          <reference field="2" count="1" selected="0">
            <x v="4"/>
          </reference>
          <reference field="3" count="1">
            <x v="6"/>
          </reference>
        </references>
      </pivotArea>
    </format>
    <format dxfId="2204">
      <pivotArea dataOnly="0" labelOnly="1" outline="0" fieldPosition="0">
        <references count="4">
          <reference field="0" count="1" selected="0">
            <x v="3"/>
          </reference>
          <reference field="1" count="1" selected="0">
            <x v="33"/>
          </reference>
          <reference field="2" count="1" selected="0">
            <x v="4"/>
          </reference>
          <reference field="3" count="1">
            <x v="3"/>
          </reference>
        </references>
      </pivotArea>
    </format>
    <format dxfId="2203">
      <pivotArea dataOnly="0" labelOnly="1" outline="0" fieldPosition="0">
        <references count="4">
          <reference field="0" count="1" selected="0">
            <x v="5"/>
          </reference>
          <reference field="1" count="1" selected="0">
            <x v="36"/>
          </reference>
          <reference field="2" count="1" selected="0">
            <x v="1"/>
          </reference>
          <reference field="3" count="1">
            <x v="6"/>
          </reference>
        </references>
      </pivotArea>
    </format>
    <format dxfId="2202">
      <pivotArea dataOnly="0" labelOnly="1" outline="0" fieldPosition="0">
        <references count="4">
          <reference field="0" count="1" selected="0">
            <x v="6"/>
          </reference>
          <reference field="1" count="1" selected="0">
            <x v="23"/>
          </reference>
          <reference field="2" count="1" selected="0">
            <x v="2"/>
          </reference>
          <reference field="3" count="1">
            <x v="0"/>
          </reference>
        </references>
      </pivotArea>
    </format>
    <format dxfId="2201">
      <pivotArea dataOnly="0" labelOnly="1" outline="0" fieldPosition="0">
        <references count="4">
          <reference field="0" count="1" selected="0">
            <x v="7"/>
          </reference>
          <reference field="1" count="1" selected="0">
            <x v="16"/>
          </reference>
          <reference field="2" count="1" selected="0">
            <x v="5"/>
          </reference>
          <reference field="3" count="1">
            <x v="6"/>
          </reference>
        </references>
      </pivotArea>
    </format>
    <format dxfId="2200">
      <pivotArea dataOnly="0" labelOnly="1" outline="0" fieldPosition="0">
        <references count="4">
          <reference field="0" count="1" selected="0">
            <x v="8"/>
          </reference>
          <reference field="1" count="1" selected="0">
            <x v="9"/>
          </reference>
          <reference field="2" count="1" selected="0">
            <x v="3"/>
          </reference>
          <reference field="3" count="1">
            <x v="0"/>
          </reference>
        </references>
      </pivotArea>
    </format>
    <format dxfId="2199">
      <pivotArea dataOnly="0" labelOnly="1" outline="0" fieldPosition="0">
        <references count="4">
          <reference field="0" count="1" selected="0">
            <x v="9"/>
          </reference>
          <reference field="1" count="1" selected="0">
            <x v="50"/>
          </reference>
          <reference field="2" count="1" selected="0">
            <x v="3"/>
          </reference>
          <reference field="3" count="1">
            <x v="4"/>
          </reference>
        </references>
      </pivotArea>
    </format>
    <format dxfId="2198">
      <pivotArea dataOnly="0" labelOnly="1" outline="0" fieldPosition="0">
        <references count="4">
          <reference field="0" count="1" selected="0">
            <x v="11"/>
          </reference>
          <reference field="1" count="1" selected="0">
            <x v="27"/>
          </reference>
          <reference field="2" count="1" selected="0">
            <x v="0"/>
          </reference>
          <reference field="3" count="1">
            <x v="5"/>
          </reference>
        </references>
      </pivotArea>
    </format>
    <format dxfId="2197">
      <pivotArea dataOnly="0" labelOnly="1" outline="0" fieldPosition="0">
        <references count="4">
          <reference field="0" count="1" selected="0">
            <x v="13"/>
          </reference>
          <reference field="1" count="1" selected="0">
            <x v="37"/>
          </reference>
          <reference field="2" count="1" selected="0">
            <x v="1"/>
          </reference>
          <reference field="3" count="1">
            <x v="3"/>
          </reference>
        </references>
      </pivotArea>
    </format>
    <format dxfId="2196">
      <pivotArea dataOnly="0" labelOnly="1" outline="0" fieldPosition="0">
        <references count="4">
          <reference field="0" count="1" selected="0">
            <x v="14"/>
          </reference>
          <reference field="1" count="1" selected="0">
            <x v="15"/>
          </reference>
          <reference field="2" count="1" selected="0">
            <x v="2"/>
          </reference>
          <reference field="3" count="1">
            <x v="5"/>
          </reference>
        </references>
      </pivotArea>
    </format>
    <format dxfId="2195">
      <pivotArea dataOnly="0" labelOnly="1" outline="0" fieldPosition="0">
        <references count="4">
          <reference field="0" count="1" selected="0">
            <x v="15"/>
          </reference>
          <reference field="1" count="1" selected="0">
            <x v="9"/>
          </reference>
          <reference field="2" count="1" selected="0">
            <x v="3"/>
          </reference>
          <reference field="3" count="1">
            <x v="1"/>
          </reference>
        </references>
      </pivotArea>
    </format>
    <format dxfId="2194">
      <pivotArea dataOnly="0" labelOnly="1" outline="0" fieldPosition="0">
        <references count="4">
          <reference field="0" count="1" selected="0">
            <x v="16"/>
          </reference>
          <reference field="1" count="1" selected="0">
            <x v="3"/>
          </reference>
          <reference field="2" count="1" selected="0">
            <x v="4"/>
          </reference>
          <reference field="3" count="1">
            <x v="4"/>
          </reference>
        </references>
      </pivotArea>
    </format>
    <format dxfId="2193">
      <pivotArea dataOnly="0" labelOnly="1" outline="0" fieldPosition="0">
        <references count="4">
          <reference field="0" count="1" selected="0">
            <x v="17"/>
          </reference>
          <reference field="1" count="1" selected="0">
            <x v="58"/>
          </reference>
          <reference field="2" count="1" selected="0">
            <x v="1"/>
          </reference>
          <reference field="3" count="1">
            <x v="2"/>
          </reference>
        </references>
      </pivotArea>
    </format>
    <format dxfId="2192">
      <pivotArea dataOnly="0" labelOnly="1" outline="0" fieldPosition="0">
        <references count="4">
          <reference field="0" count="1" selected="0">
            <x v="18"/>
          </reference>
          <reference field="1" count="1" selected="0">
            <x v="40"/>
          </reference>
          <reference field="2" count="1" selected="0">
            <x v="2"/>
          </reference>
          <reference field="3" count="1">
            <x v="4"/>
          </reference>
        </references>
      </pivotArea>
    </format>
    <format dxfId="2191">
      <pivotArea dataOnly="0" labelOnly="1" outline="0" fieldPosition="0">
        <references count="4">
          <reference field="0" count="1" selected="0">
            <x v="19"/>
          </reference>
          <reference field="1" count="1" selected="0">
            <x v="12"/>
          </reference>
          <reference field="2" count="1" selected="0">
            <x v="4"/>
          </reference>
          <reference field="3" count="1">
            <x v="7"/>
          </reference>
        </references>
      </pivotArea>
    </format>
    <format dxfId="2190">
      <pivotArea dataOnly="0" labelOnly="1" outline="0" fieldPosition="0">
        <references count="4">
          <reference field="0" count="1" selected="0">
            <x v="20"/>
          </reference>
          <reference field="1" count="1" selected="0">
            <x v="17"/>
          </reference>
          <reference field="2" count="1" selected="0">
            <x v="4"/>
          </reference>
          <reference field="3" count="1">
            <x v="1"/>
          </reference>
        </references>
      </pivotArea>
    </format>
    <format dxfId="2189">
      <pivotArea dataOnly="0" labelOnly="1" outline="0" fieldPosition="0">
        <references count="4">
          <reference field="0" count="1" selected="0">
            <x v="21"/>
          </reference>
          <reference field="1" count="1" selected="0">
            <x v="4"/>
          </reference>
          <reference field="2" count="1" selected="0">
            <x v="0"/>
          </reference>
          <reference field="3" count="1">
            <x v="7"/>
          </reference>
        </references>
      </pivotArea>
    </format>
    <format dxfId="2188">
      <pivotArea dataOnly="0" labelOnly="1" outline="0" fieldPosition="0">
        <references count="4">
          <reference field="0" count="1" selected="0">
            <x v="23"/>
          </reference>
          <reference field="1" count="1" selected="0">
            <x v="31"/>
          </reference>
          <reference field="2" count="1" selected="0">
            <x v="3"/>
          </reference>
          <reference field="3" count="1">
            <x v="6"/>
          </reference>
        </references>
      </pivotArea>
    </format>
    <format dxfId="2187">
      <pivotArea dataOnly="0" labelOnly="1" outline="0" fieldPosition="0">
        <references count="4">
          <reference field="0" count="1" selected="0">
            <x v="24"/>
          </reference>
          <reference field="1" count="1" selected="0">
            <x v="21"/>
          </reference>
          <reference field="2" count="1" selected="0">
            <x v="2"/>
          </reference>
          <reference field="3" count="1">
            <x v="0"/>
          </reference>
        </references>
      </pivotArea>
    </format>
    <format dxfId="2186">
      <pivotArea dataOnly="0" labelOnly="1" outline="0" fieldPosition="0">
        <references count="4">
          <reference field="0" count="1" selected="0">
            <x v="25"/>
          </reference>
          <reference field="1" count="1" selected="0">
            <x v="23"/>
          </reference>
          <reference field="2" count="1" selected="0">
            <x v="2"/>
          </reference>
          <reference field="3" count="1">
            <x v="7"/>
          </reference>
        </references>
      </pivotArea>
    </format>
    <format dxfId="2185">
      <pivotArea dataOnly="0" labelOnly="1" outline="0" fieldPosition="0">
        <references count="4">
          <reference field="0" count="1" selected="0">
            <x v="26"/>
          </reference>
          <reference field="1" count="1" selected="0">
            <x v="9"/>
          </reference>
          <reference field="2" count="1" selected="0">
            <x v="3"/>
          </reference>
          <reference field="3" count="1">
            <x v="1"/>
          </reference>
        </references>
      </pivotArea>
    </format>
    <format dxfId="2184">
      <pivotArea dataOnly="0" labelOnly="1" outline="0" fieldPosition="0">
        <references count="4">
          <reference field="0" count="1" selected="0">
            <x v="27"/>
          </reference>
          <reference field="1" count="1" selected="0">
            <x v="22"/>
          </reference>
          <reference field="2" count="1" selected="0">
            <x v="2"/>
          </reference>
          <reference field="3" count="1">
            <x v="5"/>
          </reference>
        </references>
      </pivotArea>
    </format>
    <format dxfId="2183">
      <pivotArea dataOnly="0" labelOnly="1" outline="0" fieldPosition="0">
        <references count="4">
          <reference field="0" count="1" selected="0">
            <x v="28"/>
          </reference>
          <reference field="1" count="1" selected="0">
            <x v="19"/>
          </reference>
          <reference field="2" count="1" selected="0">
            <x v="5"/>
          </reference>
          <reference field="3" count="1">
            <x v="0"/>
          </reference>
        </references>
      </pivotArea>
    </format>
    <format dxfId="2182">
      <pivotArea dataOnly="0" labelOnly="1" outline="0" fieldPosition="0">
        <references count="4">
          <reference field="0" count="1" selected="0">
            <x v="29"/>
          </reference>
          <reference field="1" count="1" selected="0">
            <x v="4"/>
          </reference>
          <reference field="2" count="1" selected="0">
            <x v="0"/>
          </reference>
          <reference field="3" count="1">
            <x v="6"/>
          </reference>
        </references>
      </pivotArea>
    </format>
    <format dxfId="2181">
      <pivotArea dataOnly="0" labelOnly="1" outline="0" fieldPosition="0">
        <references count="4">
          <reference field="0" count="1" selected="0">
            <x v="30"/>
          </reference>
          <reference field="1" count="1" selected="0">
            <x v="23"/>
          </reference>
          <reference field="2" count="1" selected="0">
            <x v="2"/>
          </reference>
          <reference field="3" count="1">
            <x v="3"/>
          </reference>
        </references>
      </pivotArea>
    </format>
    <format dxfId="2180">
      <pivotArea dataOnly="0" labelOnly="1" outline="0" fieldPosition="0">
        <references count="4">
          <reference field="0" count="1" selected="0">
            <x v="31"/>
          </reference>
          <reference field="1" count="1" selected="0">
            <x v="34"/>
          </reference>
          <reference field="2" count="1" selected="0">
            <x v="5"/>
          </reference>
          <reference field="3" count="1">
            <x v="7"/>
          </reference>
        </references>
      </pivotArea>
    </format>
    <format dxfId="2179">
      <pivotArea dataOnly="0" labelOnly="1" outline="0" fieldPosition="0">
        <references count="4">
          <reference field="0" count="1" selected="0">
            <x v="32"/>
          </reference>
          <reference field="1" count="1" selected="0">
            <x v="53"/>
          </reference>
          <reference field="2" count="1" selected="0">
            <x v="1"/>
          </reference>
          <reference field="3" count="1">
            <x v="0"/>
          </reference>
        </references>
      </pivotArea>
    </format>
    <format dxfId="2178">
      <pivotArea dataOnly="0" labelOnly="1" outline="0" fieldPosition="0">
        <references count="4">
          <reference field="0" count="1" selected="0">
            <x v="33"/>
          </reference>
          <reference field="1" count="1" selected="0">
            <x v="45"/>
          </reference>
          <reference field="2" count="1" selected="0">
            <x v="5"/>
          </reference>
          <reference field="3" count="1">
            <x v="2"/>
          </reference>
        </references>
      </pivotArea>
    </format>
    <format dxfId="2177">
      <pivotArea dataOnly="0" labelOnly="1" outline="0" fieldPosition="0">
        <references count="4">
          <reference field="0" count="1" selected="0">
            <x v="34"/>
          </reference>
          <reference field="1" count="1" selected="0">
            <x v="49"/>
          </reference>
          <reference field="2" count="1" selected="0">
            <x v="3"/>
          </reference>
          <reference field="3" count="1">
            <x v="7"/>
          </reference>
        </references>
      </pivotArea>
    </format>
    <format dxfId="2176">
      <pivotArea dataOnly="0" labelOnly="1" outline="0" fieldPosition="0">
        <references count="4">
          <reference field="0" count="1" selected="0">
            <x v="35"/>
          </reference>
          <reference field="1" count="1" selected="0">
            <x v="0"/>
          </reference>
          <reference field="2" count="1" selected="0">
            <x v="0"/>
          </reference>
          <reference field="3" count="1">
            <x v="1"/>
          </reference>
        </references>
      </pivotArea>
    </format>
    <format dxfId="2175">
      <pivotArea dataOnly="0" labelOnly="1" outline="0" fieldPosition="0">
        <references count="4">
          <reference field="0" count="1" selected="0">
            <x v="36"/>
          </reference>
          <reference field="1" count="1" selected="0">
            <x v="6"/>
          </reference>
          <reference field="2" count="1" selected="0">
            <x v="3"/>
          </reference>
          <reference field="3" count="1">
            <x v="2"/>
          </reference>
        </references>
      </pivotArea>
    </format>
    <format dxfId="2174">
      <pivotArea dataOnly="0" labelOnly="1" outline="0" fieldPosition="0">
        <references count="4">
          <reference field="0" count="1" selected="0">
            <x v="37"/>
          </reference>
          <reference field="1" count="1" selected="0">
            <x v="4"/>
          </reference>
          <reference field="2" count="1" selected="0">
            <x v="0"/>
          </reference>
          <reference field="3" count="1">
            <x v="3"/>
          </reference>
        </references>
      </pivotArea>
    </format>
    <format dxfId="2173">
      <pivotArea dataOnly="0" labelOnly="1" outline="0" fieldPosition="0">
        <references count="4">
          <reference field="0" count="1" selected="0">
            <x v="38"/>
          </reference>
          <reference field="1" count="1" selected="0">
            <x v="35"/>
          </reference>
          <reference field="2" count="1" selected="0">
            <x v="4"/>
          </reference>
          <reference field="3" count="1">
            <x v="5"/>
          </reference>
        </references>
      </pivotArea>
    </format>
    <format dxfId="2172">
      <pivotArea dataOnly="0" labelOnly="1" outline="0" fieldPosition="0">
        <references count="4">
          <reference field="0" count="1" selected="0">
            <x v="39"/>
          </reference>
          <reference field="1" count="1" selected="0">
            <x v="41"/>
          </reference>
          <reference field="2" count="1" selected="0">
            <x v="0"/>
          </reference>
          <reference field="3" count="1">
            <x v="3"/>
          </reference>
        </references>
      </pivotArea>
    </format>
    <format dxfId="2171">
      <pivotArea dataOnly="0" labelOnly="1" outline="0" fieldPosition="0">
        <references count="4">
          <reference field="0" count="1" selected="0">
            <x v="41"/>
          </reference>
          <reference field="1" count="1" selected="0">
            <x v="22"/>
          </reference>
          <reference field="2" count="1" selected="0">
            <x v="2"/>
          </reference>
          <reference field="3" count="1">
            <x v="6"/>
          </reference>
        </references>
      </pivotArea>
    </format>
    <format dxfId="2170">
      <pivotArea dataOnly="0" labelOnly="1" outline="0" fieldPosition="0">
        <references count="4">
          <reference field="0" count="1" selected="0">
            <x v="42"/>
          </reference>
          <reference field="1" count="1" selected="0">
            <x v="12"/>
          </reference>
          <reference field="2" count="1" selected="0">
            <x v="4"/>
          </reference>
          <reference field="3" count="1">
            <x v="4"/>
          </reference>
        </references>
      </pivotArea>
    </format>
    <format dxfId="2169">
      <pivotArea dataOnly="0" labelOnly="1" outline="0" fieldPosition="0">
        <references count="4">
          <reference field="0" count="1" selected="0">
            <x v="43"/>
          </reference>
          <reference field="1" count="1" selected="0">
            <x v="30"/>
          </reference>
          <reference field="2" count="1" selected="0">
            <x v="1"/>
          </reference>
          <reference field="3" count="1">
            <x v="6"/>
          </reference>
        </references>
      </pivotArea>
    </format>
    <format dxfId="2168">
      <pivotArea dataOnly="0" labelOnly="1" outline="0" fieldPosition="0">
        <references count="4">
          <reference field="0" count="1" selected="0">
            <x v="44"/>
          </reference>
          <reference field="1" count="1" selected="0">
            <x v="14"/>
          </reference>
          <reference field="2" count="1" selected="0">
            <x v="4"/>
          </reference>
          <reference field="3" count="1">
            <x v="2"/>
          </reference>
        </references>
      </pivotArea>
    </format>
    <format dxfId="2167">
      <pivotArea dataOnly="0" labelOnly="1" outline="0" fieldPosition="0">
        <references count="4">
          <reference field="0" count="1" selected="0">
            <x v="45"/>
          </reference>
          <reference field="1" count="1" selected="0">
            <x v="50"/>
          </reference>
          <reference field="2" count="1" selected="0">
            <x v="3"/>
          </reference>
          <reference field="3" count="1">
            <x v="4"/>
          </reference>
        </references>
      </pivotArea>
    </format>
    <format dxfId="2166">
      <pivotArea dataOnly="0" labelOnly="1" outline="0" fieldPosition="0">
        <references count="4">
          <reference field="0" count="1" selected="0">
            <x v="48"/>
          </reference>
          <reference field="1" count="1" selected="0">
            <x v="31"/>
          </reference>
          <reference field="2" count="1" selected="0">
            <x v="3"/>
          </reference>
          <reference field="3" count="1">
            <x v="1"/>
          </reference>
        </references>
      </pivotArea>
    </format>
    <format dxfId="2165">
      <pivotArea dataOnly="0" labelOnly="1" outline="0" fieldPosition="0">
        <references count="4">
          <reference field="0" count="1" selected="0">
            <x v="49"/>
          </reference>
          <reference field="1" count="1" selected="0">
            <x v="14"/>
          </reference>
          <reference field="2" count="1" selected="0">
            <x v="4"/>
          </reference>
          <reference field="3" count="1">
            <x v="7"/>
          </reference>
        </references>
      </pivotArea>
    </format>
    <format dxfId="2164">
      <pivotArea dataOnly="0" labelOnly="1" outline="0" fieldPosition="0">
        <references count="4">
          <reference field="0" count="1" selected="0">
            <x v="50"/>
          </reference>
          <reference field="1" count="1" selected="0">
            <x v="23"/>
          </reference>
          <reference field="2" count="1" selected="0">
            <x v="2"/>
          </reference>
          <reference field="3" count="1">
            <x v="4"/>
          </reference>
        </references>
      </pivotArea>
    </format>
    <format dxfId="2163">
      <pivotArea dataOnly="0" labelOnly="1" outline="0" fieldPosition="0">
        <references count="4">
          <reference field="0" count="1" selected="0">
            <x v="51"/>
          </reference>
          <reference field="1" count="1" selected="0">
            <x v="17"/>
          </reference>
          <reference field="2" count="1" selected="0">
            <x v="4"/>
          </reference>
          <reference field="3" count="1">
            <x v="7"/>
          </reference>
        </references>
      </pivotArea>
    </format>
    <format dxfId="2162">
      <pivotArea dataOnly="0" labelOnly="1" outline="0" fieldPosition="0">
        <references count="4">
          <reference field="0" count="1" selected="0">
            <x v="52"/>
          </reference>
          <reference field="1" count="1" selected="0">
            <x v="16"/>
          </reference>
          <reference field="2" count="1" selected="0">
            <x v="5"/>
          </reference>
          <reference field="3" count="1">
            <x v="3"/>
          </reference>
        </references>
      </pivotArea>
    </format>
    <format dxfId="2161">
      <pivotArea dataOnly="0" labelOnly="1" outline="0" fieldPosition="0">
        <references count="4">
          <reference field="0" count="1" selected="0">
            <x v="53"/>
          </reference>
          <reference field="1" count="1" selected="0">
            <x v="10"/>
          </reference>
          <reference field="2" count="1" selected="0">
            <x v="4"/>
          </reference>
          <reference field="3" count="1">
            <x v="7"/>
          </reference>
        </references>
      </pivotArea>
    </format>
    <format dxfId="2160">
      <pivotArea dataOnly="0" labelOnly="1" outline="0" fieldPosition="0">
        <references count="4">
          <reference field="0" count="1" selected="0">
            <x v="54"/>
          </reference>
          <reference field="1" count="1" selected="0">
            <x v="40"/>
          </reference>
          <reference field="2" count="1" selected="0">
            <x v="2"/>
          </reference>
          <reference field="3" count="1">
            <x v="2"/>
          </reference>
        </references>
      </pivotArea>
    </format>
    <format dxfId="2159">
      <pivotArea dataOnly="0" labelOnly="1" outline="0" fieldPosition="0">
        <references count="4">
          <reference field="0" count="1" selected="0">
            <x v="55"/>
          </reference>
          <reference field="1" count="1" selected="0">
            <x v="13"/>
          </reference>
          <reference field="2" count="1" selected="0">
            <x v="3"/>
          </reference>
          <reference field="3" count="1">
            <x v="5"/>
          </reference>
        </references>
      </pivotArea>
    </format>
    <format dxfId="2158">
      <pivotArea dataOnly="0" labelOnly="1" outline="0" fieldPosition="0">
        <references count="4">
          <reference field="0" count="1" selected="0">
            <x v="56"/>
          </reference>
          <reference field="1" count="1" selected="0">
            <x v="37"/>
          </reference>
          <reference field="2" count="1" selected="0">
            <x v="1"/>
          </reference>
          <reference field="3" count="1">
            <x v="2"/>
          </reference>
        </references>
      </pivotArea>
    </format>
    <format dxfId="2157">
      <pivotArea dataOnly="0" labelOnly="1" outline="0" fieldPosition="0">
        <references count="4">
          <reference field="0" count="1" selected="0">
            <x v="57"/>
          </reference>
          <reference field="1" count="1" selected="0">
            <x v="48"/>
          </reference>
          <reference field="2" count="1" selected="0">
            <x v="5"/>
          </reference>
          <reference field="3" count="1">
            <x v="1"/>
          </reference>
        </references>
      </pivotArea>
    </format>
    <format dxfId="2156">
      <pivotArea dataOnly="0" labelOnly="1" outline="0" fieldPosition="0">
        <references count="4">
          <reference field="0" count="1" selected="0">
            <x v="58"/>
          </reference>
          <reference field="1" count="1" selected="0">
            <x v="44"/>
          </reference>
          <reference field="2" count="1" selected="0">
            <x v="5"/>
          </reference>
          <reference field="3" count="1">
            <x v="0"/>
          </reference>
        </references>
      </pivotArea>
    </format>
    <format dxfId="2155">
      <pivotArea dataOnly="0" labelOnly="1" outline="0" fieldPosition="0">
        <references count="4">
          <reference field="0" count="1" selected="0">
            <x v="59"/>
          </reference>
          <reference field="1" count="1" selected="0">
            <x v="24"/>
          </reference>
          <reference field="2" count="1" selected="0">
            <x v="0"/>
          </reference>
          <reference field="3" count="1">
            <x v="6"/>
          </reference>
        </references>
      </pivotArea>
    </format>
    <format dxfId="2154">
      <pivotArea dataOnly="0" labelOnly="1" outline="0" fieldPosition="0">
        <references count="4">
          <reference field="0" count="1" selected="0">
            <x v="60"/>
          </reference>
          <reference field="1" count="1" selected="0">
            <x v="34"/>
          </reference>
          <reference field="2" count="1" selected="0">
            <x v="5"/>
          </reference>
          <reference field="3" count="1">
            <x v="4"/>
          </reference>
        </references>
      </pivotArea>
    </format>
    <format dxfId="2153">
      <pivotArea dataOnly="0" labelOnly="1" outline="0" fieldPosition="0">
        <references count="4">
          <reference field="0" count="1" selected="0">
            <x v="61"/>
          </reference>
          <reference field="1" count="1" selected="0">
            <x v="59"/>
          </reference>
          <reference field="2" count="1" selected="0">
            <x v="2"/>
          </reference>
          <reference field="3" count="1">
            <x v="2"/>
          </reference>
        </references>
      </pivotArea>
    </format>
    <format dxfId="2152">
      <pivotArea dataOnly="0" labelOnly="1" outline="0" fieldPosition="0">
        <references count="4">
          <reference field="0" count="1" selected="0">
            <x v="62"/>
          </reference>
          <reference field="1" count="1" selected="0">
            <x v="10"/>
          </reference>
          <reference field="2" count="1" selected="0">
            <x v="4"/>
          </reference>
          <reference field="3" count="1">
            <x v="5"/>
          </reference>
        </references>
      </pivotArea>
    </format>
    <format dxfId="2151">
      <pivotArea dataOnly="0" labelOnly="1" outline="0" fieldPosition="0">
        <references count="4">
          <reference field="0" count="1" selected="0">
            <x v="63"/>
          </reference>
          <reference field="1" count="1" selected="0">
            <x v="16"/>
          </reference>
          <reference field="2" count="1" selected="0">
            <x v="5"/>
          </reference>
          <reference field="3" count="1">
            <x v="3"/>
          </reference>
        </references>
      </pivotArea>
    </format>
    <format dxfId="2150">
      <pivotArea dataOnly="0" labelOnly="1" outline="0" fieldPosition="0">
        <references count="4">
          <reference field="0" count="1" selected="0">
            <x v="64"/>
          </reference>
          <reference field="1" count="1" selected="0">
            <x v="4"/>
          </reference>
          <reference field="2" count="1" selected="0">
            <x v="0"/>
          </reference>
          <reference field="3" count="1">
            <x v="0"/>
          </reference>
        </references>
      </pivotArea>
    </format>
    <format dxfId="2149">
      <pivotArea dataOnly="0" labelOnly="1" outline="0" fieldPosition="0">
        <references count="4">
          <reference field="0" count="1" selected="0">
            <x v="65"/>
          </reference>
          <reference field="1" count="1" selected="0">
            <x v="9"/>
          </reference>
          <reference field="2" count="1" selected="0">
            <x v="3"/>
          </reference>
          <reference field="3" count="1">
            <x v="2"/>
          </reference>
        </references>
      </pivotArea>
    </format>
    <format dxfId="2148">
      <pivotArea dataOnly="0" labelOnly="1" outline="0" fieldPosition="0">
        <references count="4">
          <reference field="0" count="1" selected="0">
            <x v="66"/>
          </reference>
          <reference field="1" count="1" selected="0">
            <x v="43"/>
          </reference>
          <reference field="2" count="1" selected="0">
            <x v="0"/>
          </reference>
          <reference field="3" count="1">
            <x v="4"/>
          </reference>
        </references>
      </pivotArea>
    </format>
    <format dxfId="2147">
      <pivotArea dataOnly="0" labelOnly="1" outline="0" fieldPosition="0">
        <references count="4">
          <reference field="0" count="1" selected="0">
            <x v="67"/>
          </reference>
          <reference field="1" count="1" selected="0">
            <x v="44"/>
          </reference>
          <reference field="2" count="1" selected="0">
            <x v="5"/>
          </reference>
          <reference field="3" count="1">
            <x v="5"/>
          </reference>
        </references>
      </pivotArea>
    </format>
    <format dxfId="2146">
      <pivotArea dataOnly="0" labelOnly="1" outline="0" fieldPosition="0">
        <references count="4">
          <reference field="0" count="1" selected="0">
            <x v="68"/>
          </reference>
          <reference field="1" count="1" selected="0">
            <x v="1"/>
          </reference>
          <reference field="2" count="1" selected="0">
            <x v="5"/>
          </reference>
          <reference field="3" count="1">
            <x v="2"/>
          </reference>
        </references>
      </pivotArea>
    </format>
    <format dxfId="2145">
      <pivotArea dataOnly="0" labelOnly="1" outline="0" fieldPosition="0">
        <references count="4">
          <reference field="0" count="1" selected="0">
            <x v="69"/>
          </reference>
          <reference field="1" count="1" selected="0">
            <x v="20"/>
          </reference>
          <reference field="2" count="1" selected="0">
            <x v="4"/>
          </reference>
          <reference field="3" count="1">
            <x v="1"/>
          </reference>
        </references>
      </pivotArea>
    </format>
    <format dxfId="2144">
      <pivotArea dataOnly="0" labelOnly="1" outline="0" fieldPosition="0">
        <references count="4">
          <reference field="0" count="1" selected="0">
            <x v="70"/>
          </reference>
          <reference field="1" count="1" selected="0">
            <x v="1"/>
          </reference>
          <reference field="2" count="1" selected="0">
            <x v="5"/>
          </reference>
          <reference field="3" count="1">
            <x v="0"/>
          </reference>
        </references>
      </pivotArea>
    </format>
    <format dxfId="2143">
      <pivotArea dataOnly="0" labelOnly="1" outline="0" fieldPosition="0">
        <references count="4">
          <reference field="0" count="1" selected="0">
            <x v="71"/>
          </reference>
          <reference field="1" count="1" selected="0">
            <x v="30"/>
          </reference>
          <reference field="2" count="1" selected="0">
            <x v="1"/>
          </reference>
          <reference field="3" count="1">
            <x v="6"/>
          </reference>
        </references>
      </pivotArea>
    </format>
    <format dxfId="2142">
      <pivotArea dataOnly="0" labelOnly="1" outline="0" fieldPosition="0">
        <references count="4">
          <reference field="0" count="1" selected="0">
            <x v="72"/>
          </reference>
          <reference field="1" count="1" selected="0">
            <x v="33"/>
          </reference>
          <reference field="2" count="1" selected="0">
            <x v="4"/>
          </reference>
          <reference field="3" count="1">
            <x v="2"/>
          </reference>
        </references>
      </pivotArea>
    </format>
    <format dxfId="2141">
      <pivotArea dataOnly="0" labelOnly="1" outline="0" fieldPosition="0">
        <references count="4">
          <reference field="0" count="1" selected="0">
            <x v="73"/>
          </reference>
          <reference field="1" count="1" selected="0">
            <x v="44"/>
          </reference>
          <reference field="2" count="1" selected="0">
            <x v="5"/>
          </reference>
          <reference field="3" count="1">
            <x v="5"/>
          </reference>
        </references>
      </pivotArea>
    </format>
    <format dxfId="2140">
      <pivotArea dataOnly="0" labelOnly="1" outline="0" fieldPosition="0">
        <references count="4">
          <reference field="0" count="1" selected="0">
            <x v="74"/>
          </reference>
          <reference field="1" count="1" selected="0">
            <x v="59"/>
          </reference>
          <reference field="2" count="1" selected="0">
            <x v="2"/>
          </reference>
          <reference field="3" count="1">
            <x v="1"/>
          </reference>
        </references>
      </pivotArea>
    </format>
    <format dxfId="2139">
      <pivotArea dataOnly="0" labelOnly="1" outline="0" fieldPosition="0">
        <references count="4">
          <reference field="0" count="1" selected="0">
            <x v="75"/>
          </reference>
          <reference field="1" count="1" selected="0">
            <x v="5"/>
          </reference>
          <reference field="2" count="1" selected="0">
            <x v="0"/>
          </reference>
          <reference field="3" count="1">
            <x v="7"/>
          </reference>
        </references>
      </pivotArea>
    </format>
    <format dxfId="2138">
      <pivotArea dataOnly="0" labelOnly="1" outline="0" fieldPosition="0">
        <references count="4">
          <reference field="0" count="1" selected="0">
            <x v="76"/>
          </reference>
          <reference field="1" count="1" selected="0">
            <x v="55"/>
          </reference>
          <reference field="2" count="1" selected="0">
            <x v="1"/>
          </reference>
          <reference field="3" count="1">
            <x v="3"/>
          </reference>
        </references>
      </pivotArea>
    </format>
    <format dxfId="2137">
      <pivotArea dataOnly="0" labelOnly="1" outline="0" fieldPosition="0">
        <references count="4">
          <reference field="0" count="1" selected="0">
            <x v="77"/>
          </reference>
          <reference field="1" count="1" selected="0">
            <x v="59"/>
          </reference>
          <reference field="2" count="1" selected="0">
            <x v="2"/>
          </reference>
          <reference field="3" count="1">
            <x v="4"/>
          </reference>
        </references>
      </pivotArea>
    </format>
    <format dxfId="2136">
      <pivotArea dataOnly="0" labelOnly="1" outline="0" fieldPosition="0">
        <references count="4">
          <reference field="0" count="1" selected="0">
            <x v="79"/>
          </reference>
          <reference field="1" count="1" selected="0">
            <x v="9"/>
          </reference>
          <reference field="2" count="1" selected="0">
            <x v="3"/>
          </reference>
          <reference field="3" count="1">
            <x v="0"/>
          </reference>
        </references>
      </pivotArea>
    </format>
    <format dxfId="2135">
      <pivotArea dataOnly="0" labelOnly="1" outline="0" fieldPosition="0">
        <references count="4">
          <reference field="0" count="1" selected="0">
            <x v="80"/>
          </reference>
          <reference field="1" count="1" selected="0">
            <x v="48"/>
          </reference>
          <reference field="2" count="1" selected="0">
            <x v="5"/>
          </reference>
          <reference field="3" count="1">
            <x v="7"/>
          </reference>
        </references>
      </pivotArea>
    </format>
    <format dxfId="2134">
      <pivotArea dataOnly="0" labelOnly="1" outline="0" fieldPosition="0">
        <references count="4">
          <reference field="0" count="1" selected="0">
            <x v="81"/>
          </reference>
          <reference field="1" count="1" selected="0">
            <x v="54"/>
          </reference>
          <reference field="2" count="1" selected="0">
            <x v="2"/>
          </reference>
          <reference field="3" count="1">
            <x v="1"/>
          </reference>
        </references>
      </pivotArea>
    </format>
    <format dxfId="2133">
      <pivotArea dataOnly="0" labelOnly="1" outline="0" fieldPosition="0">
        <references count="4">
          <reference field="0" count="1" selected="0">
            <x v="83"/>
          </reference>
          <reference field="1" count="1" selected="0">
            <x v="46"/>
          </reference>
          <reference field="2" count="1" selected="0">
            <x v="3"/>
          </reference>
          <reference field="3" count="1">
            <x v="4"/>
          </reference>
        </references>
      </pivotArea>
    </format>
    <format dxfId="2132">
      <pivotArea dataOnly="0" labelOnly="1" outline="0" fieldPosition="0">
        <references count="4">
          <reference field="0" count="1" selected="0">
            <x v="84"/>
          </reference>
          <reference field="1" count="1" selected="0">
            <x v="39"/>
          </reference>
          <reference field="2" count="1" selected="0">
            <x v="2"/>
          </reference>
          <reference field="3" count="1">
            <x v="2"/>
          </reference>
        </references>
      </pivotArea>
    </format>
    <format dxfId="2131">
      <pivotArea dataOnly="0" labelOnly="1" outline="0" fieldPosition="0">
        <references count="4">
          <reference field="0" count="1" selected="0">
            <x v="85"/>
          </reference>
          <reference field="1" count="1" selected="0">
            <x v="10"/>
          </reference>
          <reference field="2" count="1" selected="0">
            <x v="4"/>
          </reference>
          <reference field="3" count="1">
            <x v="0"/>
          </reference>
        </references>
      </pivotArea>
    </format>
    <format dxfId="2130">
      <pivotArea dataOnly="0" labelOnly="1" outline="0" fieldPosition="0">
        <references count="4">
          <reference field="0" count="1" selected="0">
            <x v="86"/>
          </reference>
          <reference field="1" count="1" selected="0">
            <x v="29"/>
          </reference>
          <reference field="2" count="1" selected="0">
            <x v="1"/>
          </reference>
          <reference field="3" count="1">
            <x v="1"/>
          </reference>
        </references>
      </pivotArea>
    </format>
    <format dxfId="2129">
      <pivotArea dataOnly="0" labelOnly="1" outline="0" fieldPosition="0">
        <references count="4">
          <reference field="0" count="1" selected="0">
            <x v="89"/>
          </reference>
          <reference field="1" count="1" selected="0">
            <x v="52"/>
          </reference>
          <reference field="2" count="1" selected="0">
            <x v="1"/>
          </reference>
          <reference field="3" count="1">
            <x v="3"/>
          </reference>
        </references>
      </pivotArea>
    </format>
    <format dxfId="2128">
      <pivotArea dataOnly="0" labelOnly="1" outline="0" fieldPosition="0">
        <references count="4">
          <reference field="0" count="1" selected="0">
            <x v="90"/>
          </reference>
          <reference field="1" count="1" selected="0">
            <x v="37"/>
          </reference>
          <reference field="2" count="1" selected="0">
            <x v="1"/>
          </reference>
          <reference field="3" count="1">
            <x v="1"/>
          </reference>
        </references>
      </pivotArea>
    </format>
    <format dxfId="2127">
      <pivotArea dataOnly="0" labelOnly="1" outline="0" fieldPosition="0">
        <references count="4">
          <reference field="0" count="1" selected="0">
            <x v="91"/>
          </reference>
          <reference field="1" count="1" selected="0">
            <x v="51"/>
          </reference>
          <reference field="2" count="1" selected="0">
            <x v="0"/>
          </reference>
          <reference field="3" count="1">
            <x v="4"/>
          </reference>
        </references>
      </pivotArea>
    </format>
    <format dxfId="2126">
      <pivotArea dataOnly="0" labelOnly="1" outline="0" fieldPosition="0">
        <references count="4">
          <reference field="0" count="1" selected="0">
            <x v="93"/>
          </reference>
          <reference field="1" count="1" selected="0">
            <x v="5"/>
          </reference>
          <reference field="2" count="1" selected="0">
            <x v="0"/>
          </reference>
          <reference field="3" count="1">
            <x v="7"/>
          </reference>
        </references>
      </pivotArea>
    </format>
    <format dxfId="2125">
      <pivotArea dataOnly="0" labelOnly="1" outline="0" fieldPosition="0">
        <references count="4">
          <reference field="0" count="1" selected="0">
            <x v="94"/>
          </reference>
          <reference field="1" count="1" selected="0">
            <x v="42"/>
          </reference>
          <reference field="2" count="1" selected="0">
            <x v="2"/>
          </reference>
          <reference field="3" count="1">
            <x v="2"/>
          </reference>
        </references>
      </pivotArea>
    </format>
    <format dxfId="2124">
      <pivotArea dataOnly="0" labelOnly="1" outline="0" fieldPosition="0">
        <references count="4">
          <reference field="0" count="1" selected="0">
            <x v="95"/>
          </reference>
          <reference field="1" count="1" selected="0">
            <x v="51"/>
          </reference>
          <reference field="2" count="1" selected="0">
            <x v="0"/>
          </reference>
          <reference field="3" count="1">
            <x v="6"/>
          </reference>
        </references>
      </pivotArea>
    </format>
    <format dxfId="2123">
      <pivotArea dataOnly="0" labelOnly="1" outline="0" fieldPosition="0">
        <references count="4">
          <reference field="0" count="1" selected="0">
            <x v="96"/>
          </reference>
          <reference field="1" count="1" selected="0">
            <x v="31"/>
          </reference>
          <reference field="2" count="1" selected="0">
            <x v="3"/>
          </reference>
          <reference field="3" count="1">
            <x v="0"/>
          </reference>
        </references>
      </pivotArea>
    </format>
    <format dxfId="2122">
      <pivotArea dataOnly="0" labelOnly="1" outline="0" fieldPosition="0">
        <references count="4">
          <reference field="0" count="1" selected="0">
            <x v="97"/>
          </reference>
          <reference field="1" count="1" selected="0">
            <x v="38"/>
          </reference>
          <reference field="2" count="1" selected="0">
            <x v="5"/>
          </reference>
          <reference field="3" count="1">
            <x v="5"/>
          </reference>
        </references>
      </pivotArea>
    </format>
    <format dxfId="2121">
      <pivotArea dataOnly="0" labelOnly="1" outline="0" fieldPosition="0">
        <references count="4">
          <reference field="0" count="1" selected="0">
            <x v="98"/>
          </reference>
          <reference field="1" count="1" selected="0">
            <x v="1"/>
          </reference>
          <reference field="2" count="1" selected="0">
            <x v="5"/>
          </reference>
          <reference field="3" count="1">
            <x v="1"/>
          </reference>
        </references>
      </pivotArea>
    </format>
    <format dxfId="2120">
      <pivotArea dataOnly="0" labelOnly="1" outline="0" fieldPosition="0">
        <references count="4">
          <reference field="0" count="1" selected="0">
            <x v="99"/>
          </reference>
          <reference field="1" count="1" selected="0">
            <x v="27"/>
          </reference>
          <reference field="2" count="1" selected="0">
            <x v="0"/>
          </reference>
          <reference field="3" count="1">
            <x v="5"/>
          </reference>
        </references>
      </pivotArea>
    </format>
    <format dxfId="2119">
      <pivotArea dataOnly="0" labelOnly="1" outline="0" fieldPosition="0">
        <references count="4">
          <reference field="0" count="1" selected="0">
            <x v="100"/>
          </reference>
          <reference field="1" count="1" selected="0">
            <x v="5"/>
          </reference>
          <reference field="2" count="1" selected="0">
            <x v="0"/>
          </reference>
          <reference field="3" count="1">
            <x v="1"/>
          </reference>
        </references>
      </pivotArea>
    </format>
    <format dxfId="2118">
      <pivotArea dataOnly="0" labelOnly="1" outline="0" fieldPosition="0">
        <references count="4">
          <reference field="0" count="1" selected="0">
            <x v="101"/>
          </reference>
          <reference field="1" count="1" selected="0">
            <x v="49"/>
          </reference>
          <reference field="2" count="1" selected="0">
            <x v="3"/>
          </reference>
          <reference field="3" count="1">
            <x v="4"/>
          </reference>
        </references>
      </pivotArea>
    </format>
    <format dxfId="2117">
      <pivotArea dataOnly="0" labelOnly="1" outline="0" fieldPosition="0">
        <references count="4">
          <reference field="0" count="1" selected="0">
            <x v="102"/>
          </reference>
          <reference field="1" count="1" selected="0">
            <x v="35"/>
          </reference>
          <reference field="2" count="1" selected="0">
            <x v="4"/>
          </reference>
          <reference field="3" count="1">
            <x v="1"/>
          </reference>
        </references>
      </pivotArea>
    </format>
    <format dxfId="2116">
      <pivotArea dataOnly="0" labelOnly="1" outline="0" fieldPosition="0">
        <references count="4">
          <reference field="0" count="1" selected="0">
            <x v="103"/>
          </reference>
          <reference field="1" count="1" selected="0">
            <x v="42"/>
          </reference>
          <reference field="2" count="1" selected="0">
            <x v="2"/>
          </reference>
          <reference field="3" count="1">
            <x v="7"/>
          </reference>
        </references>
      </pivotArea>
    </format>
    <format dxfId="2115">
      <pivotArea dataOnly="0" labelOnly="1" outline="0" fieldPosition="0">
        <references count="4">
          <reference field="0" count="1" selected="0">
            <x v="104"/>
          </reference>
          <reference field="1" count="1" selected="0">
            <x v="25"/>
          </reference>
          <reference field="2" count="1" selected="0">
            <x v="1"/>
          </reference>
          <reference field="3" count="1">
            <x v="2"/>
          </reference>
        </references>
      </pivotArea>
    </format>
    <format dxfId="2114">
      <pivotArea dataOnly="0" labelOnly="1" outline="0" fieldPosition="0">
        <references count="4">
          <reference field="0" count="1" selected="0">
            <x v="105"/>
          </reference>
          <reference field="1" count="1" selected="0">
            <x v="26"/>
          </reference>
          <reference field="2" count="1" selected="0">
            <x v="5"/>
          </reference>
          <reference field="3" count="1">
            <x v="7"/>
          </reference>
        </references>
      </pivotArea>
    </format>
    <format dxfId="2113">
      <pivotArea dataOnly="0" labelOnly="1" outline="0" fieldPosition="0">
        <references count="4">
          <reference field="0" count="1" selected="0">
            <x v="106"/>
          </reference>
          <reference field="1" count="1" selected="0">
            <x v="6"/>
          </reference>
          <reference field="2" count="1" selected="0">
            <x v="3"/>
          </reference>
          <reference field="3" count="1">
            <x v="3"/>
          </reference>
        </references>
      </pivotArea>
    </format>
    <format dxfId="2112">
      <pivotArea dataOnly="0" labelOnly="1" outline="0" fieldPosition="0">
        <references count="4">
          <reference field="0" count="1" selected="0">
            <x v="107"/>
          </reference>
          <reference field="1" count="1" selected="0">
            <x v="0"/>
          </reference>
          <reference field="2" count="1" selected="0">
            <x v="0"/>
          </reference>
          <reference field="3" count="1">
            <x v="4"/>
          </reference>
        </references>
      </pivotArea>
    </format>
    <format dxfId="2111">
      <pivotArea dataOnly="0" labelOnly="1" outline="0" fieldPosition="0">
        <references count="4">
          <reference field="0" count="1" selected="0">
            <x v="108"/>
          </reference>
          <reference field="1" count="1" selected="0">
            <x v="44"/>
          </reference>
          <reference field="2" count="1" selected="0">
            <x v="5"/>
          </reference>
          <reference field="3" count="1">
            <x v="7"/>
          </reference>
        </references>
      </pivotArea>
    </format>
    <format dxfId="2110">
      <pivotArea dataOnly="0" labelOnly="1" outline="0" fieldPosition="0">
        <references count="4">
          <reference field="0" count="1" selected="0">
            <x v="109"/>
          </reference>
          <reference field="1" count="1" selected="0">
            <x v="8"/>
          </reference>
          <reference field="2" count="1" selected="0">
            <x v="5"/>
          </reference>
          <reference field="3" count="1">
            <x v="0"/>
          </reference>
        </references>
      </pivotArea>
    </format>
    <format dxfId="2109">
      <pivotArea dataOnly="0" labelOnly="1" outline="0" fieldPosition="0">
        <references count="4">
          <reference field="0" count="1" selected="0">
            <x v="110"/>
          </reference>
          <reference field="1" count="1" selected="0">
            <x v="44"/>
          </reference>
          <reference field="2" count="1" selected="0">
            <x v="5"/>
          </reference>
          <reference field="3" count="1">
            <x v="1"/>
          </reference>
        </references>
      </pivotArea>
    </format>
    <format dxfId="2108">
      <pivotArea dataOnly="0" labelOnly="1" outline="0" fieldPosition="0">
        <references count="4">
          <reference field="0" count="1" selected="0">
            <x v="111"/>
          </reference>
          <reference field="1" count="1" selected="0">
            <x v="49"/>
          </reference>
          <reference field="2" count="1" selected="0">
            <x v="3"/>
          </reference>
          <reference field="3" count="1">
            <x v="3"/>
          </reference>
        </references>
      </pivotArea>
    </format>
    <format dxfId="2107">
      <pivotArea dataOnly="0" labelOnly="1" outline="0" fieldPosition="0">
        <references count="4">
          <reference field="0" count="1" selected="0">
            <x v="112"/>
          </reference>
          <reference field="1" count="1" selected="0">
            <x v="57"/>
          </reference>
          <reference field="2" count="1" selected="0">
            <x v="0"/>
          </reference>
          <reference field="3" count="1">
            <x v="5"/>
          </reference>
        </references>
      </pivotArea>
    </format>
    <format dxfId="2106">
      <pivotArea dataOnly="0" labelOnly="1" outline="0" fieldPosition="0">
        <references count="4">
          <reference field="0" count="1" selected="0">
            <x v="113"/>
          </reference>
          <reference field="1" count="1" selected="0">
            <x v="21"/>
          </reference>
          <reference field="2" count="1" selected="0">
            <x v="2"/>
          </reference>
          <reference field="3" count="1">
            <x v="3"/>
          </reference>
        </references>
      </pivotArea>
    </format>
    <format dxfId="2105">
      <pivotArea dataOnly="0" labelOnly="1" outline="0" fieldPosition="0">
        <references count="4">
          <reference field="0" count="1" selected="0">
            <x v="115"/>
          </reference>
          <reference field="1" count="1" selected="0">
            <x v="1"/>
          </reference>
          <reference field="2" count="1" selected="0">
            <x v="5"/>
          </reference>
          <reference field="3" count="1">
            <x v="6"/>
          </reference>
        </references>
      </pivotArea>
    </format>
    <format dxfId="2104">
      <pivotArea dataOnly="0" labelOnly="1" outline="0" fieldPosition="0">
        <references count="4">
          <reference field="0" count="1" selected="0">
            <x v="117"/>
          </reference>
          <reference field="1" count="1" selected="0">
            <x v="39"/>
          </reference>
          <reference field="2" count="1" selected="0">
            <x v="2"/>
          </reference>
          <reference field="3" count="1">
            <x v="5"/>
          </reference>
        </references>
      </pivotArea>
    </format>
    <format dxfId="2103">
      <pivotArea dataOnly="0" labelOnly="1" outline="0" fieldPosition="0">
        <references count="4">
          <reference field="0" count="1" selected="0">
            <x v="118"/>
          </reference>
          <reference field="1" count="1" selected="0">
            <x v="7"/>
          </reference>
          <reference field="2" count="1" selected="0">
            <x v="3"/>
          </reference>
          <reference field="3" count="1">
            <x v="6"/>
          </reference>
        </references>
      </pivotArea>
    </format>
    <format dxfId="2102">
      <pivotArea dataOnly="0" labelOnly="1" outline="0" fieldPosition="0">
        <references count="4">
          <reference field="0" count="1" selected="0">
            <x v="119"/>
          </reference>
          <reference field="1" count="1" selected="0">
            <x v="44"/>
          </reference>
          <reference field="2" count="1" selected="0">
            <x v="5"/>
          </reference>
          <reference field="3" count="1">
            <x v="1"/>
          </reference>
        </references>
      </pivotArea>
    </format>
    <format dxfId="2101">
      <pivotArea dataOnly="0" labelOnly="1" outline="0" fieldPosition="0">
        <references count="4">
          <reference field="0" count="1" selected="0">
            <x v="120"/>
          </reference>
          <reference field="1" count="1" selected="0">
            <x v="8"/>
          </reference>
          <reference field="2" count="1" selected="0">
            <x v="5"/>
          </reference>
          <reference field="3" count="1">
            <x v="4"/>
          </reference>
        </references>
      </pivotArea>
    </format>
    <format dxfId="2100">
      <pivotArea dataOnly="0" labelOnly="1" outline="0" fieldPosition="0">
        <references count="4">
          <reference field="0" count="1" selected="0">
            <x v="121"/>
          </reference>
          <reference field="1" count="1" selected="0">
            <x v="50"/>
          </reference>
          <reference field="2" count="1" selected="0">
            <x v="3"/>
          </reference>
          <reference field="3" count="1">
            <x v="6"/>
          </reference>
        </references>
      </pivotArea>
    </format>
    <format dxfId="2099">
      <pivotArea dataOnly="0" labelOnly="1" outline="0" fieldPosition="0">
        <references count="4">
          <reference field="0" count="1" selected="0">
            <x v="122"/>
          </reference>
          <reference field="1" count="1" selected="0">
            <x v="21"/>
          </reference>
          <reference field="2" count="1" selected="0">
            <x v="2"/>
          </reference>
          <reference field="3" count="1">
            <x v="3"/>
          </reference>
        </references>
      </pivotArea>
    </format>
    <format dxfId="2098">
      <pivotArea dataOnly="0" labelOnly="1" outline="0" fieldPosition="0">
        <references count="4">
          <reference field="0" count="1" selected="0">
            <x v="123"/>
          </reference>
          <reference field="1" count="1" selected="0">
            <x v="39"/>
          </reference>
          <reference field="2" count="1" selected="0">
            <x v="2"/>
          </reference>
          <reference field="3" count="1">
            <x v="1"/>
          </reference>
        </references>
      </pivotArea>
    </format>
    <format dxfId="2097">
      <pivotArea dataOnly="0" labelOnly="1" outline="0" fieldPosition="0">
        <references count="4">
          <reference field="0" count="1" selected="0">
            <x v="124"/>
          </reference>
          <reference field="1" count="1" selected="0">
            <x v="36"/>
          </reference>
          <reference field="2" count="1" selected="0">
            <x v="1"/>
          </reference>
          <reference field="3" count="1">
            <x v="5"/>
          </reference>
        </references>
      </pivotArea>
    </format>
    <format dxfId="2096">
      <pivotArea dataOnly="0" labelOnly="1" outline="0" fieldPosition="0">
        <references count="4">
          <reference field="0" count="1" selected="0">
            <x v="126"/>
          </reference>
          <reference field="1" count="1" selected="0">
            <x v="2"/>
          </reference>
          <reference field="2" count="1" selected="0">
            <x v="3"/>
          </reference>
          <reference field="3" count="1">
            <x v="0"/>
          </reference>
        </references>
      </pivotArea>
    </format>
    <format dxfId="2095">
      <pivotArea dataOnly="0" labelOnly="1" outline="0" fieldPosition="0">
        <references count="4">
          <reference field="0" count="1" selected="0">
            <x v="127"/>
          </reference>
          <reference field="1" count="1" selected="0">
            <x v="35"/>
          </reference>
          <reference field="2" count="1" selected="0">
            <x v="4"/>
          </reference>
          <reference field="3" count="1">
            <x v="4"/>
          </reference>
        </references>
      </pivotArea>
    </format>
    <format dxfId="2094">
      <pivotArea dataOnly="0" labelOnly="1" outline="0" fieldPosition="0">
        <references count="4">
          <reference field="0" count="1" selected="0">
            <x v="128"/>
          </reference>
          <reference field="1" count="1" selected="0">
            <x v="12"/>
          </reference>
          <reference field="2" count="1" selected="0">
            <x v="4"/>
          </reference>
          <reference field="3" count="1">
            <x v="6"/>
          </reference>
        </references>
      </pivotArea>
    </format>
    <format dxfId="2093">
      <pivotArea dataOnly="0" labelOnly="1" outline="0" fieldPosition="0">
        <references count="4">
          <reference field="0" count="1" selected="0">
            <x v="129"/>
          </reference>
          <reference field="1" count="1" selected="0">
            <x v="1"/>
          </reference>
          <reference field="2" count="1" selected="0">
            <x v="5"/>
          </reference>
          <reference field="3" count="1">
            <x v="5"/>
          </reference>
        </references>
      </pivotArea>
    </format>
    <format dxfId="2092">
      <pivotArea dataOnly="0" labelOnly="1" outline="0" fieldPosition="0">
        <references count="4">
          <reference field="0" count="1" selected="0">
            <x v="130"/>
          </reference>
          <reference field="1" count="1" selected="0">
            <x v="41"/>
          </reference>
          <reference field="2" count="1" selected="0">
            <x v="0"/>
          </reference>
          <reference field="3" count="1">
            <x v="3"/>
          </reference>
        </references>
      </pivotArea>
    </format>
    <format dxfId="2091">
      <pivotArea dataOnly="0" labelOnly="1" outline="0" fieldPosition="0">
        <references count="4">
          <reference field="0" count="1" selected="0">
            <x v="131"/>
          </reference>
          <reference field="1" count="1" selected="0">
            <x v="40"/>
          </reference>
          <reference field="2" count="1" selected="0">
            <x v="2"/>
          </reference>
          <reference field="3" count="1">
            <x v="7"/>
          </reference>
        </references>
      </pivotArea>
    </format>
    <format dxfId="2090">
      <pivotArea dataOnly="0" labelOnly="1" outline="0" fieldPosition="0">
        <references count="4">
          <reference field="0" count="1" selected="0">
            <x v="132"/>
          </reference>
          <reference field="1" count="1" selected="0">
            <x v="14"/>
          </reference>
          <reference field="2" count="1" selected="0">
            <x v="4"/>
          </reference>
          <reference field="3" count="1">
            <x v="3"/>
          </reference>
        </references>
      </pivotArea>
    </format>
    <format dxfId="2089">
      <pivotArea dataOnly="0" labelOnly="1" outline="0" fieldPosition="0">
        <references count="4">
          <reference field="0" count="1" selected="0">
            <x v="133"/>
          </reference>
          <reference field="1" count="1" selected="0">
            <x v="24"/>
          </reference>
          <reference field="2" count="1" selected="0">
            <x v="0"/>
          </reference>
          <reference field="3" count="1">
            <x v="0"/>
          </reference>
        </references>
      </pivotArea>
    </format>
    <format dxfId="2088">
      <pivotArea dataOnly="0" labelOnly="1" outline="0" fieldPosition="0">
        <references count="4">
          <reference field="0" count="1" selected="0">
            <x v="134"/>
          </reference>
          <reference field="1" count="1" selected="0">
            <x v="13"/>
          </reference>
          <reference field="2" count="1" selected="0">
            <x v="3"/>
          </reference>
          <reference field="3" count="1">
            <x v="5"/>
          </reference>
        </references>
      </pivotArea>
    </format>
    <format dxfId="2087">
      <pivotArea dataOnly="0" labelOnly="1" outline="0" fieldPosition="0">
        <references count="4">
          <reference field="0" count="1" selected="0">
            <x v="135"/>
          </reference>
          <reference field="1" count="1" selected="0">
            <x v="42"/>
          </reference>
          <reference field="2" count="1" selected="0">
            <x v="2"/>
          </reference>
          <reference field="3" count="1">
            <x v="7"/>
          </reference>
        </references>
      </pivotArea>
    </format>
    <format dxfId="2086">
      <pivotArea dataOnly="0" labelOnly="1" outline="0" fieldPosition="0">
        <references count="4">
          <reference field="0" count="1" selected="0">
            <x v="136"/>
          </reference>
          <reference field="1" count="1" selected="0">
            <x v="52"/>
          </reference>
          <reference field="2" count="1" selected="0">
            <x v="1"/>
          </reference>
          <reference field="3" count="1">
            <x v="5"/>
          </reference>
        </references>
      </pivotArea>
    </format>
    <format dxfId="2085">
      <pivotArea dataOnly="0" labelOnly="1" outline="0" fieldPosition="0">
        <references count="4">
          <reference field="0" count="1" selected="0">
            <x v="137"/>
          </reference>
          <reference field="1" count="1" selected="0">
            <x v="39"/>
          </reference>
          <reference field="2" count="1" selected="0">
            <x v="2"/>
          </reference>
          <reference field="3" count="1">
            <x v="0"/>
          </reference>
        </references>
      </pivotArea>
    </format>
    <format dxfId="2084">
      <pivotArea dataOnly="0" labelOnly="1" outline="0" fieldPosition="0">
        <references count="4">
          <reference field="0" count="1" selected="0">
            <x v="138"/>
          </reference>
          <reference field="1" count="1" selected="0">
            <x v="45"/>
          </reference>
          <reference field="2" count="1" selected="0">
            <x v="5"/>
          </reference>
          <reference field="3" count="1">
            <x v="4"/>
          </reference>
        </references>
      </pivotArea>
    </format>
    <format dxfId="2083">
      <pivotArea dataOnly="0" labelOnly="1" outline="0" fieldPosition="0">
        <references count="4">
          <reference field="0" count="1" selected="0">
            <x v="140"/>
          </reference>
          <reference field="1" count="1" selected="0">
            <x v="40"/>
          </reference>
          <reference field="2" count="1" selected="0">
            <x v="2"/>
          </reference>
          <reference field="3" count="1">
            <x v="6"/>
          </reference>
        </references>
      </pivotArea>
    </format>
    <format dxfId="2082">
      <pivotArea dataOnly="0" labelOnly="1" outline="0" fieldPosition="0">
        <references count="4">
          <reference field="0" count="1" selected="0">
            <x v="141"/>
          </reference>
          <reference field="1" count="1" selected="0">
            <x v="1"/>
          </reference>
          <reference field="2" count="1" selected="0">
            <x v="5"/>
          </reference>
          <reference field="3" count="1">
            <x v="0"/>
          </reference>
        </references>
      </pivotArea>
    </format>
    <format dxfId="2081">
      <pivotArea dataOnly="0" labelOnly="1" outline="0" fieldPosition="0">
        <references count="4">
          <reference field="0" count="1" selected="0">
            <x v="142"/>
          </reference>
          <reference field="1" count="1" selected="0">
            <x v="34"/>
          </reference>
          <reference field="2" count="1" selected="0">
            <x v="5"/>
          </reference>
          <reference field="3" count="1">
            <x v="1"/>
          </reference>
        </references>
      </pivotArea>
    </format>
    <format dxfId="2080">
      <pivotArea dataOnly="0" labelOnly="1" outline="0" fieldPosition="0">
        <references count="4">
          <reference field="0" count="1" selected="0">
            <x v="143"/>
          </reference>
          <reference field="1" count="1" selected="0">
            <x v="25"/>
          </reference>
          <reference field="2" count="1" selected="0">
            <x v="1"/>
          </reference>
          <reference field="3" count="1">
            <x v="0"/>
          </reference>
        </references>
      </pivotArea>
    </format>
    <format dxfId="2079">
      <pivotArea dataOnly="0" labelOnly="1" outline="0" fieldPosition="0">
        <references count="4">
          <reference field="0" count="1" selected="0">
            <x v="144"/>
          </reference>
          <reference field="1" count="1" selected="0">
            <x v="58"/>
          </reference>
          <reference field="2" count="1" selected="0">
            <x v="1"/>
          </reference>
          <reference field="3" count="1">
            <x v="6"/>
          </reference>
        </references>
      </pivotArea>
    </format>
    <format dxfId="2078">
      <pivotArea dataOnly="0" labelOnly="1" outline="0" fieldPosition="0">
        <references count="4">
          <reference field="0" count="1" selected="0">
            <x v="145"/>
          </reference>
          <reference field="1" count="1" selected="0">
            <x v="58"/>
          </reference>
          <reference field="2" count="1" selected="0">
            <x v="1"/>
          </reference>
          <reference field="3" count="1">
            <x v="2"/>
          </reference>
        </references>
      </pivotArea>
    </format>
    <format dxfId="2077">
      <pivotArea dataOnly="0" labelOnly="1" outline="0" fieldPosition="0">
        <references count="4">
          <reference field="0" count="1" selected="0">
            <x v="147"/>
          </reference>
          <reference field="1" count="1" selected="0">
            <x v="42"/>
          </reference>
          <reference field="2" count="1" selected="0">
            <x v="2"/>
          </reference>
          <reference field="3" count="1">
            <x v="5"/>
          </reference>
        </references>
      </pivotArea>
    </format>
    <format dxfId="2076">
      <pivotArea dataOnly="0" labelOnly="1" outline="0" fieldPosition="0">
        <references count="4">
          <reference field="0" count="1" selected="0">
            <x v="148"/>
          </reference>
          <reference field="1" count="1" selected="0">
            <x v="19"/>
          </reference>
          <reference field="2" count="1" selected="0">
            <x v="5"/>
          </reference>
          <reference field="3" count="1">
            <x v="7"/>
          </reference>
        </references>
      </pivotArea>
    </format>
    <format dxfId="2075">
      <pivotArea dataOnly="0" labelOnly="1" outline="0" fieldPosition="0">
        <references count="4">
          <reference field="0" count="1" selected="0">
            <x v="149"/>
          </reference>
          <reference field="1" count="1" selected="0">
            <x v="6"/>
          </reference>
          <reference field="2" count="1" selected="0">
            <x v="3"/>
          </reference>
          <reference field="3" count="1">
            <x v="3"/>
          </reference>
        </references>
      </pivotArea>
    </format>
    <format dxfId="2074">
      <pivotArea dataOnly="0" labelOnly="1" outline="0" fieldPosition="0">
        <references count="4">
          <reference field="0" count="1" selected="0">
            <x v="150"/>
          </reference>
          <reference field="1" count="1" selected="0">
            <x v="55"/>
          </reference>
          <reference field="2" count="1" selected="0">
            <x v="1"/>
          </reference>
          <reference field="3" count="1">
            <x v="7"/>
          </reference>
        </references>
      </pivotArea>
    </format>
    <format dxfId="2073">
      <pivotArea dataOnly="0" labelOnly="1" outline="0" fieldPosition="0">
        <references count="4">
          <reference field="0" count="1" selected="0">
            <x v="151"/>
          </reference>
          <reference field="1" count="1" selected="0">
            <x v="18"/>
          </reference>
          <reference field="2" count="1" selected="0">
            <x v="2"/>
          </reference>
          <reference field="3" count="1">
            <x v="6"/>
          </reference>
        </references>
      </pivotArea>
    </format>
    <format dxfId="2072">
      <pivotArea dataOnly="0" labelOnly="1" outline="0" fieldPosition="0">
        <references count="4">
          <reference field="0" count="1" selected="0">
            <x v="152"/>
          </reference>
          <reference field="1" count="1" selected="0">
            <x v="25"/>
          </reference>
          <reference field="2" count="1" selected="0">
            <x v="1"/>
          </reference>
          <reference field="3" count="1">
            <x v="1"/>
          </reference>
        </references>
      </pivotArea>
    </format>
    <format dxfId="2071">
      <pivotArea dataOnly="0" labelOnly="1" outline="0" fieldPosition="0">
        <references count="4">
          <reference field="0" count="1" selected="0">
            <x v="155"/>
          </reference>
          <reference field="1" count="1" selected="0">
            <x v="34"/>
          </reference>
          <reference field="2" count="1" selected="0">
            <x v="5"/>
          </reference>
          <reference field="3" count="1">
            <x v="5"/>
          </reference>
        </references>
      </pivotArea>
    </format>
    <format dxfId="2070">
      <pivotArea dataOnly="0" labelOnly="1" outline="0" fieldPosition="0">
        <references count="4">
          <reference field="0" count="1" selected="0">
            <x v="157"/>
          </reference>
          <reference field="1" count="1" selected="0">
            <x v="38"/>
          </reference>
          <reference field="2" count="1" selected="0">
            <x v="5"/>
          </reference>
          <reference field="3" count="1">
            <x v="4"/>
          </reference>
        </references>
      </pivotArea>
    </format>
    <format dxfId="2069">
      <pivotArea dataOnly="0" labelOnly="1" outline="0" fieldPosition="0">
        <references count="4">
          <reference field="0" count="1" selected="0">
            <x v="159"/>
          </reference>
          <reference field="1" count="1" selected="0">
            <x v="57"/>
          </reference>
          <reference field="2" count="1" selected="0">
            <x v="0"/>
          </reference>
          <reference field="3" count="1">
            <x v="2"/>
          </reference>
        </references>
      </pivotArea>
    </format>
    <format dxfId="2068">
      <pivotArea dataOnly="0" labelOnly="1" outline="0" fieldPosition="0">
        <references count="4">
          <reference field="0" count="1" selected="0">
            <x v="160"/>
          </reference>
          <reference field="1" count="1" selected="0">
            <x v="27"/>
          </reference>
          <reference field="2" count="1" selected="0">
            <x v="0"/>
          </reference>
          <reference field="3" count="1">
            <x v="5"/>
          </reference>
        </references>
      </pivotArea>
    </format>
    <format dxfId="2067">
      <pivotArea dataOnly="0" labelOnly="1" outline="0" fieldPosition="0">
        <references count="4">
          <reference field="0" count="1" selected="0">
            <x v="163"/>
          </reference>
          <reference field="1" count="1" selected="0">
            <x v="29"/>
          </reference>
          <reference field="2" count="1" selected="0">
            <x v="1"/>
          </reference>
          <reference field="3" count="1">
            <x v="3"/>
          </reference>
        </references>
      </pivotArea>
    </format>
    <format dxfId="2066">
      <pivotArea dataOnly="0" labelOnly="1" outline="0" fieldPosition="0">
        <references count="4">
          <reference field="0" count="1" selected="0">
            <x v="164"/>
          </reference>
          <reference field="1" count="1" selected="0">
            <x v="50"/>
          </reference>
          <reference field="2" count="1" selected="0">
            <x v="3"/>
          </reference>
          <reference field="3" count="1">
            <x v="1"/>
          </reference>
        </references>
      </pivotArea>
    </format>
    <format dxfId="2065">
      <pivotArea dataOnly="0" labelOnly="1" outline="0" fieldPosition="0">
        <references count="4">
          <reference field="0" count="1" selected="0">
            <x v="165"/>
          </reference>
          <reference field="1" count="1" selected="0">
            <x v="48"/>
          </reference>
          <reference field="2" count="1" selected="0">
            <x v="5"/>
          </reference>
          <reference field="3" count="1">
            <x v="6"/>
          </reference>
        </references>
      </pivotArea>
    </format>
    <format dxfId="2064">
      <pivotArea dataOnly="0" labelOnly="1" outline="0" fieldPosition="0">
        <references count="4">
          <reference field="0" count="1" selected="0">
            <x v="166"/>
          </reference>
          <reference field="1" count="1" selected="0">
            <x v="40"/>
          </reference>
          <reference field="2" count="1" selected="0">
            <x v="2"/>
          </reference>
          <reference field="3" count="1">
            <x v="0"/>
          </reference>
        </references>
      </pivotArea>
    </format>
    <format dxfId="2063">
      <pivotArea dataOnly="0" labelOnly="1" outline="0" fieldPosition="0">
        <references count="4">
          <reference field="0" count="1" selected="0">
            <x v="167"/>
          </reference>
          <reference field="1" count="1" selected="0">
            <x v="58"/>
          </reference>
          <reference field="2" count="1" selected="0">
            <x v="1"/>
          </reference>
          <reference field="3" count="1">
            <x v="6"/>
          </reference>
        </references>
      </pivotArea>
    </format>
    <format dxfId="2062">
      <pivotArea dataOnly="0" labelOnly="1" outline="0" fieldPosition="0">
        <references count="4">
          <reference field="0" count="1" selected="0">
            <x v="168"/>
          </reference>
          <reference field="1" count="1" selected="0">
            <x v="11"/>
          </reference>
          <reference field="2" count="1" selected="0">
            <x v="4"/>
          </reference>
          <reference field="3" count="1">
            <x v="1"/>
          </reference>
        </references>
      </pivotArea>
    </format>
    <format dxfId="2061">
      <pivotArea dataOnly="0" labelOnly="1" outline="0" fieldPosition="0">
        <references count="4">
          <reference field="0" count="1" selected="0">
            <x v="169"/>
          </reference>
          <reference field="1" count="1" selected="0">
            <x v="40"/>
          </reference>
          <reference field="2" count="1" selected="0">
            <x v="2"/>
          </reference>
          <reference field="3" count="1">
            <x v="3"/>
          </reference>
        </references>
      </pivotArea>
    </format>
    <format dxfId="2060">
      <pivotArea dataOnly="0" labelOnly="1" outline="0" fieldPosition="0">
        <references count="4">
          <reference field="0" count="1" selected="0">
            <x v="170"/>
          </reference>
          <reference field="1" count="1" selected="0">
            <x v="33"/>
          </reference>
          <reference field="2" count="1" selected="0">
            <x v="4"/>
          </reference>
          <reference field="3" count="1">
            <x v="6"/>
          </reference>
        </references>
      </pivotArea>
    </format>
    <format dxfId="2059">
      <pivotArea dataOnly="0" labelOnly="1" outline="0" fieldPosition="0">
        <references count="4">
          <reference field="0" count="1" selected="0">
            <x v="171"/>
          </reference>
          <reference field="1" count="1" selected="0">
            <x v="7"/>
          </reference>
          <reference field="2" count="1" selected="0">
            <x v="3"/>
          </reference>
          <reference field="3" count="1">
            <x v="3"/>
          </reference>
        </references>
      </pivotArea>
    </format>
    <format dxfId="2058">
      <pivotArea dataOnly="0" labelOnly="1" outline="0" fieldPosition="0">
        <references count="4">
          <reference field="0" count="1" selected="0">
            <x v="172"/>
          </reference>
          <reference field="1" count="1" selected="0">
            <x v="3"/>
          </reference>
          <reference field="2" count="1" selected="0">
            <x v="4"/>
          </reference>
          <reference field="3" count="1">
            <x v="4"/>
          </reference>
        </references>
      </pivotArea>
    </format>
    <format dxfId="2057">
      <pivotArea dataOnly="0" labelOnly="1" outline="0" fieldPosition="0">
        <references count="4">
          <reference field="0" count="1" selected="0">
            <x v="173"/>
          </reference>
          <reference field="1" count="1" selected="0">
            <x v="48"/>
          </reference>
          <reference field="2" count="1" selected="0">
            <x v="5"/>
          </reference>
          <reference field="3" count="1">
            <x v="7"/>
          </reference>
        </references>
      </pivotArea>
    </format>
    <format dxfId="2056">
      <pivotArea dataOnly="0" labelOnly="1" outline="0" fieldPosition="0">
        <references count="4">
          <reference field="0" count="1" selected="0">
            <x v="174"/>
          </reference>
          <reference field="1" count="1" selected="0">
            <x v="23"/>
          </reference>
          <reference field="2" count="1" selected="0">
            <x v="2"/>
          </reference>
          <reference field="3" count="1">
            <x v="3"/>
          </reference>
        </references>
      </pivotArea>
    </format>
    <format dxfId="2055">
      <pivotArea dataOnly="0" labelOnly="1" outline="0" fieldPosition="0">
        <references count="4">
          <reference field="0" count="1" selected="0">
            <x v="175"/>
          </reference>
          <reference field="1" count="1" selected="0">
            <x v="2"/>
          </reference>
          <reference field="2" count="1" selected="0">
            <x v="3"/>
          </reference>
          <reference field="3" count="1">
            <x v="1"/>
          </reference>
        </references>
      </pivotArea>
    </format>
    <format dxfId="2054">
      <pivotArea dataOnly="0" labelOnly="1" outline="0" fieldPosition="0">
        <references count="4">
          <reference field="0" count="1" selected="0">
            <x v="176"/>
          </reference>
          <reference field="1" count="1" selected="0">
            <x v="58"/>
          </reference>
          <reference field="2" count="1" selected="0">
            <x v="1"/>
          </reference>
          <reference field="3" count="1">
            <x v="7"/>
          </reference>
        </references>
      </pivotArea>
    </format>
    <format dxfId="2053">
      <pivotArea dataOnly="0" labelOnly="1" outline="0" fieldPosition="0">
        <references count="4">
          <reference field="0" count="1" selected="0">
            <x v="177"/>
          </reference>
          <reference field="1" count="1" selected="0">
            <x v="42"/>
          </reference>
          <reference field="2" count="1" selected="0">
            <x v="2"/>
          </reference>
          <reference field="3" count="1">
            <x v="0"/>
          </reference>
        </references>
      </pivotArea>
    </format>
    <format dxfId="2052">
      <pivotArea dataOnly="0" labelOnly="1" outline="0" fieldPosition="0">
        <references count="4">
          <reference field="0" count="1" selected="0">
            <x v="178"/>
          </reference>
          <reference field="1" count="1" selected="0">
            <x v="44"/>
          </reference>
          <reference field="2" count="1" selected="0">
            <x v="5"/>
          </reference>
          <reference field="3" count="1">
            <x v="7"/>
          </reference>
        </references>
      </pivotArea>
    </format>
    <format dxfId="2051">
      <pivotArea dataOnly="0" labelOnly="1" outline="0" fieldPosition="0">
        <references count="4">
          <reference field="0" count="1" selected="0">
            <x v="179"/>
          </reference>
          <reference field="1" count="1" selected="0">
            <x v="8"/>
          </reference>
          <reference field="2" count="1" selected="0">
            <x v="5"/>
          </reference>
          <reference field="3" count="1">
            <x v="2"/>
          </reference>
        </references>
      </pivotArea>
    </format>
    <format dxfId="2050">
      <pivotArea dataOnly="0" labelOnly="1" outline="0" fieldPosition="0">
        <references count="4">
          <reference field="0" count="1" selected="0">
            <x v="180"/>
          </reference>
          <reference field="1" count="1" selected="0">
            <x v="37"/>
          </reference>
          <reference field="2" count="1" selected="0">
            <x v="1"/>
          </reference>
          <reference field="3" count="1">
            <x v="5"/>
          </reference>
        </references>
      </pivotArea>
    </format>
    <format dxfId="2049">
      <pivotArea dataOnly="0" labelOnly="1" outline="0" fieldPosition="0">
        <references count="4">
          <reference field="0" count="1" selected="0">
            <x v="181"/>
          </reference>
          <reference field="1" count="1" selected="0">
            <x v="51"/>
          </reference>
          <reference field="2" count="1" selected="0">
            <x v="0"/>
          </reference>
          <reference field="3" count="1">
            <x v="0"/>
          </reference>
        </references>
      </pivotArea>
    </format>
    <format dxfId="2048">
      <pivotArea dataOnly="0" labelOnly="1" outline="0" fieldPosition="0">
        <references count="4">
          <reference field="0" count="1" selected="0">
            <x v="182"/>
          </reference>
          <reference field="1" count="1" selected="0">
            <x v="48"/>
          </reference>
          <reference field="2" count="1" selected="0">
            <x v="5"/>
          </reference>
          <reference field="3" count="1">
            <x v="3"/>
          </reference>
        </references>
      </pivotArea>
    </format>
    <format dxfId="2047">
      <pivotArea dataOnly="0" labelOnly="1" outline="0" fieldPosition="0">
        <references count="4">
          <reference field="0" count="1" selected="0">
            <x v="183"/>
          </reference>
          <reference field="1" count="1" selected="0">
            <x v="41"/>
          </reference>
          <reference field="2" count="1" selected="0">
            <x v="0"/>
          </reference>
          <reference field="3" count="1">
            <x v="4"/>
          </reference>
        </references>
      </pivotArea>
    </format>
    <format dxfId="2046">
      <pivotArea dataOnly="0" labelOnly="1" outline="0" fieldPosition="0">
        <references count="4">
          <reference field="0" count="1" selected="0">
            <x v="184"/>
          </reference>
          <reference field="1" count="1" selected="0">
            <x v="26"/>
          </reference>
          <reference field="2" count="1" selected="0">
            <x v="5"/>
          </reference>
          <reference field="3" count="1">
            <x v="6"/>
          </reference>
        </references>
      </pivotArea>
    </format>
    <format dxfId="2045">
      <pivotArea dataOnly="0" labelOnly="1" outline="0" fieldPosition="0">
        <references count="4">
          <reference field="0" count="1" selected="0">
            <x v="186"/>
          </reference>
          <reference field="1" count="1" selected="0">
            <x v="53"/>
          </reference>
          <reference field="2" count="1" selected="0">
            <x v="1"/>
          </reference>
          <reference field="3" count="1">
            <x v="1"/>
          </reference>
        </references>
      </pivotArea>
    </format>
    <format dxfId="2044">
      <pivotArea dataOnly="0" labelOnly="1" outline="0" fieldPosition="0">
        <references count="4">
          <reference field="0" count="1" selected="0">
            <x v="187"/>
          </reference>
          <reference field="1" count="1" selected="0">
            <x v="12"/>
          </reference>
          <reference field="2" count="1" selected="0">
            <x v="4"/>
          </reference>
          <reference field="3" count="1">
            <x v="4"/>
          </reference>
        </references>
      </pivotArea>
    </format>
    <format dxfId="2043">
      <pivotArea dataOnly="0" labelOnly="1" outline="0" fieldPosition="0">
        <references count="4">
          <reference field="0" count="1" selected="0">
            <x v="188"/>
          </reference>
          <reference field="1" count="1" selected="0">
            <x v="28"/>
          </reference>
          <reference field="2" count="1" selected="0">
            <x v="3"/>
          </reference>
          <reference field="3" count="1">
            <x v="7"/>
          </reference>
        </references>
      </pivotArea>
    </format>
    <format dxfId="2042">
      <pivotArea dataOnly="0" labelOnly="1" outline="0" fieldPosition="0">
        <references count="4">
          <reference field="0" count="1" selected="0">
            <x v="189"/>
          </reference>
          <reference field="1" count="1" selected="0">
            <x v="52"/>
          </reference>
          <reference field="2" count="1" selected="0">
            <x v="1"/>
          </reference>
          <reference field="3" count="1">
            <x v="5"/>
          </reference>
        </references>
      </pivotArea>
    </format>
    <format dxfId="2041">
      <pivotArea dataOnly="0" labelOnly="1" outline="0" fieldPosition="0">
        <references count="4">
          <reference field="0" count="1" selected="0">
            <x v="190"/>
          </reference>
          <reference field="1" count="1" selected="0">
            <x v="20"/>
          </reference>
          <reference field="2" count="1" selected="0">
            <x v="4"/>
          </reference>
          <reference field="3" count="1">
            <x v="2"/>
          </reference>
        </references>
      </pivotArea>
    </format>
    <format dxfId="2040">
      <pivotArea dataOnly="0" labelOnly="1" outline="0" fieldPosition="0">
        <references count="4">
          <reference field="0" count="1" selected="0">
            <x v="192"/>
          </reference>
          <reference field="1" count="1" selected="0">
            <x v="46"/>
          </reference>
          <reference field="2" count="1" selected="0">
            <x v="3"/>
          </reference>
          <reference field="3" count="1">
            <x v="3"/>
          </reference>
        </references>
      </pivotArea>
    </format>
    <format dxfId="2039">
      <pivotArea dataOnly="0" labelOnly="1" outline="0" fieldPosition="0">
        <references count="4">
          <reference field="0" count="1" selected="0">
            <x v="193"/>
          </reference>
          <reference field="1" count="1" selected="0">
            <x v="24"/>
          </reference>
          <reference field="2" count="1" selected="0">
            <x v="0"/>
          </reference>
          <reference field="3" count="1">
            <x v="7"/>
          </reference>
        </references>
      </pivotArea>
    </format>
    <format dxfId="2038">
      <pivotArea dataOnly="0" labelOnly="1" outline="0" fieldPosition="0">
        <references count="4">
          <reference field="0" count="1" selected="0">
            <x v="194"/>
          </reference>
          <reference field="1" count="1" selected="0">
            <x v="4"/>
          </reference>
          <reference field="2" count="1" selected="0">
            <x v="0"/>
          </reference>
          <reference field="3" count="1">
            <x v="6"/>
          </reference>
        </references>
      </pivotArea>
    </format>
    <format dxfId="2037">
      <pivotArea dataOnly="0" labelOnly="1" outline="0" fieldPosition="0">
        <references count="4">
          <reference field="0" count="1" selected="0">
            <x v="195"/>
          </reference>
          <reference field="1" count="1" selected="0">
            <x v="24"/>
          </reference>
          <reference field="2" count="1" selected="0">
            <x v="0"/>
          </reference>
          <reference field="3" count="1">
            <x v="3"/>
          </reference>
        </references>
      </pivotArea>
    </format>
    <format dxfId="2036">
      <pivotArea dataOnly="0" labelOnly="1" outline="0" fieldPosition="0">
        <references count="4">
          <reference field="0" count="1" selected="0">
            <x v="198"/>
          </reference>
          <reference field="1" count="1" selected="0">
            <x v="17"/>
          </reference>
          <reference field="2" count="1" selected="0">
            <x v="4"/>
          </reference>
          <reference field="3" count="1">
            <x v="1"/>
          </reference>
        </references>
      </pivotArea>
    </format>
    <format dxfId="2035">
      <pivotArea dataOnly="0" labelOnly="1" outline="0" fieldPosition="0">
        <references count="4">
          <reference field="0" count="1" selected="0">
            <x v="199"/>
          </reference>
          <reference field="1" count="1" selected="0">
            <x v="30"/>
          </reference>
          <reference field="2" count="1" selected="0">
            <x v="1"/>
          </reference>
          <reference field="3" count="1">
            <x v="5"/>
          </reference>
        </references>
      </pivotArea>
    </format>
    <format dxfId="2034">
      <pivotArea dataOnly="0" labelOnly="1" outline="0" fieldPosition="0">
        <references count="4">
          <reference field="0" count="1" selected="0">
            <x v="200"/>
          </reference>
          <reference field="1" count="1" selected="0">
            <x v="52"/>
          </reference>
          <reference field="2" count="1" selected="0">
            <x v="1"/>
          </reference>
          <reference field="3" count="1">
            <x v="1"/>
          </reference>
        </references>
      </pivotArea>
    </format>
    <format dxfId="2033">
      <pivotArea dataOnly="0" labelOnly="1" outline="0" fieldPosition="0">
        <references count="4">
          <reference field="0" count="1" selected="0">
            <x v="202"/>
          </reference>
          <reference field="1" count="1" selected="0">
            <x v="3"/>
          </reference>
          <reference field="2" count="1" selected="0">
            <x v="4"/>
          </reference>
          <reference field="3" count="1">
            <x v="0"/>
          </reference>
        </references>
      </pivotArea>
    </format>
    <format dxfId="2032">
      <pivotArea dataOnly="0" labelOnly="1" outline="0" fieldPosition="0">
        <references count="4">
          <reference field="0" count="1" selected="0">
            <x v="203"/>
          </reference>
          <reference field="1" count="1" selected="0">
            <x v="11"/>
          </reference>
          <reference field="2" count="1" selected="0">
            <x v="4"/>
          </reference>
          <reference field="3" count="1">
            <x v="2"/>
          </reference>
        </references>
      </pivotArea>
    </format>
    <format dxfId="2031">
      <pivotArea dataOnly="0" labelOnly="1" outline="0" fieldPosition="0">
        <references count="4">
          <reference field="0" count="1" selected="0">
            <x v="207"/>
          </reference>
          <reference field="1" count="1" selected="0">
            <x v="47"/>
          </reference>
          <reference field="2" count="1" selected="0">
            <x v="0"/>
          </reference>
          <reference field="3" count="1">
            <x v="4"/>
          </reference>
        </references>
      </pivotArea>
    </format>
    <format dxfId="2030">
      <pivotArea dataOnly="0" labelOnly="1" outline="0" fieldPosition="0">
        <references count="4">
          <reference field="0" count="1" selected="0">
            <x v="208"/>
          </reference>
          <reference field="1" count="1" selected="0">
            <x v="16"/>
          </reference>
          <reference field="2" count="1" selected="0">
            <x v="5"/>
          </reference>
          <reference field="3" count="1">
            <x v="0"/>
          </reference>
        </references>
      </pivotArea>
    </format>
    <format dxfId="2029">
      <pivotArea dataOnly="0" labelOnly="1" outline="0" fieldPosition="0">
        <references count="4">
          <reference field="0" count="1" selected="0">
            <x v="209"/>
          </reference>
          <reference field="1" count="1" selected="0">
            <x v="39"/>
          </reference>
          <reference field="2" count="1" selected="0">
            <x v="2"/>
          </reference>
          <reference field="3" count="1">
            <x v="1"/>
          </reference>
        </references>
      </pivotArea>
    </format>
    <format dxfId="2028">
      <pivotArea dataOnly="0" labelOnly="1" outline="0" fieldPosition="0">
        <references count="4">
          <reference field="0" count="1" selected="0">
            <x v="210"/>
          </reference>
          <reference field="1" count="1" selected="0">
            <x v="1"/>
          </reference>
          <reference field="2" count="1" selected="0">
            <x v="5"/>
          </reference>
          <reference field="3" count="1">
            <x v="2"/>
          </reference>
        </references>
      </pivotArea>
    </format>
    <format dxfId="2027">
      <pivotArea dataOnly="0" labelOnly="1" outline="0" fieldPosition="0">
        <references count="4">
          <reference field="0" count="1" selected="0">
            <x v="213"/>
          </reference>
          <reference field="1" count="1" selected="0">
            <x v="19"/>
          </reference>
          <reference field="2" count="1" selected="0">
            <x v="5"/>
          </reference>
          <reference field="3" count="1">
            <x v="3"/>
          </reference>
        </references>
      </pivotArea>
    </format>
    <format dxfId="2026">
      <pivotArea dataOnly="0" labelOnly="1" outline="0" fieldPosition="0">
        <references count="4">
          <reference field="0" count="1" selected="0">
            <x v="214"/>
          </reference>
          <reference field="1" count="1" selected="0">
            <x v="38"/>
          </reference>
          <reference field="2" count="1" selected="0">
            <x v="5"/>
          </reference>
          <reference field="3" count="1">
            <x v="1"/>
          </reference>
        </references>
      </pivotArea>
    </format>
    <format dxfId="2025">
      <pivotArea dataOnly="0" labelOnly="1" outline="0" fieldPosition="0">
        <references count="4">
          <reference field="0" count="1" selected="0">
            <x v="215"/>
          </reference>
          <reference field="1" count="1" selected="0">
            <x v="26"/>
          </reference>
          <reference field="2" count="1" selected="0">
            <x v="5"/>
          </reference>
          <reference field="3" count="1">
            <x v="2"/>
          </reference>
        </references>
      </pivotArea>
    </format>
    <format dxfId="2024">
      <pivotArea dataOnly="0" labelOnly="1" outline="0" fieldPosition="0">
        <references count="4">
          <reference field="0" count="1" selected="0">
            <x v="216"/>
          </reference>
          <reference field="1" count="1" selected="0">
            <x v="57"/>
          </reference>
          <reference field="2" count="1" selected="0">
            <x v="0"/>
          </reference>
          <reference field="3" count="1">
            <x v="4"/>
          </reference>
        </references>
      </pivotArea>
    </format>
    <format dxfId="2023">
      <pivotArea dataOnly="0" labelOnly="1" outline="0" fieldPosition="0">
        <references count="4">
          <reference field="0" count="1" selected="0">
            <x v="217"/>
          </reference>
          <reference field="1" count="1" selected="0">
            <x v="59"/>
          </reference>
          <reference field="2" count="1" selected="0">
            <x v="2"/>
          </reference>
          <reference field="3" count="1">
            <x v="5"/>
          </reference>
        </references>
      </pivotArea>
    </format>
    <format dxfId="2022">
      <pivotArea dataOnly="0" labelOnly="1" outline="0" fieldPosition="0">
        <references count="4">
          <reference field="0" count="1" selected="0">
            <x v="218"/>
          </reference>
          <reference field="1" count="1" selected="0">
            <x v="18"/>
          </reference>
          <reference field="2" count="1" selected="0">
            <x v="2"/>
          </reference>
          <reference field="3" count="1">
            <x v="3"/>
          </reference>
        </references>
      </pivotArea>
    </format>
    <format dxfId="2021">
      <pivotArea dataOnly="0" labelOnly="1" outline="0" fieldPosition="0">
        <references count="4">
          <reference field="0" count="1" selected="0">
            <x v="219"/>
          </reference>
          <reference field="1" count="1" selected="0">
            <x v="39"/>
          </reference>
          <reference field="2" count="1" selected="0">
            <x v="2"/>
          </reference>
          <reference field="3" count="1">
            <x v="7"/>
          </reference>
        </references>
      </pivotArea>
    </format>
    <format dxfId="2020">
      <pivotArea dataOnly="0" labelOnly="1" outline="0" fieldPosition="0">
        <references count="4">
          <reference field="0" count="1" selected="0">
            <x v="220"/>
          </reference>
          <reference field="1" count="1" selected="0">
            <x v="53"/>
          </reference>
          <reference field="2" count="1" selected="0">
            <x v="1"/>
          </reference>
          <reference field="3" count="1">
            <x v="0"/>
          </reference>
        </references>
      </pivotArea>
    </format>
    <format dxfId="2019">
      <pivotArea dataOnly="0" labelOnly="1" outline="0" fieldPosition="0">
        <references count="4">
          <reference field="0" count="1" selected="0">
            <x v="221"/>
          </reference>
          <reference field="1" count="1" selected="0">
            <x v="12"/>
          </reference>
          <reference field="2" count="1" selected="0">
            <x v="4"/>
          </reference>
          <reference field="3" count="1">
            <x v="2"/>
          </reference>
        </references>
      </pivotArea>
    </format>
    <format dxfId="2018">
      <pivotArea dataOnly="0" labelOnly="1" outline="0" fieldPosition="0">
        <references count="4">
          <reference field="0" count="1" selected="0">
            <x v="222"/>
          </reference>
          <reference field="1" count="1" selected="0">
            <x v="36"/>
          </reference>
          <reference field="2" count="1" selected="0">
            <x v="1"/>
          </reference>
          <reference field="3" count="1">
            <x v="1"/>
          </reference>
        </references>
      </pivotArea>
    </format>
    <format dxfId="2017">
      <pivotArea dataOnly="0" labelOnly="1" outline="0" fieldPosition="0">
        <references count="4">
          <reference field="0" count="1" selected="0">
            <x v="223"/>
          </reference>
          <reference field="1" count="1" selected="0">
            <x v="15"/>
          </reference>
          <reference field="2" count="1" selected="0">
            <x v="2"/>
          </reference>
          <reference field="3" count="1">
            <x v="7"/>
          </reference>
        </references>
      </pivotArea>
    </format>
    <format dxfId="2016">
      <pivotArea dataOnly="0" labelOnly="1" outline="0" fieldPosition="0">
        <references count="4">
          <reference field="0" count="1" selected="0">
            <x v="224"/>
          </reference>
          <reference field="1" count="1" selected="0">
            <x v="59"/>
          </reference>
          <reference field="2" count="1" selected="0">
            <x v="2"/>
          </reference>
          <reference field="3" count="1">
            <x v="0"/>
          </reference>
        </references>
      </pivotArea>
    </format>
    <format dxfId="2015">
      <pivotArea dataOnly="0" labelOnly="1" outline="0" fieldPosition="0">
        <references count="4">
          <reference field="0" count="1" selected="0">
            <x v="225"/>
          </reference>
          <reference field="1" count="1" selected="0">
            <x v="26"/>
          </reference>
          <reference field="2" count="1" selected="0">
            <x v="5"/>
          </reference>
          <reference field="3" count="1">
            <x v="2"/>
          </reference>
        </references>
      </pivotArea>
    </format>
    <format dxfId="2014">
      <pivotArea dataOnly="0" labelOnly="1" outline="0" fieldPosition="0">
        <references count="4">
          <reference field="0" count="1" selected="0">
            <x v="226"/>
          </reference>
          <reference field="1" count="1" selected="0">
            <x v="42"/>
          </reference>
          <reference field="2" count="1" selected="0">
            <x v="2"/>
          </reference>
          <reference field="3" count="1">
            <x v="7"/>
          </reference>
        </references>
      </pivotArea>
    </format>
    <format dxfId="2013">
      <pivotArea dataOnly="0" labelOnly="1" outline="0" fieldPosition="0">
        <references count="4">
          <reference field="0" count="1" selected="0">
            <x v="227"/>
          </reference>
          <reference field="1" count="1" selected="0">
            <x v="52"/>
          </reference>
          <reference field="2" count="1" selected="0">
            <x v="1"/>
          </reference>
          <reference field="3" count="1">
            <x v="4"/>
          </reference>
        </references>
      </pivotArea>
    </format>
    <format dxfId="2012">
      <pivotArea dataOnly="0" labelOnly="1" outline="0" fieldPosition="0">
        <references count="4">
          <reference field="0" count="1" selected="0">
            <x v="228"/>
          </reference>
          <reference field="1" count="1" selected="0">
            <x v="54"/>
          </reference>
          <reference field="2" count="1" selected="0">
            <x v="2"/>
          </reference>
          <reference field="3" count="1">
            <x v="2"/>
          </reference>
        </references>
      </pivotArea>
    </format>
    <format dxfId="2011">
      <pivotArea dataOnly="0" labelOnly="1" outline="0" fieldPosition="0">
        <references count="4">
          <reference field="0" count="1" selected="0">
            <x v="229"/>
          </reference>
          <reference field="1" count="1" selected="0">
            <x v="53"/>
          </reference>
          <reference field="2" count="1" selected="0">
            <x v="1"/>
          </reference>
          <reference field="3" count="1">
            <x v="7"/>
          </reference>
        </references>
      </pivotArea>
    </format>
    <format dxfId="2010">
      <pivotArea dataOnly="0" labelOnly="1" outline="0" fieldPosition="0">
        <references count="4">
          <reference field="0" count="1" selected="0">
            <x v="230"/>
          </reference>
          <reference field="1" count="1" selected="0">
            <x v="21"/>
          </reference>
          <reference field="2" count="1" selected="0">
            <x v="2"/>
          </reference>
          <reference field="3" count="1">
            <x v="1"/>
          </reference>
        </references>
      </pivotArea>
    </format>
    <format dxfId="2009">
      <pivotArea dataOnly="0" labelOnly="1" outline="0" fieldPosition="0">
        <references count="4">
          <reference field="0" count="1" selected="0">
            <x v="232"/>
          </reference>
          <reference field="1" count="1" selected="0">
            <x v="47"/>
          </reference>
          <reference field="2" count="1" selected="0">
            <x v="0"/>
          </reference>
          <reference field="3" count="1">
            <x v="0"/>
          </reference>
        </references>
      </pivotArea>
    </format>
    <format dxfId="2008">
      <pivotArea dataOnly="0" labelOnly="1" outline="0" fieldPosition="0">
        <references count="4">
          <reference field="0" count="1" selected="0">
            <x v="233"/>
          </reference>
          <reference field="1" count="1" selected="0">
            <x v="33"/>
          </reference>
          <reference field="2" count="1" selected="0">
            <x v="4"/>
          </reference>
          <reference field="3" count="1">
            <x v="3"/>
          </reference>
        </references>
      </pivotArea>
    </format>
    <format dxfId="2007">
      <pivotArea dataOnly="0" labelOnly="1" outline="0" fieldPosition="0">
        <references count="4">
          <reference field="0" count="1" selected="0">
            <x v="234"/>
          </reference>
          <reference field="1" count="1" selected="0">
            <x v="34"/>
          </reference>
          <reference field="2" count="1" selected="0">
            <x v="5"/>
          </reference>
          <reference field="3" count="1">
            <x v="1"/>
          </reference>
        </references>
      </pivotArea>
    </format>
    <format dxfId="2006">
      <pivotArea dataOnly="0" labelOnly="1" outline="0" fieldPosition="0">
        <references count="4">
          <reference field="0" count="1" selected="0">
            <x v="235"/>
          </reference>
          <reference field="1" count="1" selected="0">
            <x v="38"/>
          </reference>
          <reference field="2" count="1" selected="0">
            <x v="5"/>
          </reference>
          <reference field="3" count="1">
            <x v="2"/>
          </reference>
        </references>
      </pivotArea>
    </format>
    <format dxfId="2005">
      <pivotArea dataOnly="0" labelOnly="1" outline="0" fieldPosition="0">
        <references count="4">
          <reference field="0" count="1" selected="0">
            <x v="236"/>
          </reference>
          <reference field="1" count="1" selected="0">
            <x v="7"/>
          </reference>
          <reference field="2" count="1" selected="0">
            <x v="3"/>
          </reference>
          <reference field="3" count="1">
            <x v="1"/>
          </reference>
        </references>
      </pivotArea>
    </format>
    <format dxfId="2004">
      <pivotArea dataOnly="0" labelOnly="1" outline="0" fieldPosition="0">
        <references count="4">
          <reference field="0" count="1" selected="0">
            <x v="237"/>
          </reference>
          <reference field="1" count="1" selected="0">
            <x v="55"/>
          </reference>
          <reference field="2" count="1" selected="0">
            <x v="1"/>
          </reference>
          <reference field="3" count="1">
            <x v="2"/>
          </reference>
        </references>
      </pivotArea>
    </format>
    <format dxfId="2003">
      <pivotArea dataOnly="0" labelOnly="1" outline="0" fieldPosition="0">
        <references count="4">
          <reference field="0" count="1" selected="0">
            <x v="239"/>
          </reference>
          <reference field="1" count="1" selected="0">
            <x v="3"/>
          </reference>
          <reference field="2" count="1" selected="0">
            <x v="4"/>
          </reference>
          <reference field="3" count="1">
            <x v="1"/>
          </reference>
        </references>
      </pivotArea>
    </format>
    <format dxfId="2002">
      <pivotArea dataOnly="0" labelOnly="1" outline="0" fieldPosition="0">
        <references count="4">
          <reference field="0" count="1" selected="0">
            <x v="240"/>
          </reference>
          <reference field="1" count="1" selected="0">
            <x v="27"/>
          </reference>
          <reference field="2" count="1" selected="0">
            <x v="0"/>
          </reference>
          <reference field="3" count="1">
            <x v="0"/>
          </reference>
        </references>
      </pivotArea>
    </format>
    <format dxfId="2001">
      <pivotArea dataOnly="0" labelOnly="1" outline="0" fieldPosition="0">
        <references count="4">
          <reference field="0" count="1" selected="0">
            <x v="241"/>
          </reference>
          <reference field="1" count="1" selected="0">
            <x v="58"/>
          </reference>
          <reference field="2" count="1" selected="0">
            <x v="1"/>
          </reference>
          <reference field="3" count="1">
            <x v="5"/>
          </reference>
        </references>
      </pivotArea>
    </format>
    <format dxfId="2000">
      <pivotArea dataOnly="0" labelOnly="1" outline="0" fieldPosition="0">
        <references count="4">
          <reference field="0" count="1" selected="0">
            <x v="242"/>
          </reference>
          <reference field="1" count="1" selected="0">
            <x v="12"/>
          </reference>
          <reference field="2" count="1" selected="0">
            <x v="4"/>
          </reference>
          <reference field="3" count="1">
            <x v="0"/>
          </reference>
        </references>
      </pivotArea>
    </format>
    <format dxfId="1999">
      <pivotArea dataOnly="0" labelOnly="1" outline="0" fieldPosition="0">
        <references count="4">
          <reference field="0" count="1" selected="0">
            <x v="243"/>
          </reference>
          <reference field="1" count="1" selected="0">
            <x v="19"/>
          </reference>
          <reference field="2" count="1" selected="0">
            <x v="5"/>
          </reference>
          <reference field="3" count="1">
            <x v="3"/>
          </reference>
        </references>
      </pivotArea>
    </format>
    <format dxfId="1998">
      <pivotArea dataOnly="0" labelOnly="1" outline="0" fieldPosition="0">
        <references count="4">
          <reference field="0" count="1" selected="0">
            <x v="244"/>
          </reference>
          <reference field="1" count="1" selected="0">
            <x v="34"/>
          </reference>
          <reference field="2" count="1" selected="0">
            <x v="5"/>
          </reference>
          <reference field="3" count="1">
            <x v="5"/>
          </reference>
        </references>
      </pivotArea>
    </format>
    <format dxfId="1997">
      <pivotArea dataOnly="0" labelOnly="1" outline="0" fieldPosition="0">
        <references count="4">
          <reference field="0" count="1" selected="0">
            <x v="245"/>
          </reference>
          <reference field="1" count="1" selected="0">
            <x v="40"/>
          </reference>
          <reference field="2" count="1" selected="0">
            <x v="2"/>
          </reference>
          <reference field="3" count="1">
            <x v="3"/>
          </reference>
        </references>
      </pivotArea>
    </format>
    <format dxfId="1996">
      <pivotArea dataOnly="0" labelOnly="1" outline="0" fieldPosition="0">
        <references count="4">
          <reference field="0" count="1" selected="0">
            <x v="246"/>
          </reference>
          <reference field="1" count="1" selected="0">
            <x v="37"/>
          </reference>
          <reference field="2" count="1" selected="0">
            <x v="1"/>
          </reference>
          <reference field="3" count="1">
            <x v="2"/>
          </reference>
        </references>
      </pivotArea>
    </format>
    <format dxfId="1995">
      <pivotArea dataOnly="0" labelOnly="1" outline="0" fieldPosition="0">
        <references count="4">
          <reference field="0" count="1" selected="0">
            <x v="247"/>
          </reference>
          <reference field="1" count="1" selected="0">
            <x v="40"/>
          </reference>
          <reference field="2" count="1" selected="0">
            <x v="2"/>
          </reference>
          <reference field="3" count="1">
            <x v="3"/>
          </reference>
        </references>
      </pivotArea>
    </format>
    <format dxfId="1994">
      <pivotArea dataOnly="0" labelOnly="1" outline="0" fieldPosition="0">
        <references count="4">
          <reference field="0" count="1" selected="0">
            <x v="248"/>
          </reference>
          <reference field="1" count="1" selected="0">
            <x v="39"/>
          </reference>
          <reference field="2" count="1" selected="0">
            <x v="2"/>
          </reference>
          <reference field="3" count="1">
            <x v="5"/>
          </reference>
        </references>
      </pivotArea>
    </format>
    <format dxfId="1993">
      <pivotArea dataOnly="0" labelOnly="1" outline="0" fieldPosition="0">
        <references count="4">
          <reference field="0" count="1" selected="0">
            <x v="249"/>
          </reference>
          <reference field="1" count="1" selected="0">
            <x v="43"/>
          </reference>
          <reference field="2" count="1" selected="0">
            <x v="0"/>
          </reference>
          <reference field="3" count="1">
            <x v="3"/>
          </reference>
        </references>
      </pivotArea>
    </format>
    <format dxfId="1992">
      <pivotArea dataOnly="0" labelOnly="1" outline="0" fieldPosition="0">
        <references count="4">
          <reference field="0" count="1" selected="0">
            <x v="250"/>
          </reference>
          <reference field="1" count="1" selected="0">
            <x v="39"/>
          </reference>
          <reference field="2" count="1" selected="0">
            <x v="2"/>
          </reference>
          <reference field="3" count="1">
            <x v="1"/>
          </reference>
        </references>
      </pivotArea>
    </format>
    <format dxfId="1991">
      <pivotArea dataOnly="0" labelOnly="1" outline="0" fieldPosition="0">
        <references count="4">
          <reference field="0" count="1" selected="0">
            <x v="251"/>
          </reference>
          <reference field="1" count="1" selected="0">
            <x v="35"/>
          </reference>
          <reference field="2" count="1" selected="0">
            <x v="4"/>
          </reference>
          <reference field="3" count="1">
            <x v="7"/>
          </reference>
        </references>
      </pivotArea>
    </format>
    <format dxfId="1990">
      <pivotArea dataOnly="0" labelOnly="1" outline="0" fieldPosition="0">
        <references count="4">
          <reference field="0" count="1" selected="0">
            <x v="252"/>
          </reference>
          <reference field="1" count="1" selected="0">
            <x v="12"/>
          </reference>
          <reference field="2" count="1" selected="0">
            <x v="4"/>
          </reference>
          <reference field="3" count="1">
            <x v="1"/>
          </reference>
        </references>
      </pivotArea>
    </format>
    <format dxfId="1989">
      <pivotArea dataOnly="0" labelOnly="1" outline="0" fieldPosition="0">
        <references count="4">
          <reference field="0" count="1" selected="0">
            <x v="253"/>
          </reference>
          <reference field="1" count="1" selected="0">
            <x v="28"/>
          </reference>
          <reference field="2" count="1" selected="0">
            <x v="3"/>
          </reference>
          <reference field="3" count="1">
            <x v="6"/>
          </reference>
        </references>
      </pivotArea>
    </format>
    <format dxfId="1988">
      <pivotArea dataOnly="0" labelOnly="1" outline="0" fieldPosition="0">
        <references count="4">
          <reference field="0" count="1" selected="0">
            <x v="254"/>
          </reference>
          <reference field="1" count="1" selected="0">
            <x v="48"/>
          </reference>
          <reference field="2" count="1" selected="0">
            <x v="5"/>
          </reference>
          <reference field="3" count="1">
            <x v="7"/>
          </reference>
        </references>
      </pivotArea>
    </format>
    <format dxfId="1987">
      <pivotArea dataOnly="0" labelOnly="1" outline="0" fieldPosition="0">
        <references count="4">
          <reference field="0" count="1" selected="0">
            <x v="255"/>
          </reference>
          <reference field="1" count="1" selected="0">
            <x v="20"/>
          </reference>
          <reference field="2" count="1" selected="0">
            <x v="4"/>
          </reference>
          <reference field="3" count="1">
            <x v="3"/>
          </reference>
        </references>
      </pivotArea>
    </format>
    <format dxfId="1986">
      <pivotArea dataOnly="0" labelOnly="1" outline="0" fieldPosition="0">
        <references count="4">
          <reference field="0" count="1" selected="0">
            <x v="256"/>
          </reference>
          <reference field="1" count="1" selected="0">
            <x v="24"/>
          </reference>
          <reference field="2" count="1" selected="0">
            <x v="0"/>
          </reference>
          <reference field="3" count="1">
            <x v="1"/>
          </reference>
        </references>
      </pivotArea>
    </format>
    <format dxfId="1985">
      <pivotArea dataOnly="0" labelOnly="1" outline="0" fieldPosition="0">
        <references count="4">
          <reference field="0" count="1" selected="0">
            <x v="257"/>
          </reference>
          <reference field="1" count="1" selected="0">
            <x v="8"/>
          </reference>
          <reference field="2" count="1" selected="0">
            <x v="5"/>
          </reference>
          <reference field="3" count="1">
            <x v="0"/>
          </reference>
        </references>
      </pivotArea>
    </format>
    <format dxfId="1984">
      <pivotArea dataOnly="0" labelOnly="1" outline="0" fieldPosition="0">
        <references count="4">
          <reference field="0" count="1" selected="0">
            <x v="259"/>
          </reference>
          <reference field="1" count="1" selected="0">
            <x v="54"/>
          </reference>
          <reference field="2" count="1" selected="0">
            <x v="2"/>
          </reference>
          <reference field="3" count="1">
            <x v="1"/>
          </reference>
        </references>
      </pivotArea>
    </format>
    <format dxfId="1983">
      <pivotArea dataOnly="0" labelOnly="1" outline="0" fieldPosition="0">
        <references count="4">
          <reference field="0" count="1" selected="0">
            <x v="260"/>
          </reference>
          <reference field="1" count="1" selected="0">
            <x v="8"/>
          </reference>
          <reference field="2" count="1" selected="0">
            <x v="5"/>
          </reference>
          <reference field="3" count="1">
            <x v="7"/>
          </reference>
        </references>
      </pivotArea>
    </format>
    <format dxfId="1982">
      <pivotArea dataOnly="0" labelOnly="1" outline="0" fieldPosition="0">
        <references count="4">
          <reference field="0" count="1" selected="0">
            <x v="261"/>
          </reference>
          <reference field="1" count="1" selected="0">
            <x v="11"/>
          </reference>
          <reference field="2" count="1" selected="0">
            <x v="4"/>
          </reference>
          <reference field="3" count="1">
            <x v="4"/>
          </reference>
        </references>
      </pivotArea>
    </format>
    <format dxfId="1981">
      <pivotArea dataOnly="0" labelOnly="1" outline="0" fieldPosition="0">
        <references count="4">
          <reference field="0" count="1" selected="0">
            <x v="262"/>
          </reference>
          <reference field="1" count="1" selected="0">
            <x v="51"/>
          </reference>
          <reference field="2" count="1" selected="0">
            <x v="0"/>
          </reference>
          <reference field="3" count="1">
            <x v="7"/>
          </reference>
        </references>
      </pivotArea>
    </format>
    <format dxfId="1980">
      <pivotArea dataOnly="0" labelOnly="1" outline="0" fieldPosition="0">
        <references count="4">
          <reference field="0" count="1" selected="0">
            <x v="263"/>
          </reference>
          <reference field="1" count="1" selected="0">
            <x v="50"/>
          </reference>
          <reference field="2" count="1" selected="0">
            <x v="3"/>
          </reference>
          <reference field="3" count="1">
            <x v="6"/>
          </reference>
        </references>
      </pivotArea>
    </format>
    <format dxfId="1979">
      <pivotArea dataOnly="0" labelOnly="1" outline="0" fieldPosition="0">
        <references count="4">
          <reference field="0" count="1" selected="0">
            <x v="265"/>
          </reference>
          <reference field="1" count="1" selected="0">
            <x v="18"/>
          </reference>
          <reference field="2" count="1" selected="0">
            <x v="2"/>
          </reference>
          <reference field="3" count="1">
            <x v="7"/>
          </reference>
        </references>
      </pivotArea>
    </format>
    <format dxfId="1978">
      <pivotArea dataOnly="0" labelOnly="1" outline="0" fieldPosition="0">
        <references count="4">
          <reference field="0" count="1" selected="0">
            <x v="266"/>
          </reference>
          <reference field="1" count="1" selected="0">
            <x v="49"/>
          </reference>
          <reference field="2" count="1" selected="0">
            <x v="3"/>
          </reference>
          <reference field="3" count="1">
            <x v="5"/>
          </reference>
        </references>
      </pivotArea>
    </format>
    <format dxfId="1977">
      <pivotArea dataOnly="0" labelOnly="1" outline="0" fieldPosition="0">
        <references count="4">
          <reference field="0" count="1" selected="0">
            <x v="267"/>
          </reference>
          <reference field="1" count="1" selected="0">
            <x v="32"/>
          </reference>
          <reference field="2" count="1" selected="0">
            <x v="1"/>
          </reference>
          <reference field="3" count="1">
            <x v="7"/>
          </reference>
        </references>
      </pivotArea>
    </format>
    <format dxfId="1976">
      <pivotArea dataOnly="0" labelOnly="1" outline="0" fieldPosition="0">
        <references count="4">
          <reference field="0" count="1" selected="0">
            <x v="268"/>
          </reference>
          <reference field="1" count="1" selected="0">
            <x v="18"/>
          </reference>
          <reference field="2" count="1" selected="0">
            <x v="2"/>
          </reference>
          <reference field="3" count="1">
            <x v="2"/>
          </reference>
        </references>
      </pivotArea>
    </format>
    <format dxfId="1975">
      <pivotArea dataOnly="0" labelOnly="1" outline="0" fieldPosition="0">
        <references count="4">
          <reference field="0" count="1" selected="0">
            <x v="271"/>
          </reference>
          <reference field="1" count="1" selected="0">
            <x v="30"/>
          </reference>
          <reference field="2" count="1" selected="0">
            <x v="1"/>
          </reference>
          <reference field="3" count="1">
            <x v="4"/>
          </reference>
        </references>
      </pivotArea>
    </format>
    <format dxfId="1974">
      <pivotArea dataOnly="0" labelOnly="1" outline="0" fieldPosition="0">
        <references count="4">
          <reference field="0" count="1" selected="0">
            <x v="273"/>
          </reference>
          <reference field="1" count="1" selected="0">
            <x v="54"/>
          </reference>
          <reference field="2" count="1" selected="0">
            <x v="2"/>
          </reference>
          <reference field="3" count="1">
            <x v="1"/>
          </reference>
        </references>
      </pivotArea>
    </format>
    <format dxfId="1973">
      <pivotArea dataOnly="0" labelOnly="1" outline="0" fieldPosition="0">
        <references count="4">
          <reference field="0" count="1" selected="0">
            <x v="274"/>
          </reference>
          <reference field="1" count="1" selected="0">
            <x v="32"/>
          </reference>
          <reference field="2" count="1" selected="0">
            <x v="1"/>
          </reference>
          <reference field="3" count="1">
            <x v="2"/>
          </reference>
        </references>
      </pivotArea>
    </format>
    <format dxfId="1972">
      <pivotArea dataOnly="0" labelOnly="1" outline="0" fieldPosition="0">
        <references count="4">
          <reference field="0" count="1" selected="0">
            <x v="276"/>
          </reference>
          <reference field="1" count="1" selected="0">
            <x v="58"/>
          </reference>
          <reference field="2" count="1" selected="0">
            <x v="1"/>
          </reference>
          <reference field="3" count="1">
            <x v="0"/>
          </reference>
        </references>
      </pivotArea>
    </format>
    <format dxfId="1971">
      <pivotArea dataOnly="0" labelOnly="1" outline="0" fieldPosition="0">
        <references count="4">
          <reference field="0" count="1" selected="0">
            <x v="277"/>
          </reference>
          <reference field="1" count="1" selected="0">
            <x v="9"/>
          </reference>
          <reference field="2" count="1" selected="0">
            <x v="3"/>
          </reference>
          <reference field="3" count="1">
            <x v="5"/>
          </reference>
        </references>
      </pivotArea>
    </format>
    <format dxfId="1970">
      <pivotArea dataOnly="0" labelOnly="1" outline="0" fieldPosition="0">
        <references count="4">
          <reference field="0" count="1" selected="0">
            <x v="278"/>
          </reference>
          <reference field="1" count="1" selected="0">
            <x v="12"/>
          </reference>
          <reference field="2" count="1" selected="0">
            <x v="4"/>
          </reference>
          <reference field="3" count="1">
            <x v="3"/>
          </reference>
        </references>
      </pivotArea>
    </format>
    <format dxfId="1969">
      <pivotArea dataOnly="0" labelOnly="1" outline="0" fieldPosition="0">
        <references count="4">
          <reference field="0" count="1" selected="0">
            <x v="279"/>
          </reference>
          <reference field="1" count="1" selected="0">
            <x v="28"/>
          </reference>
          <reference field="2" count="1" selected="0">
            <x v="3"/>
          </reference>
          <reference field="3" count="1">
            <x v="7"/>
          </reference>
        </references>
      </pivotArea>
    </format>
    <format dxfId="1968">
      <pivotArea dataOnly="0" labelOnly="1" outline="0" fieldPosition="0">
        <references count="4">
          <reference field="0" count="1" selected="0">
            <x v="280"/>
          </reference>
          <reference field="1" count="1" selected="0">
            <x v="39"/>
          </reference>
          <reference field="2" count="1" selected="0">
            <x v="2"/>
          </reference>
          <reference field="3" count="1">
            <x v="2"/>
          </reference>
        </references>
      </pivotArea>
    </format>
    <format dxfId="1967">
      <pivotArea dataOnly="0" labelOnly="1" outline="0" fieldPosition="0">
        <references count="4">
          <reference field="0" count="1" selected="0">
            <x v="281"/>
          </reference>
          <reference field="1" count="1" selected="0">
            <x v="51"/>
          </reference>
          <reference field="2" count="1" selected="0">
            <x v="0"/>
          </reference>
          <reference field="3" count="1">
            <x v="0"/>
          </reference>
        </references>
      </pivotArea>
    </format>
    <format dxfId="1966">
      <pivotArea dataOnly="0" labelOnly="1" outline="0" fieldPosition="0">
        <references count="4">
          <reference field="0" count="1" selected="0">
            <x v="282"/>
          </reference>
          <reference field="1" count="1" selected="0">
            <x v="1"/>
          </reference>
          <reference field="2" count="1" selected="0">
            <x v="5"/>
          </reference>
          <reference field="3" count="1">
            <x v="4"/>
          </reference>
        </references>
      </pivotArea>
    </format>
    <format dxfId="1965">
      <pivotArea dataOnly="0" labelOnly="1" outline="0" fieldPosition="0">
        <references count="4">
          <reference field="0" count="1" selected="0">
            <x v="283"/>
          </reference>
          <reference field="1" count="1" selected="0">
            <x v="18"/>
          </reference>
          <reference field="2" count="1" selected="0">
            <x v="2"/>
          </reference>
          <reference field="3" count="1">
            <x v="2"/>
          </reference>
        </references>
      </pivotArea>
    </format>
    <format dxfId="1964">
      <pivotArea dataOnly="0" labelOnly="1" outline="0" fieldPosition="0">
        <references count="4">
          <reference field="0" count="1" selected="0">
            <x v="284"/>
          </reference>
          <reference field="1" count="1" selected="0">
            <x v="34"/>
          </reference>
          <reference field="2" count="1" selected="0">
            <x v="5"/>
          </reference>
          <reference field="3" count="1">
            <x v="1"/>
          </reference>
        </references>
      </pivotArea>
    </format>
    <format dxfId="1963">
      <pivotArea dataOnly="0" labelOnly="1" outline="0" fieldPosition="0">
        <references count="4">
          <reference field="0" count="1" selected="0">
            <x v="285"/>
          </reference>
          <reference field="1" count="1" selected="0">
            <x v="58"/>
          </reference>
          <reference field="2" count="1" selected="0">
            <x v="1"/>
          </reference>
          <reference field="3" count="1">
            <x v="2"/>
          </reference>
        </references>
      </pivotArea>
    </format>
    <format dxfId="1962">
      <pivotArea dataOnly="0" labelOnly="1" outline="0" fieldPosition="0">
        <references count="4">
          <reference field="0" count="1" selected="0">
            <x v="286"/>
          </reference>
          <reference field="1" count="1" selected="0">
            <x v="47"/>
          </reference>
          <reference field="2" count="1" selected="0">
            <x v="0"/>
          </reference>
          <reference field="3" count="1">
            <x v="5"/>
          </reference>
        </references>
      </pivotArea>
    </format>
    <format dxfId="1961">
      <pivotArea dataOnly="0" labelOnly="1" outline="0" fieldPosition="0">
        <references count="4">
          <reference field="0" count="1" selected="0">
            <x v="287"/>
          </reference>
          <reference field="1" count="1" selected="0">
            <x v="27"/>
          </reference>
          <reference field="2" count="1" selected="0">
            <x v="0"/>
          </reference>
          <reference field="3" count="1">
            <x v="3"/>
          </reference>
        </references>
      </pivotArea>
    </format>
    <format dxfId="1960">
      <pivotArea dataOnly="0" labelOnly="1" outline="0" fieldPosition="0">
        <references count="4">
          <reference field="0" count="1" selected="0">
            <x v="288"/>
          </reference>
          <reference field="1" count="1" selected="0">
            <x v="46"/>
          </reference>
          <reference field="2" count="1" selected="0">
            <x v="3"/>
          </reference>
          <reference field="3" count="1">
            <x v="4"/>
          </reference>
        </references>
      </pivotArea>
    </format>
    <format dxfId="1959">
      <pivotArea dataOnly="0" labelOnly="1" outline="0" fieldPosition="0">
        <references count="4">
          <reference field="0" count="1" selected="0">
            <x v="289"/>
          </reference>
          <reference field="1" count="1" selected="0">
            <x v="53"/>
          </reference>
          <reference field="2" count="1" selected="0">
            <x v="1"/>
          </reference>
          <reference field="3" count="1">
            <x v="0"/>
          </reference>
        </references>
      </pivotArea>
    </format>
    <format dxfId="1958">
      <pivotArea dataOnly="0" labelOnly="1" outline="0" fieldPosition="0">
        <references count="4">
          <reference field="0" count="1" selected="0">
            <x v="290"/>
          </reference>
          <reference field="1" count="1" selected="0">
            <x v="41"/>
          </reference>
          <reference field="2" count="1" selected="0">
            <x v="0"/>
          </reference>
          <reference field="3" count="1">
            <x v="3"/>
          </reference>
        </references>
      </pivotArea>
    </format>
    <format dxfId="1957">
      <pivotArea dataOnly="0" labelOnly="1" outline="0" fieldPosition="0">
        <references count="4">
          <reference field="0" count="1" selected="0">
            <x v="291"/>
          </reference>
          <reference field="1" count="1" selected="0">
            <x v="3"/>
          </reference>
          <reference field="2" count="1" selected="0">
            <x v="4"/>
          </reference>
          <reference field="3" count="1">
            <x v="2"/>
          </reference>
        </references>
      </pivotArea>
    </format>
    <format dxfId="1956">
      <pivotArea dataOnly="0" labelOnly="1" outline="0" fieldPosition="0">
        <references count="4">
          <reference field="0" count="1" selected="0">
            <x v="292"/>
          </reference>
          <reference field="1" count="1" selected="0">
            <x v="56"/>
          </reference>
          <reference field="2" count="1" selected="0">
            <x v="4"/>
          </reference>
          <reference field="3" count="1">
            <x v="5"/>
          </reference>
        </references>
      </pivotArea>
    </format>
    <format dxfId="1955">
      <pivotArea dataOnly="0" labelOnly="1" outline="0" fieldPosition="0">
        <references count="4">
          <reference field="0" count="1" selected="0">
            <x v="294"/>
          </reference>
          <reference field="1" count="1" selected="0">
            <x v="14"/>
          </reference>
          <reference field="2" count="1" selected="0">
            <x v="4"/>
          </reference>
          <reference field="3" count="1">
            <x v="0"/>
          </reference>
        </references>
      </pivotArea>
    </format>
    <format dxfId="1954">
      <pivotArea dataOnly="0" labelOnly="1" outline="0" fieldPosition="0">
        <references count="4">
          <reference field="0" count="1" selected="0">
            <x v="295"/>
          </reference>
          <reference field="1" count="1" selected="0">
            <x v="5"/>
          </reference>
          <reference field="2" count="1" selected="0">
            <x v="0"/>
          </reference>
          <reference field="3" count="1">
            <x v="4"/>
          </reference>
        </references>
      </pivotArea>
    </format>
    <format dxfId="1953">
      <pivotArea dataOnly="0" labelOnly="1" outline="0" fieldPosition="0">
        <references count="4">
          <reference field="0" count="1" selected="0">
            <x v="296"/>
          </reference>
          <reference field="1" count="1" selected="0">
            <x v="28"/>
          </reference>
          <reference field="2" count="1" selected="0">
            <x v="3"/>
          </reference>
          <reference field="3" count="1">
            <x v="7"/>
          </reference>
        </references>
      </pivotArea>
    </format>
    <format dxfId="1952">
      <pivotArea dataOnly="0" labelOnly="1" outline="0" fieldPosition="0">
        <references count="4">
          <reference field="0" count="1" selected="0">
            <x v="297"/>
          </reference>
          <reference field="1" count="1" selected="0">
            <x v="20"/>
          </reference>
          <reference field="2" count="1" selected="0">
            <x v="4"/>
          </reference>
          <reference field="3" count="1">
            <x v="0"/>
          </reference>
        </references>
      </pivotArea>
    </format>
    <format dxfId="1951">
      <pivotArea dataOnly="0" labelOnly="1" outline="0" fieldPosition="0">
        <references count="4">
          <reference field="0" count="1" selected="0">
            <x v="298"/>
          </reference>
          <reference field="1" count="1" selected="0">
            <x v="42"/>
          </reference>
          <reference field="2" count="1" selected="0">
            <x v="2"/>
          </reference>
          <reference field="3" count="1">
            <x v="2"/>
          </reference>
        </references>
      </pivotArea>
    </format>
    <format dxfId="1950">
      <pivotArea dataOnly="0" labelOnly="1" outline="0" fieldPosition="0">
        <references count="4">
          <reference field="0" count="1" selected="0">
            <x v="299"/>
          </reference>
          <reference field="1" count="1" selected="0">
            <x v="39"/>
          </reference>
          <reference field="2" count="1" selected="0">
            <x v="2"/>
          </reference>
          <reference field="3" count="1">
            <x v="3"/>
          </reference>
        </references>
      </pivotArea>
    </format>
    <format dxfId="1949">
      <pivotArea dataOnly="0" labelOnly="1" outline="0" fieldPosition="0">
        <references count="5">
          <reference field="0" count="1" selected="0">
            <x v="0"/>
          </reference>
          <reference field="1" count="1" selected="0">
            <x v="0"/>
          </reference>
          <reference field="2" count="1" selected="0">
            <x v="0"/>
          </reference>
          <reference field="3" count="1" selected="0">
            <x v="7"/>
          </reference>
          <reference field="4" count="1">
            <x v="0"/>
          </reference>
        </references>
      </pivotArea>
    </format>
    <format dxfId="1948">
      <pivotArea dataOnly="0" labelOnly="1" outline="0" fieldPosition="0">
        <references count="5">
          <reference field="0" count="1" selected="0">
            <x v="1"/>
          </reference>
          <reference field="1" count="1" selected="0">
            <x v="58"/>
          </reference>
          <reference field="2" count="1" selected="0">
            <x v="1"/>
          </reference>
          <reference field="3" count="1" selected="0">
            <x v="5"/>
          </reference>
          <reference field="4" count="1">
            <x v="1"/>
          </reference>
        </references>
      </pivotArea>
    </format>
    <format dxfId="1947">
      <pivotArea dataOnly="0" labelOnly="1" outline="0" fieldPosition="0">
        <references count="5">
          <reference field="0" count="1" selected="0">
            <x v="2"/>
          </reference>
          <reference field="1" count="1" selected="0">
            <x v="35"/>
          </reference>
          <reference field="2" count="1" selected="0">
            <x v="4"/>
          </reference>
          <reference field="3" count="1" selected="0">
            <x v="6"/>
          </reference>
          <reference field="4" count="1">
            <x v="3"/>
          </reference>
        </references>
      </pivotArea>
    </format>
    <format dxfId="1946">
      <pivotArea dataOnly="0" labelOnly="1" outline="0" fieldPosition="0">
        <references count="5">
          <reference field="0" count="1" selected="0">
            <x v="3"/>
          </reference>
          <reference field="1" count="1" selected="0">
            <x v="33"/>
          </reference>
          <reference field="2" count="1" selected="0">
            <x v="4"/>
          </reference>
          <reference field="3" count="1" selected="0">
            <x v="3"/>
          </reference>
          <reference field="4" count="1">
            <x v="0"/>
          </reference>
        </references>
      </pivotArea>
    </format>
    <format dxfId="1945">
      <pivotArea dataOnly="0" labelOnly="1" outline="0" fieldPosition="0">
        <references count="5">
          <reference field="0" count="1" selected="0">
            <x v="4"/>
          </reference>
          <reference field="1" count="1" selected="0">
            <x v="8"/>
          </reference>
          <reference field="2" count="1" selected="0">
            <x v="5"/>
          </reference>
          <reference field="3" count="1" selected="0">
            <x v="3"/>
          </reference>
          <reference field="4" count="1">
            <x v="2"/>
          </reference>
        </references>
      </pivotArea>
    </format>
    <format dxfId="1944">
      <pivotArea dataOnly="0" labelOnly="1" outline="0" fieldPosition="0">
        <references count="5">
          <reference field="0" count="1" selected="0">
            <x v="5"/>
          </reference>
          <reference field="1" count="1" selected="0">
            <x v="36"/>
          </reference>
          <reference field="2" count="1" selected="0">
            <x v="1"/>
          </reference>
          <reference field="3" count="1" selected="0">
            <x v="6"/>
          </reference>
          <reference field="4" count="1">
            <x v="4"/>
          </reference>
        </references>
      </pivotArea>
    </format>
    <format dxfId="1943">
      <pivotArea dataOnly="0" labelOnly="1" outline="0" fieldPosition="0">
        <references count="5">
          <reference field="0" count="1" selected="0">
            <x v="7"/>
          </reference>
          <reference field="1" count="1" selected="0">
            <x v="16"/>
          </reference>
          <reference field="2" count="1" selected="0">
            <x v="5"/>
          </reference>
          <reference field="3" count="1" selected="0">
            <x v="6"/>
          </reference>
          <reference field="4" count="1">
            <x v="3"/>
          </reference>
        </references>
      </pivotArea>
    </format>
    <format dxfId="1942">
      <pivotArea dataOnly="0" labelOnly="1" outline="0" fieldPosition="0">
        <references count="5">
          <reference field="0" count="1" selected="0">
            <x v="8"/>
          </reference>
          <reference field="1" count="1" selected="0">
            <x v="9"/>
          </reference>
          <reference field="2" count="1" selected="0">
            <x v="3"/>
          </reference>
          <reference field="3" count="1" selected="0">
            <x v="0"/>
          </reference>
          <reference field="4" count="1">
            <x v="1"/>
          </reference>
        </references>
      </pivotArea>
    </format>
    <format dxfId="1941">
      <pivotArea dataOnly="0" labelOnly="1" outline="0" fieldPosition="0">
        <references count="5">
          <reference field="0" count="1" selected="0">
            <x v="9"/>
          </reference>
          <reference field="1" count="1" selected="0">
            <x v="50"/>
          </reference>
          <reference field="2" count="1" selected="0">
            <x v="3"/>
          </reference>
          <reference field="3" count="1" selected="0">
            <x v="4"/>
          </reference>
          <reference field="4" count="1">
            <x v="3"/>
          </reference>
        </references>
      </pivotArea>
    </format>
    <format dxfId="1940">
      <pivotArea dataOnly="0" labelOnly="1" outline="0" fieldPosition="0">
        <references count="5">
          <reference field="0" count="1" selected="0">
            <x v="10"/>
          </reference>
          <reference field="1" count="1" selected="0">
            <x v="14"/>
          </reference>
          <reference field="2" count="1" selected="0">
            <x v="4"/>
          </reference>
          <reference field="3" count="1" selected="0">
            <x v="4"/>
          </reference>
          <reference field="4" count="1">
            <x v="2"/>
          </reference>
        </references>
      </pivotArea>
    </format>
    <format dxfId="1939">
      <pivotArea dataOnly="0" labelOnly="1" outline="0" fieldPosition="0">
        <references count="5">
          <reference field="0" count="1" selected="0">
            <x v="11"/>
          </reference>
          <reference field="1" count="1" selected="0">
            <x v="27"/>
          </reference>
          <reference field="2" count="1" selected="0">
            <x v="0"/>
          </reference>
          <reference field="3" count="1" selected="0">
            <x v="5"/>
          </reference>
          <reference field="4" count="1">
            <x v="0"/>
          </reference>
        </references>
      </pivotArea>
    </format>
    <format dxfId="1938">
      <pivotArea dataOnly="0" labelOnly="1" outline="0" fieldPosition="0">
        <references count="5">
          <reference field="0" count="1" selected="0">
            <x v="13"/>
          </reference>
          <reference field="1" count="1" selected="0">
            <x v="37"/>
          </reference>
          <reference field="2" count="1" selected="0">
            <x v="1"/>
          </reference>
          <reference field="3" count="1" selected="0">
            <x v="3"/>
          </reference>
          <reference field="4" count="1">
            <x v="4"/>
          </reference>
        </references>
      </pivotArea>
    </format>
    <format dxfId="1937">
      <pivotArea dataOnly="0" labelOnly="1" outline="0" fieldPosition="0">
        <references count="5">
          <reference field="0" count="1" selected="0">
            <x v="15"/>
          </reference>
          <reference field="1" count="1" selected="0">
            <x v="9"/>
          </reference>
          <reference field="2" count="1" selected="0">
            <x v="3"/>
          </reference>
          <reference field="3" count="1" selected="0">
            <x v="1"/>
          </reference>
          <reference field="4" count="1">
            <x v="1"/>
          </reference>
        </references>
      </pivotArea>
    </format>
    <format dxfId="1936">
      <pivotArea dataOnly="0" labelOnly="1" outline="0" fieldPosition="0">
        <references count="5">
          <reference field="0" count="1" selected="0">
            <x v="16"/>
          </reference>
          <reference field="1" count="1" selected="0">
            <x v="3"/>
          </reference>
          <reference field="2" count="1" selected="0">
            <x v="4"/>
          </reference>
          <reference field="3" count="1" selected="0">
            <x v="4"/>
          </reference>
          <reference field="4" count="1">
            <x v="3"/>
          </reference>
        </references>
      </pivotArea>
    </format>
    <format dxfId="1935">
      <pivotArea dataOnly="0" labelOnly="1" outline="0" fieldPosition="0">
        <references count="5">
          <reference field="0" count="1" selected="0">
            <x v="18"/>
          </reference>
          <reference field="1" count="1" selected="0">
            <x v="40"/>
          </reference>
          <reference field="2" count="1" selected="0">
            <x v="2"/>
          </reference>
          <reference field="3" count="1" selected="0">
            <x v="4"/>
          </reference>
          <reference field="4" count="1">
            <x v="1"/>
          </reference>
        </references>
      </pivotArea>
    </format>
    <format dxfId="1934">
      <pivotArea dataOnly="0" labelOnly="1" outline="0" fieldPosition="0">
        <references count="5">
          <reference field="0" count="1" selected="0">
            <x v="19"/>
          </reference>
          <reference field="1" count="1" selected="0">
            <x v="12"/>
          </reference>
          <reference field="2" count="1" selected="0">
            <x v="4"/>
          </reference>
          <reference field="3" count="1" selected="0">
            <x v="7"/>
          </reference>
          <reference field="4" count="1">
            <x v="3"/>
          </reference>
        </references>
      </pivotArea>
    </format>
    <format dxfId="1933">
      <pivotArea dataOnly="0" labelOnly="1" outline="0" fieldPosition="0">
        <references count="5">
          <reference field="0" count="1" selected="0">
            <x v="20"/>
          </reference>
          <reference field="1" count="1" selected="0">
            <x v="17"/>
          </reference>
          <reference field="2" count="1" selected="0">
            <x v="4"/>
          </reference>
          <reference field="3" count="1" selected="0">
            <x v="1"/>
          </reference>
          <reference field="4" count="1">
            <x v="1"/>
          </reference>
        </references>
      </pivotArea>
    </format>
    <format dxfId="1932">
      <pivotArea dataOnly="0" labelOnly="1" outline="0" fieldPosition="0">
        <references count="5">
          <reference field="0" count="1" selected="0">
            <x v="21"/>
          </reference>
          <reference field="1" count="1" selected="0">
            <x v="4"/>
          </reference>
          <reference field="2" count="1" selected="0">
            <x v="0"/>
          </reference>
          <reference field="3" count="1" selected="0">
            <x v="7"/>
          </reference>
          <reference field="4" count="1">
            <x v="3"/>
          </reference>
        </references>
      </pivotArea>
    </format>
    <format dxfId="1931">
      <pivotArea dataOnly="0" labelOnly="1" outline="0" fieldPosition="0">
        <references count="5">
          <reference field="0" count="1" selected="0">
            <x v="22"/>
          </reference>
          <reference field="1" count="1" selected="0">
            <x v="49"/>
          </reference>
          <reference field="2" count="1" selected="0">
            <x v="3"/>
          </reference>
          <reference field="3" count="1" selected="0">
            <x v="7"/>
          </reference>
          <reference field="4" count="1">
            <x v="4"/>
          </reference>
        </references>
      </pivotArea>
    </format>
    <format dxfId="1930">
      <pivotArea dataOnly="0" labelOnly="1" outline="0" fieldPosition="0">
        <references count="5">
          <reference field="0" count="1" selected="0">
            <x v="23"/>
          </reference>
          <reference field="1" count="1" selected="0">
            <x v="31"/>
          </reference>
          <reference field="2" count="1" selected="0">
            <x v="3"/>
          </reference>
          <reference field="3" count="1" selected="0">
            <x v="6"/>
          </reference>
          <reference field="4" count="1">
            <x v="1"/>
          </reference>
        </references>
      </pivotArea>
    </format>
    <format dxfId="1929">
      <pivotArea dataOnly="0" labelOnly="1" outline="0" fieldPosition="0">
        <references count="5">
          <reference field="0" count="1" selected="0">
            <x v="24"/>
          </reference>
          <reference field="1" count="1" selected="0">
            <x v="21"/>
          </reference>
          <reference field="2" count="1" selected="0">
            <x v="2"/>
          </reference>
          <reference field="3" count="1" selected="0">
            <x v="0"/>
          </reference>
          <reference field="4" count="1">
            <x v="3"/>
          </reference>
        </references>
      </pivotArea>
    </format>
    <format dxfId="1928">
      <pivotArea dataOnly="0" labelOnly="1" outline="0" fieldPosition="0">
        <references count="5">
          <reference field="0" count="1" selected="0">
            <x v="25"/>
          </reference>
          <reference field="1" count="1" selected="0">
            <x v="23"/>
          </reference>
          <reference field="2" count="1" selected="0">
            <x v="2"/>
          </reference>
          <reference field="3" count="1" selected="0">
            <x v="7"/>
          </reference>
          <reference field="4" count="1">
            <x v="2"/>
          </reference>
        </references>
      </pivotArea>
    </format>
    <format dxfId="1927">
      <pivotArea dataOnly="0" labelOnly="1" outline="0" fieldPosition="0">
        <references count="5">
          <reference field="0" count="1" selected="0">
            <x v="26"/>
          </reference>
          <reference field="1" count="1" selected="0">
            <x v="9"/>
          </reference>
          <reference field="2" count="1" selected="0">
            <x v="3"/>
          </reference>
          <reference field="3" count="1" selected="0">
            <x v="1"/>
          </reference>
          <reference field="4" count="1">
            <x v="1"/>
          </reference>
        </references>
      </pivotArea>
    </format>
    <format dxfId="1926">
      <pivotArea dataOnly="0" labelOnly="1" outline="0" fieldPosition="0">
        <references count="5">
          <reference field="0" count="1" selected="0">
            <x v="27"/>
          </reference>
          <reference field="1" count="1" selected="0">
            <x v="22"/>
          </reference>
          <reference field="2" count="1" selected="0">
            <x v="2"/>
          </reference>
          <reference field="3" count="1" selected="0">
            <x v="5"/>
          </reference>
          <reference field="4" count="1">
            <x v="3"/>
          </reference>
        </references>
      </pivotArea>
    </format>
    <format dxfId="1925">
      <pivotArea dataOnly="0" labelOnly="1" outline="0" fieldPosition="0">
        <references count="5">
          <reference field="0" count="1" selected="0">
            <x v="28"/>
          </reference>
          <reference field="1" count="1" selected="0">
            <x v="19"/>
          </reference>
          <reference field="2" count="1" selected="0">
            <x v="5"/>
          </reference>
          <reference field="3" count="1" selected="0">
            <x v="0"/>
          </reference>
          <reference field="4" count="1">
            <x v="4"/>
          </reference>
        </references>
      </pivotArea>
    </format>
    <format dxfId="1924">
      <pivotArea dataOnly="0" labelOnly="1" outline="0" fieldPosition="0">
        <references count="5">
          <reference field="0" count="1" selected="0">
            <x v="29"/>
          </reference>
          <reference field="1" count="1" selected="0">
            <x v="4"/>
          </reference>
          <reference field="2" count="1" selected="0">
            <x v="0"/>
          </reference>
          <reference field="3" count="1" selected="0">
            <x v="6"/>
          </reference>
          <reference field="4" count="1">
            <x v="3"/>
          </reference>
        </references>
      </pivotArea>
    </format>
    <format dxfId="1923">
      <pivotArea dataOnly="0" labelOnly="1" outline="0" fieldPosition="0">
        <references count="5">
          <reference field="0" count="1" selected="0">
            <x v="30"/>
          </reference>
          <reference field="1" count="1" selected="0">
            <x v="23"/>
          </reference>
          <reference field="2" count="1" selected="0">
            <x v="2"/>
          </reference>
          <reference field="3" count="1" selected="0">
            <x v="3"/>
          </reference>
          <reference field="4" count="1">
            <x v="1"/>
          </reference>
        </references>
      </pivotArea>
    </format>
    <format dxfId="1922">
      <pivotArea dataOnly="0" labelOnly="1" outline="0" fieldPosition="0">
        <references count="5">
          <reference field="0" count="1" selected="0">
            <x v="31"/>
          </reference>
          <reference field="1" count="1" selected="0">
            <x v="34"/>
          </reference>
          <reference field="2" count="1" selected="0">
            <x v="5"/>
          </reference>
          <reference field="3" count="1" selected="0">
            <x v="7"/>
          </reference>
          <reference field="4" count="1">
            <x v="0"/>
          </reference>
        </references>
      </pivotArea>
    </format>
    <format dxfId="1921">
      <pivotArea dataOnly="0" labelOnly="1" outline="0" fieldPosition="0">
        <references count="5">
          <reference field="0" count="1" selected="0">
            <x v="32"/>
          </reference>
          <reference field="1" count="1" selected="0">
            <x v="53"/>
          </reference>
          <reference field="2" count="1" selected="0">
            <x v="1"/>
          </reference>
          <reference field="3" count="1" selected="0">
            <x v="0"/>
          </reference>
          <reference field="4" count="1">
            <x v="2"/>
          </reference>
        </references>
      </pivotArea>
    </format>
    <format dxfId="1920">
      <pivotArea dataOnly="0" labelOnly="1" outline="0" fieldPosition="0">
        <references count="5">
          <reference field="0" count="1" selected="0">
            <x v="33"/>
          </reference>
          <reference field="1" count="1" selected="0">
            <x v="45"/>
          </reference>
          <reference field="2" count="1" selected="0">
            <x v="5"/>
          </reference>
          <reference field="3" count="1" selected="0">
            <x v="2"/>
          </reference>
          <reference field="4" count="1">
            <x v="3"/>
          </reference>
        </references>
      </pivotArea>
    </format>
    <format dxfId="1919">
      <pivotArea dataOnly="0" labelOnly="1" outline="0" fieldPosition="0">
        <references count="5">
          <reference field="0" count="1" selected="0">
            <x v="34"/>
          </reference>
          <reference field="1" count="1" selected="0">
            <x v="49"/>
          </reference>
          <reference field="2" count="1" selected="0">
            <x v="3"/>
          </reference>
          <reference field="3" count="1" selected="0">
            <x v="7"/>
          </reference>
          <reference field="4" count="1">
            <x v="1"/>
          </reference>
        </references>
      </pivotArea>
    </format>
    <format dxfId="1918">
      <pivotArea dataOnly="0" labelOnly="1" outline="0" fieldPosition="0">
        <references count="5">
          <reference field="0" count="1" selected="0">
            <x v="35"/>
          </reference>
          <reference field="1" count="1" selected="0">
            <x v="0"/>
          </reference>
          <reference field="2" count="1" selected="0">
            <x v="0"/>
          </reference>
          <reference field="3" count="1" selected="0">
            <x v="1"/>
          </reference>
          <reference field="4" count="1">
            <x v="3"/>
          </reference>
        </references>
      </pivotArea>
    </format>
    <format dxfId="1917">
      <pivotArea dataOnly="0" labelOnly="1" outline="0" fieldPosition="0">
        <references count="5">
          <reference field="0" count="1" selected="0">
            <x v="36"/>
          </reference>
          <reference field="1" count="1" selected="0">
            <x v="6"/>
          </reference>
          <reference field="2" count="1" selected="0">
            <x v="3"/>
          </reference>
          <reference field="3" count="1" selected="0">
            <x v="2"/>
          </reference>
          <reference field="4" count="1">
            <x v="4"/>
          </reference>
        </references>
      </pivotArea>
    </format>
    <format dxfId="1916">
      <pivotArea dataOnly="0" labelOnly="1" outline="0" fieldPosition="0">
        <references count="5">
          <reference field="0" count="1" selected="0">
            <x v="37"/>
          </reference>
          <reference field="1" count="1" selected="0">
            <x v="4"/>
          </reference>
          <reference field="2" count="1" selected="0">
            <x v="0"/>
          </reference>
          <reference field="3" count="1" selected="0">
            <x v="3"/>
          </reference>
          <reference field="4" count="1">
            <x v="3"/>
          </reference>
        </references>
      </pivotArea>
    </format>
    <format dxfId="1915">
      <pivotArea dataOnly="0" labelOnly="1" outline="0" fieldPosition="0">
        <references count="5">
          <reference field="0" count="1" selected="0">
            <x v="38"/>
          </reference>
          <reference field="1" count="1" selected="0">
            <x v="35"/>
          </reference>
          <reference field="2" count="1" selected="0">
            <x v="4"/>
          </reference>
          <reference field="3" count="1" selected="0">
            <x v="5"/>
          </reference>
          <reference field="4" count="1">
            <x v="4"/>
          </reference>
        </references>
      </pivotArea>
    </format>
    <format dxfId="1914">
      <pivotArea dataOnly="0" labelOnly="1" outline="0" fieldPosition="0">
        <references count="5">
          <reference field="0" count="1" selected="0">
            <x v="42"/>
          </reference>
          <reference field="1" count="1" selected="0">
            <x v="12"/>
          </reference>
          <reference field="2" count="1" selected="0">
            <x v="4"/>
          </reference>
          <reference field="3" count="1" selected="0">
            <x v="4"/>
          </reference>
          <reference field="4" count="1">
            <x v="1"/>
          </reference>
        </references>
      </pivotArea>
    </format>
    <format dxfId="1913">
      <pivotArea dataOnly="0" labelOnly="1" outline="0" fieldPosition="0">
        <references count="5">
          <reference field="0" count="1" selected="0">
            <x v="44"/>
          </reference>
          <reference field="1" count="1" selected="0">
            <x v="14"/>
          </reference>
          <reference field="2" count="1" selected="0">
            <x v="4"/>
          </reference>
          <reference field="3" count="1" selected="0">
            <x v="2"/>
          </reference>
          <reference field="4" count="1">
            <x v="4"/>
          </reference>
        </references>
      </pivotArea>
    </format>
    <format dxfId="1912">
      <pivotArea dataOnly="0" labelOnly="1" outline="0" fieldPosition="0">
        <references count="5">
          <reference field="0" count="1" selected="0">
            <x v="45"/>
          </reference>
          <reference field="1" count="1" selected="0">
            <x v="50"/>
          </reference>
          <reference field="2" count="1" selected="0">
            <x v="3"/>
          </reference>
          <reference field="3" count="1" selected="0">
            <x v="4"/>
          </reference>
          <reference field="4" count="1">
            <x v="3"/>
          </reference>
        </references>
      </pivotArea>
    </format>
    <format dxfId="1911">
      <pivotArea dataOnly="0" labelOnly="1" outline="0" fieldPosition="0">
        <references count="5">
          <reference field="0" count="1" selected="0">
            <x v="46"/>
          </reference>
          <reference field="1" count="1" selected="0">
            <x v="42"/>
          </reference>
          <reference field="2" count="1" selected="0">
            <x v="2"/>
          </reference>
          <reference field="3" count="1" selected="0">
            <x v="4"/>
          </reference>
          <reference field="4" count="1">
            <x v="2"/>
          </reference>
        </references>
      </pivotArea>
    </format>
    <format dxfId="1910">
      <pivotArea dataOnly="0" labelOnly="1" outline="0" fieldPosition="0">
        <references count="5">
          <reference field="0" count="1" selected="0">
            <x v="47"/>
          </reference>
          <reference field="1" count="1" selected="0">
            <x v="9"/>
          </reference>
          <reference field="2" count="1" selected="0">
            <x v="3"/>
          </reference>
          <reference field="3" count="1" selected="0">
            <x v="4"/>
          </reference>
          <reference field="4" count="1">
            <x v="1"/>
          </reference>
        </references>
      </pivotArea>
    </format>
    <format dxfId="1909">
      <pivotArea dataOnly="0" labelOnly="1" outline="0" fieldPosition="0">
        <references count="5">
          <reference field="0" count="1" selected="0">
            <x v="49"/>
          </reference>
          <reference field="1" count="1" selected="0">
            <x v="14"/>
          </reference>
          <reference field="2" count="1" selected="0">
            <x v="4"/>
          </reference>
          <reference field="3" count="1" selected="0">
            <x v="7"/>
          </reference>
          <reference field="4" count="1">
            <x v="2"/>
          </reference>
        </references>
      </pivotArea>
    </format>
    <format dxfId="1908">
      <pivotArea dataOnly="0" labelOnly="1" outline="0" fieldPosition="0">
        <references count="5">
          <reference field="0" count="1" selected="0">
            <x v="50"/>
          </reference>
          <reference field="1" count="1" selected="0">
            <x v="23"/>
          </reference>
          <reference field="2" count="1" selected="0">
            <x v="2"/>
          </reference>
          <reference field="3" count="1" selected="0">
            <x v="4"/>
          </reference>
          <reference field="4" count="1">
            <x v="1"/>
          </reference>
        </references>
      </pivotArea>
    </format>
    <format dxfId="1907">
      <pivotArea dataOnly="0" labelOnly="1" outline="0" fieldPosition="0">
        <references count="5">
          <reference field="0" count="1" selected="0">
            <x v="51"/>
          </reference>
          <reference field="1" count="1" selected="0">
            <x v="17"/>
          </reference>
          <reference field="2" count="1" selected="0">
            <x v="4"/>
          </reference>
          <reference field="3" count="1" selected="0">
            <x v="7"/>
          </reference>
          <reference field="4" count="1">
            <x v="4"/>
          </reference>
        </references>
      </pivotArea>
    </format>
    <format dxfId="1906">
      <pivotArea dataOnly="0" labelOnly="1" outline="0" fieldPosition="0">
        <references count="5">
          <reference field="0" count="1" selected="0">
            <x v="52"/>
          </reference>
          <reference field="1" count="1" selected="0">
            <x v="16"/>
          </reference>
          <reference field="2" count="1" selected="0">
            <x v="5"/>
          </reference>
          <reference field="3" count="1" selected="0">
            <x v="3"/>
          </reference>
          <reference field="4" count="1">
            <x v="1"/>
          </reference>
        </references>
      </pivotArea>
    </format>
    <format dxfId="1905">
      <pivotArea dataOnly="0" labelOnly="1" outline="0" fieldPosition="0">
        <references count="5">
          <reference field="0" count="1" selected="0">
            <x v="53"/>
          </reference>
          <reference field="1" count="1" selected="0">
            <x v="10"/>
          </reference>
          <reference field="2" count="1" selected="0">
            <x v="4"/>
          </reference>
          <reference field="3" count="1" selected="0">
            <x v="7"/>
          </reference>
          <reference field="4" count="1">
            <x v="0"/>
          </reference>
        </references>
      </pivotArea>
    </format>
    <format dxfId="1904">
      <pivotArea dataOnly="0" labelOnly="1" outline="0" fieldPosition="0">
        <references count="5">
          <reference field="0" count="1" selected="0">
            <x v="54"/>
          </reference>
          <reference field="1" count="1" selected="0">
            <x v="40"/>
          </reference>
          <reference field="2" count="1" selected="0">
            <x v="2"/>
          </reference>
          <reference field="3" count="1" selected="0">
            <x v="2"/>
          </reference>
          <reference field="4" count="1">
            <x v="1"/>
          </reference>
        </references>
      </pivotArea>
    </format>
    <format dxfId="1903">
      <pivotArea dataOnly="0" labelOnly="1" outline="0" fieldPosition="0">
        <references count="5">
          <reference field="0" count="1" selected="0">
            <x v="56"/>
          </reference>
          <reference field="1" count="1" selected="0">
            <x v="37"/>
          </reference>
          <reference field="2" count="1" selected="0">
            <x v="1"/>
          </reference>
          <reference field="3" count="1" selected="0">
            <x v="2"/>
          </reference>
          <reference field="4" count="1">
            <x v="3"/>
          </reference>
        </references>
      </pivotArea>
    </format>
    <format dxfId="1902">
      <pivotArea dataOnly="0" labelOnly="1" outline="0" fieldPosition="0">
        <references count="5">
          <reference field="0" count="1" selected="0">
            <x v="57"/>
          </reference>
          <reference field="1" count="1" selected="0">
            <x v="48"/>
          </reference>
          <reference field="2" count="1" selected="0">
            <x v="5"/>
          </reference>
          <reference field="3" count="1" selected="0">
            <x v="1"/>
          </reference>
          <reference field="4" count="1">
            <x v="0"/>
          </reference>
        </references>
      </pivotArea>
    </format>
    <format dxfId="1901">
      <pivotArea dataOnly="0" labelOnly="1" outline="0" fieldPosition="0">
        <references count="5">
          <reference field="0" count="1" selected="0">
            <x v="58"/>
          </reference>
          <reference field="1" count="1" selected="0">
            <x v="44"/>
          </reference>
          <reference field="2" count="1" selected="0">
            <x v="5"/>
          </reference>
          <reference field="3" count="1" selected="0">
            <x v="0"/>
          </reference>
          <reference field="4" count="1">
            <x v="4"/>
          </reference>
        </references>
      </pivotArea>
    </format>
    <format dxfId="1900">
      <pivotArea dataOnly="0" labelOnly="1" outline="0" fieldPosition="0">
        <references count="5">
          <reference field="0" count="1" selected="0">
            <x v="59"/>
          </reference>
          <reference field="1" count="1" selected="0">
            <x v="24"/>
          </reference>
          <reference field="2" count="1" selected="0">
            <x v="0"/>
          </reference>
          <reference field="3" count="1" selected="0">
            <x v="6"/>
          </reference>
          <reference field="4" count="1">
            <x v="0"/>
          </reference>
        </references>
      </pivotArea>
    </format>
    <format dxfId="1899">
      <pivotArea dataOnly="0" labelOnly="1" outline="0" fieldPosition="0">
        <references count="5">
          <reference field="0" count="1" selected="0">
            <x v="61"/>
          </reference>
          <reference field="1" count="1" selected="0">
            <x v="59"/>
          </reference>
          <reference field="2" count="1" selected="0">
            <x v="2"/>
          </reference>
          <reference field="3" count="1" selected="0">
            <x v="2"/>
          </reference>
          <reference field="4" count="1">
            <x v="3"/>
          </reference>
        </references>
      </pivotArea>
    </format>
    <format dxfId="1898">
      <pivotArea dataOnly="0" labelOnly="1" outline="0" fieldPosition="0">
        <references count="5">
          <reference field="0" count="1" selected="0">
            <x v="62"/>
          </reference>
          <reference field="1" count="1" selected="0">
            <x v="10"/>
          </reference>
          <reference field="2" count="1" selected="0">
            <x v="4"/>
          </reference>
          <reference field="3" count="1" selected="0">
            <x v="5"/>
          </reference>
          <reference field="4" count="1">
            <x v="0"/>
          </reference>
        </references>
      </pivotArea>
    </format>
    <format dxfId="1897">
      <pivotArea dataOnly="0" labelOnly="1" outline="0" fieldPosition="0">
        <references count="5">
          <reference field="0" count="1" selected="0">
            <x v="64"/>
          </reference>
          <reference field="1" count="1" selected="0">
            <x v="4"/>
          </reference>
          <reference field="2" count="1" selected="0">
            <x v="0"/>
          </reference>
          <reference field="3" count="1" selected="0">
            <x v="0"/>
          </reference>
          <reference field="4" count="1">
            <x v="1"/>
          </reference>
        </references>
      </pivotArea>
    </format>
    <format dxfId="1896">
      <pivotArea dataOnly="0" labelOnly="1" outline="0" fieldPosition="0">
        <references count="5">
          <reference field="0" count="1" selected="0">
            <x v="65"/>
          </reference>
          <reference field="1" count="1" selected="0">
            <x v="9"/>
          </reference>
          <reference field="2" count="1" selected="0">
            <x v="3"/>
          </reference>
          <reference field="3" count="1" selected="0">
            <x v="2"/>
          </reference>
          <reference field="4" count="1">
            <x v="0"/>
          </reference>
        </references>
      </pivotArea>
    </format>
    <format dxfId="1895">
      <pivotArea dataOnly="0" labelOnly="1" outline="0" fieldPosition="0">
        <references count="5">
          <reference field="0" count="1" selected="0">
            <x v="66"/>
          </reference>
          <reference field="1" count="1" selected="0">
            <x v="43"/>
          </reference>
          <reference field="2" count="1" selected="0">
            <x v="0"/>
          </reference>
          <reference field="3" count="1" selected="0">
            <x v="4"/>
          </reference>
          <reference field="4" count="1">
            <x v="3"/>
          </reference>
        </references>
      </pivotArea>
    </format>
    <format dxfId="1894">
      <pivotArea dataOnly="0" labelOnly="1" outline="0" fieldPosition="0">
        <references count="5">
          <reference field="0" count="1" selected="0">
            <x v="69"/>
          </reference>
          <reference field="1" count="1" selected="0">
            <x v="20"/>
          </reference>
          <reference field="2" count="1" selected="0">
            <x v="4"/>
          </reference>
          <reference field="3" count="1" selected="0">
            <x v="1"/>
          </reference>
          <reference field="4" count="1">
            <x v="0"/>
          </reference>
        </references>
      </pivotArea>
    </format>
    <format dxfId="1893">
      <pivotArea dataOnly="0" labelOnly="1" outline="0" fieldPosition="0">
        <references count="5">
          <reference field="0" count="1" selected="0">
            <x v="70"/>
          </reference>
          <reference field="1" count="1" selected="0">
            <x v="1"/>
          </reference>
          <reference field="2" count="1" selected="0">
            <x v="5"/>
          </reference>
          <reference field="3" count="1" selected="0">
            <x v="0"/>
          </reference>
          <reference field="4" count="1">
            <x v="1"/>
          </reference>
        </references>
      </pivotArea>
    </format>
    <format dxfId="1892">
      <pivotArea dataOnly="0" labelOnly="1" outline="0" fieldPosition="0">
        <references count="5">
          <reference field="0" count="1" selected="0">
            <x v="71"/>
          </reference>
          <reference field="1" count="1" selected="0">
            <x v="30"/>
          </reference>
          <reference field="2" count="1" selected="0">
            <x v="1"/>
          </reference>
          <reference field="3" count="1" selected="0">
            <x v="6"/>
          </reference>
          <reference field="4" count="1">
            <x v="0"/>
          </reference>
        </references>
      </pivotArea>
    </format>
    <format dxfId="1891">
      <pivotArea dataOnly="0" labelOnly="1" outline="0" fieldPosition="0">
        <references count="5">
          <reference field="0" count="1" selected="0">
            <x v="72"/>
          </reference>
          <reference field="1" count="1" selected="0">
            <x v="33"/>
          </reference>
          <reference field="2" count="1" selected="0">
            <x v="4"/>
          </reference>
          <reference field="3" count="1" selected="0">
            <x v="2"/>
          </reference>
          <reference field="4" count="1">
            <x v="1"/>
          </reference>
        </references>
      </pivotArea>
    </format>
    <format dxfId="1890">
      <pivotArea dataOnly="0" labelOnly="1" outline="0" fieldPosition="0">
        <references count="5">
          <reference field="0" count="1" selected="0">
            <x v="73"/>
          </reference>
          <reference field="1" count="1" selected="0">
            <x v="44"/>
          </reference>
          <reference field="2" count="1" selected="0">
            <x v="5"/>
          </reference>
          <reference field="3" count="1" selected="0">
            <x v="5"/>
          </reference>
          <reference field="4" count="1">
            <x v="4"/>
          </reference>
        </references>
      </pivotArea>
    </format>
    <format dxfId="1889">
      <pivotArea dataOnly="0" labelOnly="1" outline="0" fieldPosition="0">
        <references count="5">
          <reference field="0" count="1" selected="0">
            <x v="74"/>
          </reference>
          <reference field="1" count="1" selected="0">
            <x v="59"/>
          </reference>
          <reference field="2" count="1" selected="0">
            <x v="2"/>
          </reference>
          <reference field="3" count="1" selected="0">
            <x v="1"/>
          </reference>
          <reference field="4" count="1">
            <x v="0"/>
          </reference>
        </references>
      </pivotArea>
    </format>
    <format dxfId="1888">
      <pivotArea dataOnly="0" labelOnly="1" outline="0" fieldPosition="0">
        <references count="5">
          <reference field="0" count="1" selected="0">
            <x v="75"/>
          </reference>
          <reference field="1" count="1" selected="0">
            <x v="5"/>
          </reference>
          <reference field="2" count="1" selected="0">
            <x v="0"/>
          </reference>
          <reference field="3" count="1" selected="0">
            <x v="7"/>
          </reference>
          <reference field="4" count="1">
            <x v="1"/>
          </reference>
        </references>
      </pivotArea>
    </format>
    <format dxfId="1887">
      <pivotArea dataOnly="0" labelOnly="1" outline="0" fieldPosition="0">
        <references count="5">
          <reference field="0" count="1" selected="0">
            <x v="76"/>
          </reference>
          <reference field="1" count="1" selected="0">
            <x v="55"/>
          </reference>
          <reference field="2" count="1" selected="0">
            <x v="1"/>
          </reference>
          <reference field="3" count="1" selected="0">
            <x v="3"/>
          </reference>
          <reference field="4" count="1">
            <x v="4"/>
          </reference>
        </references>
      </pivotArea>
    </format>
    <format dxfId="1886">
      <pivotArea dataOnly="0" labelOnly="1" outline="0" fieldPosition="0">
        <references count="5">
          <reference field="0" count="1" selected="0">
            <x v="77"/>
          </reference>
          <reference field="1" count="1" selected="0">
            <x v="59"/>
          </reference>
          <reference field="2" count="1" selected="0">
            <x v="2"/>
          </reference>
          <reference field="3" count="1" selected="0">
            <x v="4"/>
          </reference>
          <reference field="4" count="1">
            <x v="3"/>
          </reference>
        </references>
      </pivotArea>
    </format>
    <format dxfId="1885">
      <pivotArea dataOnly="0" labelOnly="1" outline="0" fieldPosition="0">
        <references count="5">
          <reference field="0" count="1" selected="0">
            <x v="78"/>
          </reference>
          <reference field="1" count="1" selected="0">
            <x v="4"/>
          </reference>
          <reference field="2" count="1" selected="0">
            <x v="0"/>
          </reference>
          <reference field="3" count="1" selected="0">
            <x v="4"/>
          </reference>
          <reference field="4" count="1">
            <x v="4"/>
          </reference>
        </references>
      </pivotArea>
    </format>
    <format dxfId="1884">
      <pivotArea dataOnly="0" labelOnly="1" outline="0" fieldPosition="0">
        <references count="5">
          <reference field="0" count="1" selected="0">
            <x v="79"/>
          </reference>
          <reference field="1" count="1" selected="0">
            <x v="9"/>
          </reference>
          <reference field="2" count="1" selected="0">
            <x v="3"/>
          </reference>
          <reference field="3" count="1" selected="0">
            <x v="0"/>
          </reference>
          <reference field="4" count="1">
            <x v="0"/>
          </reference>
        </references>
      </pivotArea>
    </format>
    <format dxfId="1883">
      <pivotArea dataOnly="0" labelOnly="1" outline="0" fieldPosition="0">
        <references count="5">
          <reference field="0" count="1" selected="0">
            <x v="80"/>
          </reference>
          <reference field="1" count="1" selected="0">
            <x v="48"/>
          </reference>
          <reference field="2" count="1" selected="0">
            <x v="5"/>
          </reference>
          <reference field="3" count="1" selected="0">
            <x v="7"/>
          </reference>
          <reference field="4" count="1">
            <x v="2"/>
          </reference>
        </references>
      </pivotArea>
    </format>
    <format dxfId="1882">
      <pivotArea dataOnly="0" labelOnly="1" outline="0" fieldPosition="0">
        <references count="5">
          <reference field="0" count="1" selected="0">
            <x v="81"/>
          </reference>
          <reference field="1" count="1" selected="0">
            <x v="54"/>
          </reference>
          <reference field="2" count="1" selected="0">
            <x v="2"/>
          </reference>
          <reference field="3" count="1" selected="0">
            <x v="1"/>
          </reference>
          <reference field="4" count="1">
            <x v="4"/>
          </reference>
        </references>
      </pivotArea>
    </format>
    <format dxfId="1881">
      <pivotArea dataOnly="0" labelOnly="1" outline="0" fieldPosition="0">
        <references count="5">
          <reference field="0" count="1" selected="0">
            <x v="82"/>
          </reference>
          <reference field="1" count="1" selected="0">
            <x v="52"/>
          </reference>
          <reference field="2" count="1" selected="0">
            <x v="1"/>
          </reference>
          <reference field="3" count="1" selected="0">
            <x v="1"/>
          </reference>
          <reference field="4" count="1">
            <x v="0"/>
          </reference>
        </references>
      </pivotArea>
    </format>
    <format dxfId="1880">
      <pivotArea dataOnly="0" labelOnly="1" outline="0" fieldPosition="0">
        <references count="5">
          <reference field="0" count="1" selected="0">
            <x v="84"/>
          </reference>
          <reference field="1" count="1" selected="0">
            <x v="39"/>
          </reference>
          <reference field="2" count="1" selected="0">
            <x v="2"/>
          </reference>
          <reference field="3" count="1" selected="0">
            <x v="2"/>
          </reference>
          <reference field="4" count="1">
            <x v="4"/>
          </reference>
        </references>
      </pivotArea>
    </format>
    <format dxfId="1879">
      <pivotArea dataOnly="0" labelOnly="1" outline="0" fieldPosition="0">
        <references count="5">
          <reference field="0" count="1" selected="0">
            <x v="85"/>
          </reference>
          <reference field="1" count="1" selected="0">
            <x v="10"/>
          </reference>
          <reference field="2" count="1" selected="0">
            <x v="4"/>
          </reference>
          <reference field="3" count="1" selected="0">
            <x v="0"/>
          </reference>
          <reference field="4" count="1">
            <x v="2"/>
          </reference>
        </references>
      </pivotArea>
    </format>
    <format dxfId="1878">
      <pivotArea dataOnly="0" labelOnly="1" outline="0" fieldPosition="0">
        <references count="5">
          <reference field="0" count="1" selected="0">
            <x v="86"/>
          </reference>
          <reference field="1" count="1" selected="0">
            <x v="29"/>
          </reference>
          <reference field="2" count="1" selected="0">
            <x v="1"/>
          </reference>
          <reference field="3" count="1" selected="0">
            <x v="1"/>
          </reference>
          <reference field="4" count="1">
            <x v="1"/>
          </reference>
        </references>
      </pivotArea>
    </format>
    <format dxfId="1877">
      <pivotArea dataOnly="0" labelOnly="1" outline="0" fieldPosition="0">
        <references count="5">
          <reference field="0" count="1" selected="0">
            <x v="87"/>
          </reference>
          <reference field="1" count="1" selected="0">
            <x v="4"/>
          </reference>
          <reference field="2" count="1" selected="0">
            <x v="0"/>
          </reference>
          <reference field="3" count="1" selected="0">
            <x v="1"/>
          </reference>
          <reference field="4" count="1">
            <x v="0"/>
          </reference>
        </references>
      </pivotArea>
    </format>
    <format dxfId="1876">
      <pivotArea dataOnly="0" labelOnly="1" outline="0" fieldPosition="0">
        <references count="5">
          <reference field="0" count="1" selected="0">
            <x v="88"/>
          </reference>
          <reference field="1" count="1" selected="0">
            <x v="2"/>
          </reference>
          <reference field="2" count="1" selected="0">
            <x v="3"/>
          </reference>
          <reference field="3" count="1" selected="0">
            <x v="1"/>
          </reference>
          <reference field="4" count="1">
            <x v="3"/>
          </reference>
        </references>
      </pivotArea>
    </format>
    <format dxfId="1875">
      <pivotArea dataOnly="0" labelOnly="1" outline="0" fieldPosition="0">
        <references count="5">
          <reference field="0" count="1" selected="0">
            <x v="89"/>
          </reference>
          <reference field="1" count="1" selected="0">
            <x v="52"/>
          </reference>
          <reference field="2" count="1" selected="0">
            <x v="1"/>
          </reference>
          <reference field="3" count="1" selected="0">
            <x v="3"/>
          </reference>
          <reference field="4" count="1">
            <x v="0"/>
          </reference>
        </references>
      </pivotArea>
    </format>
    <format dxfId="1874">
      <pivotArea dataOnly="0" labelOnly="1" outline="0" fieldPosition="0">
        <references count="5">
          <reference field="0" count="1" selected="0">
            <x v="90"/>
          </reference>
          <reference field="1" count="1" selected="0">
            <x v="37"/>
          </reference>
          <reference field="2" count="1" selected="0">
            <x v="1"/>
          </reference>
          <reference field="3" count="1" selected="0">
            <x v="1"/>
          </reference>
          <reference field="4" count="1">
            <x v="2"/>
          </reference>
        </references>
      </pivotArea>
    </format>
    <format dxfId="1873">
      <pivotArea dataOnly="0" labelOnly="1" outline="0" fieldPosition="0">
        <references count="5">
          <reference field="0" count="1" selected="0">
            <x v="91"/>
          </reference>
          <reference field="1" count="1" selected="0">
            <x v="51"/>
          </reference>
          <reference field="2" count="1" selected="0">
            <x v="0"/>
          </reference>
          <reference field="3" count="1" selected="0">
            <x v="4"/>
          </reference>
          <reference field="4" count="1">
            <x v="0"/>
          </reference>
        </references>
      </pivotArea>
    </format>
    <format dxfId="1872">
      <pivotArea dataOnly="0" labelOnly="1" outline="0" fieldPosition="0">
        <references count="5">
          <reference field="0" count="1" selected="0">
            <x v="93"/>
          </reference>
          <reference field="1" count="1" selected="0">
            <x v="5"/>
          </reference>
          <reference field="2" count="1" selected="0">
            <x v="0"/>
          </reference>
          <reference field="3" count="1" selected="0">
            <x v="7"/>
          </reference>
          <reference field="4" count="1">
            <x v="4"/>
          </reference>
        </references>
      </pivotArea>
    </format>
    <format dxfId="1871">
      <pivotArea dataOnly="0" labelOnly="1" outline="0" fieldPosition="0">
        <references count="5">
          <reference field="0" count="1" selected="0">
            <x v="94"/>
          </reference>
          <reference field="1" count="1" selected="0">
            <x v="42"/>
          </reference>
          <reference field="2" count="1" selected="0">
            <x v="2"/>
          </reference>
          <reference field="3" count="1" selected="0">
            <x v="2"/>
          </reference>
          <reference field="4" count="1">
            <x v="1"/>
          </reference>
        </references>
      </pivotArea>
    </format>
    <format dxfId="1870">
      <pivotArea dataOnly="0" labelOnly="1" outline="0" fieldPosition="0">
        <references count="5">
          <reference field="0" count="1" selected="0">
            <x v="95"/>
          </reference>
          <reference field="1" count="1" selected="0">
            <x v="51"/>
          </reference>
          <reference field="2" count="1" selected="0">
            <x v="0"/>
          </reference>
          <reference field="3" count="1" selected="0">
            <x v="6"/>
          </reference>
          <reference field="4" count="1">
            <x v="4"/>
          </reference>
        </references>
      </pivotArea>
    </format>
    <format dxfId="1869">
      <pivotArea dataOnly="0" labelOnly="1" outline="0" fieldPosition="0">
        <references count="5">
          <reference field="0" count="1" selected="0">
            <x v="96"/>
          </reference>
          <reference field="1" count="1" selected="0">
            <x v="31"/>
          </reference>
          <reference field="2" count="1" selected="0">
            <x v="3"/>
          </reference>
          <reference field="3" count="1" selected="0">
            <x v="0"/>
          </reference>
          <reference field="4" count="1">
            <x v="2"/>
          </reference>
        </references>
      </pivotArea>
    </format>
    <format dxfId="1868">
      <pivotArea dataOnly="0" labelOnly="1" outline="0" fieldPosition="0">
        <references count="5">
          <reference field="0" count="1" selected="0">
            <x v="97"/>
          </reference>
          <reference field="1" count="1" selected="0">
            <x v="38"/>
          </reference>
          <reference field="2" count="1" selected="0">
            <x v="5"/>
          </reference>
          <reference field="3" count="1" selected="0">
            <x v="5"/>
          </reference>
          <reference field="4" count="1">
            <x v="4"/>
          </reference>
        </references>
      </pivotArea>
    </format>
    <format dxfId="1867">
      <pivotArea dataOnly="0" labelOnly="1" outline="0" fieldPosition="0">
        <references count="5">
          <reference field="0" count="1" selected="0">
            <x v="98"/>
          </reference>
          <reference field="1" count="1" selected="0">
            <x v="1"/>
          </reference>
          <reference field="2" count="1" selected="0">
            <x v="5"/>
          </reference>
          <reference field="3" count="1" selected="0">
            <x v="1"/>
          </reference>
          <reference field="4" count="1">
            <x v="3"/>
          </reference>
        </references>
      </pivotArea>
    </format>
    <format dxfId="1866">
      <pivotArea dataOnly="0" labelOnly="1" outline="0" fieldPosition="0">
        <references count="5">
          <reference field="0" count="1" selected="0">
            <x v="99"/>
          </reference>
          <reference field="1" count="1" selected="0">
            <x v="27"/>
          </reference>
          <reference field="2" count="1" selected="0">
            <x v="0"/>
          </reference>
          <reference field="3" count="1" selected="0">
            <x v="5"/>
          </reference>
          <reference field="4" count="1">
            <x v="1"/>
          </reference>
        </references>
      </pivotArea>
    </format>
    <format dxfId="1865">
      <pivotArea dataOnly="0" labelOnly="1" outline="0" fieldPosition="0">
        <references count="5">
          <reference field="0" count="1" selected="0">
            <x v="100"/>
          </reference>
          <reference field="1" count="1" selected="0">
            <x v="5"/>
          </reference>
          <reference field="2" count="1" selected="0">
            <x v="0"/>
          </reference>
          <reference field="3" count="1" selected="0">
            <x v="1"/>
          </reference>
          <reference field="4" count="1">
            <x v="3"/>
          </reference>
        </references>
      </pivotArea>
    </format>
    <format dxfId="1864">
      <pivotArea dataOnly="0" labelOnly="1" outline="0" fieldPosition="0">
        <references count="5">
          <reference field="0" count="1" selected="0">
            <x v="101"/>
          </reference>
          <reference field="1" count="1" selected="0">
            <x v="49"/>
          </reference>
          <reference field="2" count="1" selected="0">
            <x v="3"/>
          </reference>
          <reference field="3" count="1" selected="0">
            <x v="4"/>
          </reference>
          <reference field="4" count="1">
            <x v="0"/>
          </reference>
        </references>
      </pivotArea>
    </format>
    <format dxfId="1863">
      <pivotArea dataOnly="0" labelOnly="1" outline="0" fieldPosition="0">
        <references count="5">
          <reference field="0" count="1" selected="0">
            <x v="103"/>
          </reference>
          <reference field="1" count="1" selected="0">
            <x v="42"/>
          </reference>
          <reference field="2" count="1" selected="0">
            <x v="2"/>
          </reference>
          <reference field="3" count="1" selected="0">
            <x v="7"/>
          </reference>
          <reference field="4" count="1">
            <x v="4"/>
          </reference>
        </references>
      </pivotArea>
    </format>
    <format dxfId="1862">
      <pivotArea dataOnly="0" labelOnly="1" outline="0" fieldPosition="0">
        <references count="5">
          <reference field="0" count="1" selected="0">
            <x v="104"/>
          </reference>
          <reference field="1" count="1" selected="0">
            <x v="25"/>
          </reference>
          <reference field="2" count="1" selected="0">
            <x v="1"/>
          </reference>
          <reference field="3" count="1" selected="0">
            <x v="2"/>
          </reference>
          <reference field="4" count="1">
            <x v="1"/>
          </reference>
        </references>
      </pivotArea>
    </format>
    <format dxfId="1861">
      <pivotArea dataOnly="0" labelOnly="1" outline="0" fieldPosition="0">
        <references count="5">
          <reference field="0" count="1" selected="0">
            <x v="105"/>
          </reference>
          <reference field="1" count="1" selected="0">
            <x v="26"/>
          </reference>
          <reference field="2" count="1" selected="0">
            <x v="5"/>
          </reference>
          <reference field="3" count="1" selected="0">
            <x v="7"/>
          </reference>
          <reference field="4" count="1">
            <x v="0"/>
          </reference>
        </references>
      </pivotArea>
    </format>
    <format dxfId="1860">
      <pivotArea dataOnly="0" labelOnly="1" outline="0" fieldPosition="0">
        <references count="5">
          <reference field="0" count="1" selected="0">
            <x v="106"/>
          </reference>
          <reference field="1" count="1" selected="0">
            <x v="6"/>
          </reference>
          <reference field="2" count="1" selected="0">
            <x v="3"/>
          </reference>
          <reference field="3" count="1" selected="0">
            <x v="3"/>
          </reference>
          <reference field="4" count="1">
            <x v="1"/>
          </reference>
        </references>
      </pivotArea>
    </format>
    <format dxfId="1859">
      <pivotArea dataOnly="0" labelOnly="1" outline="0" fieldPosition="0">
        <references count="5">
          <reference field="0" count="1" selected="0">
            <x v="107"/>
          </reference>
          <reference field="1" count="1" selected="0">
            <x v="0"/>
          </reference>
          <reference field="2" count="1" selected="0">
            <x v="0"/>
          </reference>
          <reference field="3" count="1" selected="0">
            <x v="4"/>
          </reference>
          <reference field="4" count="1">
            <x v="4"/>
          </reference>
        </references>
      </pivotArea>
    </format>
    <format dxfId="1858">
      <pivotArea dataOnly="0" labelOnly="1" outline="0" fieldPosition="0">
        <references count="5">
          <reference field="0" count="1" selected="0">
            <x v="108"/>
          </reference>
          <reference field="1" count="1" selected="0">
            <x v="44"/>
          </reference>
          <reference field="2" count="1" selected="0">
            <x v="5"/>
          </reference>
          <reference field="3" count="1" selected="0">
            <x v="7"/>
          </reference>
          <reference field="4" count="1">
            <x v="3"/>
          </reference>
        </references>
      </pivotArea>
    </format>
    <format dxfId="1857">
      <pivotArea dataOnly="0" labelOnly="1" outline="0" fieldPosition="0">
        <references count="5">
          <reference field="0" count="1" selected="0">
            <x v="111"/>
          </reference>
          <reference field="1" count="1" selected="0">
            <x v="49"/>
          </reference>
          <reference field="2" count="1" selected="0">
            <x v="3"/>
          </reference>
          <reference field="3" count="1" selected="0">
            <x v="3"/>
          </reference>
          <reference field="4" count="1">
            <x v="4"/>
          </reference>
        </references>
      </pivotArea>
    </format>
    <format dxfId="1856">
      <pivotArea dataOnly="0" labelOnly="1" outline="0" fieldPosition="0">
        <references count="5">
          <reference field="0" count="1" selected="0">
            <x v="112"/>
          </reference>
          <reference field="1" count="1" selected="0">
            <x v="57"/>
          </reference>
          <reference field="2" count="1" selected="0">
            <x v="0"/>
          </reference>
          <reference field="3" count="1" selected="0">
            <x v="5"/>
          </reference>
          <reference field="4" count="1">
            <x v="3"/>
          </reference>
        </references>
      </pivotArea>
    </format>
    <format dxfId="1855">
      <pivotArea dataOnly="0" labelOnly="1" outline="0" fieldPosition="0">
        <references count="5">
          <reference field="0" count="1" selected="0">
            <x v="115"/>
          </reference>
          <reference field="1" count="1" selected="0">
            <x v="1"/>
          </reference>
          <reference field="2" count="1" selected="0">
            <x v="5"/>
          </reference>
          <reference field="3" count="1" selected="0">
            <x v="6"/>
          </reference>
          <reference field="4" count="1">
            <x v="2"/>
          </reference>
        </references>
      </pivotArea>
    </format>
    <format dxfId="1854">
      <pivotArea dataOnly="0" labelOnly="1" outline="0" fieldPosition="0">
        <references count="5">
          <reference field="0" count="1" selected="0">
            <x v="116"/>
          </reference>
          <reference field="1" count="1" selected="0">
            <x v="37"/>
          </reference>
          <reference field="2" count="1" selected="0">
            <x v="1"/>
          </reference>
          <reference field="3" count="1" selected="0">
            <x v="6"/>
          </reference>
          <reference field="4" count="1">
            <x v="3"/>
          </reference>
        </references>
      </pivotArea>
    </format>
    <format dxfId="1853">
      <pivotArea dataOnly="0" labelOnly="1" outline="0" fieldPosition="0">
        <references count="5">
          <reference field="0" count="1" selected="0">
            <x v="117"/>
          </reference>
          <reference field="1" count="1" selected="0">
            <x v="39"/>
          </reference>
          <reference field="2" count="1" selected="0">
            <x v="2"/>
          </reference>
          <reference field="3" count="1" selected="0">
            <x v="5"/>
          </reference>
          <reference field="4" count="1">
            <x v="1"/>
          </reference>
        </references>
      </pivotArea>
    </format>
    <format dxfId="1852">
      <pivotArea dataOnly="0" labelOnly="1" outline="0" fieldPosition="0">
        <references count="5">
          <reference field="0" count="1" selected="0">
            <x v="118"/>
          </reference>
          <reference field="1" count="1" selected="0">
            <x v="7"/>
          </reference>
          <reference field="2" count="1" selected="0">
            <x v="3"/>
          </reference>
          <reference field="3" count="1" selected="0">
            <x v="6"/>
          </reference>
          <reference field="4" count="1">
            <x v="0"/>
          </reference>
        </references>
      </pivotArea>
    </format>
    <format dxfId="1851">
      <pivotArea dataOnly="0" labelOnly="1" outline="0" fieldPosition="0">
        <references count="5">
          <reference field="0" count="1" selected="0">
            <x v="119"/>
          </reference>
          <reference field="1" count="1" selected="0">
            <x v="44"/>
          </reference>
          <reference field="2" count="1" selected="0">
            <x v="5"/>
          </reference>
          <reference field="3" count="1" selected="0">
            <x v="1"/>
          </reference>
          <reference field="4" count="1">
            <x v="4"/>
          </reference>
        </references>
      </pivotArea>
    </format>
    <format dxfId="1850">
      <pivotArea dataOnly="0" labelOnly="1" outline="0" fieldPosition="0">
        <references count="5">
          <reference field="0" count="1" selected="0">
            <x v="120"/>
          </reference>
          <reference field="1" count="1" selected="0">
            <x v="8"/>
          </reference>
          <reference field="2" count="1" selected="0">
            <x v="5"/>
          </reference>
          <reference field="3" count="1" selected="0">
            <x v="4"/>
          </reference>
          <reference field="4" count="1">
            <x v="2"/>
          </reference>
        </references>
      </pivotArea>
    </format>
    <format dxfId="1849">
      <pivotArea dataOnly="0" labelOnly="1" outline="0" fieldPosition="0">
        <references count="5">
          <reference field="0" count="1" selected="0">
            <x v="121"/>
          </reference>
          <reference field="1" count="1" selected="0">
            <x v="50"/>
          </reference>
          <reference field="2" count="1" selected="0">
            <x v="3"/>
          </reference>
          <reference field="3" count="1" selected="0">
            <x v="6"/>
          </reference>
          <reference field="4" count="1">
            <x v="0"/>
          </reference>
        </references>
      </pivotArea>
    </format>
    <format dxfId="1848">
      <pivotArea dataOnly="0" labelOnly="1" outline="0" fieldPosition="0">
        <references count="5">
          <reference field="0" count="1" selected="0">
            <x v="122"/>
          </reference>
          <reference field="1" count="1" selected="0">
            <x v="21"/>
          </reference>
          <reference field="2" count="1" selected="0">
            <x v="2"/>
          </reference>
          <reference field="3" count="1" selected="0">
            <x v="3"/>
          </reference>
          <reference field="4" count="1">
            <x v="3"/>
          </reference>
        </references>
      </pivotArea>
    </format>
    <format dxfId="1847">
      <pivotArea dataOnly="0" labelOnly="1" outline="0" fieldPosition="0">
        <references count="5">
          <reference field="0" count="1" selected="0">
            <x v="123"/>
          </reference>
          <reference field="1" count="1" selected="0">
            <x v="39"/>
          </reference>
          <reference field="2" count="1" selected="0">
            <x v="2"/>
          </reference>
          <reference field="3" count="1" selected="0">
            <x v="1"/>
          </reference>
          <reference field="4" count="1">
            <x v="0"/>
          </reference>
        </references>
      </pivotArea>
    </format>
    <format dxfId="1846">
      <pivotArea dataOnly="0" labelOnly="1" outline="0" fieldPosition="0">
        <references count="5">
          <reference field="0" count="1" selected="0">
            <x v="124"/>
          </reference>
          <reference field="1" count="1" selected="0">
            <x v="36"/>
          </reference>
          <reference field="2" count="1" selected="0">
            <x v="1"/>
          </reference>
          <reference field="3" count="1" selected="0">
            <x v="5"/>
          </reference>
          <reference field="4" count="1">
            <x v="1"/>
          </reference>
        </references>
      </pivotArea>
    </format>
    <format dxfId="1845">
      <pivotArea dataOnly="0" labelOnly="1" outline="0" fieldPosition="0">
        <references count="5">
          <reference field="0" count="1" selected="0">
            <x v="125"/>
          </reference>
          <reference field="1" count="1" selected="0">
            <x v="2"/>
          </reference>
          <reference field="2" count="1" selected="0">
            <x v="3"/>
          </reference>
          <reference field="3" count="1" selected="0">
            <x v="5"/>
          </reference>
          <reference field="4" count="1">
            <x v="2"/>
          </reference>
        </references>
      </pivotArea>
    </format>
    <format dxfId="1844">
      <pivotArea dataOnly="0" labelOnly="1" outline="0" fieldPosition="0">
        <references count="5">
          <reference field="0" count="1" selected="0">
            <x v="126"/>
          </reference>
          <reference field="1" count="1" selected="0">
            <x v="2"/>
          </reference>
          <reference field="2" count="1" selected="0">
            <x v="3"/>
          </reference>
          <reference field="3" count="1" selected="0">
            <x v="0"/>
          </reference>
          <reference field="4" count="1">
            <x v="0"/>
          </reference>
        </references>
      </pivotArea>
    </format>
    <format dxfId="1843">
      <pivotArea dataOnly="0" labelOnly="1" outline="0" fieldPosition="0">
        <references count="5">
          <reference field="0" count="1" selected="0">
            <x v="127"/>
          </reference>
          <reference field="1" count="1" selected="0">
            <x v="35"/>
          </reference>
          <reference field="2" count="1" selected="0">
            <x v="4"/>
          </reference>
          <reference field="3" count="1" selected="0">
            <x v="4"/>
          </reference>
          <reference field="4" count="1">
            <x v="2"/>
          </reference>
        </references>
      </pivotArea>
    </format>
    <format dxfId="1842">
      <pivotArea dataOnly="0" labelOnly="1" outline="0" fieldPosition="0">
        <references count="5">
          <reference field="0" count="1" selected="0">
            <x v="128"/>
          </reference>
          <reference field="1" count="1" selected="0">
            <x v="12"/>
          </reference>
          <reference field="2" count="1" selected="0">
            <x v="4"/>
          </reference>
          <reference field="3" count="1" selected="0">
            <x v="6"/>
          </reference>
          <reference field="4" count="1">
            <x v="0"/>
          </reference>
        </references>
      </pivotArea>
    </format>
    <format dxfId="1841">
      <pivotArea dataOnly="0" labelOnly="1" outline="0" fieldPosition="0">
        <references count="5">
          <reference field="0" count="1" selected="0">
            <x v="129"/>
          </reference>
          <reference field="1" count="1" selected="0">
            <x v="1"/>
          </reference>
          <reference field="2" count="1" selected="0">
            <x v="5"/>
          </reference>
          <reference field="3" count="1" selected="0">
            <x v="5"/>
          </reference>
          <reference field="4" count="1">
            <x v="2"/>
          </reference>
        </references>
      </pivotArea>
    </format>
    <format dxfId="1840">
      <pivotArea dataOnly="0" labelOnly="1" outline="0" fieldPosition="0">
        <references count="5">
          <reference field="0" count="1" selected="0">
            <x v="131"/>
          </reference>
          <reference field="1" count="1" selected="0">
            <x v="40"/>
          </reference>
          <reference field="2" count="1" selected="0">
            <x v="2"/>
          </reference>
          <reference field="3" count="1" selected="0">
            <x v="7"/>
          </reference>
          <reference field="4" count="1">
            <x v="1"/>
          </reference>
        </references>
      </pivotArea>
    </format>
    <format dxfId="1839">
      <pivotArea dataOnly="0" labelOnly="1" outline="0" fieldPosition="0">
        <references count="5">
          <reference field="0" count="1" selected="0">
            <x v="132"/>
          </reference>
          <reference field="1" count="1" selected="0">
            <x v="14"/>
          </reference>
          <reference field="2" count="1" selected="0">
            <x v="4"/>
          </reference>
          <reference field="3" count="1" selected="0">
            <x v="3"/>
          </reference>
          <reference field="4" count="1">
            <x v="2"/>
          </reference>
        </references>
      </pivotArea>
    </format>
    <format dxfId="1838">
      <pivotArea dataOnly="0" labelOnly="1" outline="0" fieldPosition="0">
        <references count="5">
          <reference field="0" count="1" selected="0">
            <x v="133"/>
          </reference>
          <reference field="1" count="1" selected="0">
            <x v="24"/>
          </reference>
          <reference field="2" count="1" selected="0">
            <x v="0"/>
          </reference>
          <reference field="3" count="1" selected="0">
            <x v="0"/>
          </reference>
          <reference field="4" count="1">
            <x v="0"/>
          </reference>
        </references>
      </pivotArea>
    </format>
    <format dxfId="1837">
      <pivotArea dataOnly="0" labelOnly="1" outline="0" fieldPosition="0">
        <references count="5">
          <reference field="0" count="1" selected="0">
            <x v="136"/>
          </reference>
          <reference field="1" count="1" selected="0">
            <x v="52"/>
          </reference>
          <reference field="2" count="1" selected="0">
            <x v="1"/>
          </reference>
          <reference field="3" count="1" selected="0">
            <x v="5"/>
          </reference>
          <reference field="4" count="1">
            <x v="2"/>
          </reference>
        </references>
      </pivotArea>
    </format>
    <format dxfId="1836">
      <pivotArea dataOnly="0" labelOnly="1" outline="0" fieldPosition="0">
        <references count="5">
          <reference field="0" count="1" selected="0">
            <x v="137"/>
          </reference>
          <reference field="1" count="1" selected="0">
            <x v="39"/>
          </reference>
          <reference field="2" count="1" selected="0">
            <x v="2"/>
          </reference>
          <reference field="3" count="1" selected="0">
            <x v="0"/>
          </reference>
          <reference field="4" count="1">
            <x v="1"/>
          </reference>
        </references>
      </pivotArea>
    </format>
    <format dxfId="1835">
      <pivotArea dataOnly="0" labelOnly="1" outline="0" fieldPosition="0">
        <references count="5">
          <reference field="0" count="1" selected="0">
            <x v="138"/>
          </reference>
          <reference field="1" count="1" selected="0">
            <x v="45"/>
          </reference>
          <reference field="2" count="1" selected="0">
            <x v="5"/>
          </reference>
          <reference field="3" count="1" selected="0">
            <x v="4"/>
          </reference>
          <reference field="4" count="1">
            <x v="2"/>
          </reference>
        </references>
      </pivotArea>
    </format>
    <format dxfId="1834">
      <pivotArea dataOnly="0" labelOnly="1" outline="0" fieldPosition="0">
        <references count="5">
          <reference field="0" count="1" selected="0">
            <x v="139"/>
          </reference>
          <reference field="1" count="1" selected="0">
            <x v="8"/>
          </reference>
          <reference field="2" count="1" selected="0">
            <x v="5"/>
          </reference>
          <reference field="3" count="1" selected="0">
            <x v="4"/>
          </reference>
          <reference field="4" count="1">
            <x v="4"/>
          </reference>
        </references>
      </pivotArea>
    </format>
    <format dxfId="1833">
      <pivotArea dataOnly="0" labelOnly="1" outline="0" fieldPosition="0">
        <references count="5">
          <reference field="0" count="1" selected="0">
            <x v="140"/>
          </reference>
          <reference field="1" count="1" selected="0">
            <x v="40"/>
          </reference>
          <reference field="2" count="1" selected="0">
            <x v="2"/>
          </reference>
          <reference field="3" count="1" selected="0">
            <x v="6"/>
          </reference>
          <reference field="4" count="1">
            <x v="3"/>
          </reference>
        </references>
      </pivotArea>
    </format>
    <format dxfId="1832">
      <pivotArea dataOnly="0" labelOnly="1" outline="0" fieldPosition="0">
        <references count="5">
          <reference field="0" count="1" selected="0">
            <x v="141"/>
          </reference>
          <reference field="1" count="1" selected="0">
            <x v="1"/>
          </reference>
          <reference field="2" count="1" selected="0">
            <x v="5"/>
          </reference>
          <reference field="3" count="1" selected="0">
            <x v="0"/>
          </reference>
          <reference field="4" count="1">
            <x v="0"/>
          </reference>
        </references>
      </pivotArea>
    </format>
    <format dxfId="1831">
      <pivotArea dataOnly="0" labelOnly="1" outline="0" fieldPosition="0">
        <references count="5">
          <reference field="0" count="1" selected="0">
            <x v="142"/>
          </reference>
          <reference field="1" count="1" selected="0">
            <x v="34"/>
          </reference>
          <reference field="2" count="1" selected="0">
            <x v="5"/>
          </reference>
          <reference field="3" count="1" selected="0">
            <x v="1"/>
          </reference>
          <reference field="4" count="1">
            <x v="3"/>
          </reference>
        </references>
      </pivotArea>
    </format>
    <format dxfId="1830">
      <pivotArea dataOnly="0" labelOnly="1" outline="0" fieldPosition="0">
        <references count="5">
          <reference field="0" count="1" selected="0">
            <x v="143"/>
          </reference>
          <reference field="1" count="1" selected="0">
            <x v="25"/>
          </reference>
          <reference field="2" count="1" selected="0">
            <x v="1"/>
          </reference>
          <reference field="3" count="1" selected="0">
            <x v="0"/>
          </reference>
          <reference field="4" count="1">
            <x v="1"/>
          </reference>
        </references>
      </pivotArea>
    </format>
    <format dxfId="1829">
      <pivotArea dataOnly="0" labelOnly="1" outline="0" fieldPosition="0">
        <references count="5">
          <reference field="0" count="1" selected="0">
            <x v="145"/>
          </reference>
          <reference field="1" count="1" selected="0">
            <x v="58"/>
          </reference>
          <reference field="2" count="1" selected="0">
            <x v="1"/>
          </reference>
          <reference field="3" count="1" selected="0">
            <x v="2"/>
          </reference>
          <reference field="4" count="1">
            <x v="4"/>
          </reference>
        </references>
      </pivotArea>
    </format>
    <format dxfId="1828">
      <pivotArea dataOnly="0" labelOnly="1" outline="0" fieldPosition="0">
        <references count="5">
          <reference field="0" count="1" selected="0">
            <x v="146"/>
          </reference>
          <reference field="1" count="1" selected="0">
            <x v="4"/>
          </reference>
          <reference field="2" count="1" selected="0">
            <x v="0"/>
          </reference>
          <reference field="3" count="1" selected="0">
            <x v="2"/>
          </reference>
          <reference field="4" count="1">
            <x v="1"/>
          </reference>
        </references>
      </pivotArea>
    </format>
    <format dxfId="1827">
      <pivotArea dataOnly="0" labelOnly="1" outline="0" fieldPosition="0">
        <references count="5">
          <reference field="0" count="1" selected="0">
            <x v="147"/>
          </reference>
          <reference field="1" count="1" selected="0">
            <x v="42"/>
          </reference>
          <reference field="2" count="1" selected="0">
            <x v="2"/>
          </reference>
          <reference field="3" count="1" selected="0">
            <x v="5"/>
          </reference>
          <reference field="4" count="1">
            <x v="2"/>
          </reference>
        </references>
      </pivotArea>
    </format>
    <format dxfId="1826">
      <pivotArea dataOnly="0" labelOnly="1" outline="0" fieldPosition="0">
        <references count="5">
          <reference field="0" count="1" selected="0">
            <x v="148"/>
          </reference>
          <reference field="1" count="1" selected="0">
            <x v="19"/>
          </reference>
          <reference field="2" count="1" selected="0">
            <x v="5"/>
          </reference>
          <reference field="3" count="1" selected="0">
            <x v="7"/>
          </reference>
          <reference field="4" count="1">
            <x v="0"/>
          </reference>
        </references>
      </pivotArea>
    </format>
    <format dxfId="1825">
      <pivotArea dataOnly="0" labelOnly="1" outline="0" fieldPosition="0">
        <references count="5">
          <reference field="0" count="1" selected="0">
            <x v="149"/>
          </reference>
          <reference field="1" count="1" selected="0">
            <x v="6"/>
          </reference>
          <reference field="2" count="1" selected="0">
            <x v="3"/>
          </reference>
          <reference field="3" count="1" selected="0">
            <x v="3"/>
          </reference>
          <reference field="4" count="1">
            <x v="2"/>
          </reference>
        </references>
      </pivotArea>
    </format>
    <format dxfId="1824">
      <pivotArea dataOnly="0" labelOnly="1" outline="0" fieldPosition="0">
        <references count="5">
          <reference field="0" count="1" selected="0">
            <x v="150"/>
          </reference>
          <reference field="1" count="1" selected="0">
            <x v="55"/>
          </reference>
          <reference field="2" count="1" selected="0">
            <x v="1"/>
          </reference>
          <reference field="3" count="1" selected="0">
            <x v="7"/>
          </reference>
          <reference field="4" count="1">
            <x v="0"/>
          </reference>
        </references>
      </pivotArea>
    </format>
    <format dxfId="1823">
      <pivotArea dataOnly="0" labelOnly="1" outline="0" fieldPosition="0">
        <references count="5">
          <reference field="0" count="1" selected="0">
            <x v="151"/>
          </reference>
          <reference field="1" count="1" selected="0">
            <x v="18"/>
          </reference>
          <reference field="2" count="1" selected="0">
            <x v="2"/>
          </reference>
          <reference field="3" count="1" selected="0">
            <x v="6"/>
          </reference>
          <reference field="4" count="1">
            <x v="3"/>
          </reference>
        </references>
      </pivotArea>
    </format>
    <format dxfId="1822">
      <pivotArea dataOnly="0" labelOnly="1" outline="0" fieldPosition="0">
        <references count="5">
          <reference field="0" count="1" selected="0">
            <x v="152"/>
          </reference>
          <reference field="1" count="1" selected="0">
            <x v="25"/>
          </reference>
          <reference field="2" count="1" selected="0">
            <x v="1"/>
          </reference>
          <reference field="3" count="1" selected="0">
            <x v="1"/>
          </reference>
          <reference field="4" count="1">
            <x v="4"/>
          </reference>
        </references>
      </pivotArea>
    </format>
    <format dxfId="1821">
      <pivotArea dataOnly="0" labelOnly="1" outline="0" fieldPosition="0">
        <references count="5">
          <reference field="0" count="1" selected="0">
            <x v="153"/>
          </reference>
          <reference field="1" count="1" selected="0">
            <x v="1"/>
          </reference>
          <reference field="2" count="1" selected="0">
            <x v="5"/>
          </reference>
          <reference field="3" count="1" selected="0">
            <x v="1"/>
          </reference>
          <reference field="4" count="1">
            <x v="3"/>
          </reference>
        </references>
      </pivotArea>
    </format>
    <format dxfId="1820">
      <pivotArea dataOnly="0" labelOnly="1" outline="0" fieldPosition="0">
        <references count="5">
          <reference field="0" count="1" selected="0">
            <x v="154"/>
          </reference>
          <reference field="1" count="1" selected="0">
            <x v="44"/>
          </reference>
          <reference field="2" count="1" selected="0">
            <x v="5"/>
          </reference>
          <reference field="3" count="1" selected="0">
            <x v="1"/>
          </reference>
          <reference field="4" count="1">
            <x v="1"/>
          </reference>
        </references>
      </pivotArea>
    </format>
    <format dxfId="1819">
      <pivotArea dataOnly="0" labelOnly="1" outline="0" fieldPosition="0">
        <references count="5">
          <reference field="0" count="1" selected="0">
            <x v="155"/>
          </reference>
          <reference field="1" count="1" selected="0">
            <x v="34"/>
          </reference>
          <reference field="2" count="1" selected="0">
            <x v="5"/>
          </reference>
          <reference field="3" count="1" selected="0">
            <x v="5"/>
          </reference>
          <reference field="4" count="1">
            <x v="4"/>
          </reference>
        </references>
      </pivotArea>
    </format>
    <format dxfId="1818">
      <pivotArea dataOnly="0" labelOnly="1" outline="0" fieldPosition="0">
        <references count="5">
          <reference field="0" count="1" selected="0">
            <x v="156"/>
          </reference>
          <reference field="1" count="1" selected="0">
            <x v="29"/>
          </reference>
          <reference field="2" count="1" selected="0">
            <x v="1"/>
          </reference>
          <reference field="3" count="1" selected="0">
            <x v="5"/>
          </reference>
          <reference field="4" count="1">
            <x v="1"/>
          </reference>
        </references>
      </pivotArea>
    </format>
    <format dxfId="1817">
      <pivotArea dataOnly="0" labelOnly="1" outline="0" fieldPosition="0">
        <references count="5">
          <reference field="0" count="1" selected="0">
            <x v="157"/>
          </reference>
          <reference field="1" count="1" selected="0">
            <x v="38"/>
          </reference>
          <reference field="2" count="1" selected="0">
            <x v="5"/>
          </reference>
          <reference field="3" count="1" selected="0">
            <x v="4"/>
          </reference>
          <reference field="4" count="1">
            <x v="3"/>
          </reference>
        </references>
      </pivotArea>
    </format>
    <format dxfId="1816">
      <pivotArea dataOnly="0" labelOnly="1" outline="0" fieldPosition="0">
        <references count="5">
          <reference field="0" count="1" selected="0">
            <x v="158"/>
          </reference>
          <reference field="1" count="1" selected="0">
            <x v="29"/>
          </reference>
          <reference field="2" count="1" selected="0">
            <x v="1"/>
          </reference>
          <reference field="3" count="1" selected="0">
            <x v="4"/>
          </reference>
          <reference field="4" count="1">
            <x v="2"/>
          </reference>
        </references>
      </pivotArea>
    </format>
    <format dxfId="1815">
      <pivotArea dataOnly="0" labelOnly="1" outline="0" fieldPosition="0">
        <references count="5">
          <reference field="0" count="1" selected="0">
            <x v="159"/>
          </reference>
          <reference field="1" count="1" selected="0">
            <x v="57"/>
          </reference>
          <reference field="2" count="1" selected="0">
            <x v="0"/>
          </reference>
          <reference field="3" count="1" selected="0">
            <x v="2"/>
          </reference>
          <reference field="4" count="1">
            <x v="3"/>
          </reference>
        </references>
      </pivotArea>
    </format>
    <format dxfId="1814">
      <pivotArea dataOnly="0" labelOnly="1" outline="0" fieldPosition="0">
        <references count="5">
          <reference field="0" count="1" selected="0">
            <x v="160"/>
          </reference>
          <reference field="1" count="1" selected="0">
            <x v="27"/>
          </reference>
          <reference field="2" count="1" selected="0">
            <x v="0"/>
          </reference>
          <reference field="3" count="1" selected="0">
            <x v="5"/>
          </reference>
          <reference field="4" count="1">
            <x v="2"/>
          </reference>
        </references>
      </pivotArea>
    </format>
    <format dxfId="1813">
      <pivotArea dataOnly="0" labelOnly="1" outline="0" fieldPosition="0">
        <references count="5">
          <reference field="0" count="1" selected="0">
            <x v="161"/>
          </reference>
          <reference field="1" count="1" selected="0">
            <x v="23"/>
          </reference>
          <reference field="2" count="1" selected="0">
            <x v="2"/>
          </reference>
          <reference field="3" count="1" selected="0">
            <x v="5"/>
          </reference>
          <reference field="4" count="1">
            <x v="1"/>
          </reference>
        </references>
      </pivotArea>
    </format>
    <format dxfId="1812">
      <pivotArea dataOnly="0" labelOnly="1" outline="0" fieldPosition="0">
        <references count="5">
          <reference field="0" count="1" selected="0">
            <x v="162"/>
          </reference>
          <reference field="1" count="1" selected="0">
            <x v="13"/>
          </reference>
          <reference field="2" count="1" selected="0">
            <x v="3"/>
          </reference>
          <reference field="3" count="1" selected="0">
            <x v="5"/>
          </reference>
          <reference field="4" count="1">
            <x v="3"/>
          </reference>
        </references>
      </pivotArea>
    </format>
    <format dxfId="1811">
      <pivotArea dataOnly="0" labelOnly="1" outline="0" fieldPosition="0">
        <references count="5">
          <reference field="0" count="1" selected="0">
            <x v="164"/>
          </reference>
          <reference field="1" count="1" selected="0">
            <x v="50"/>
          </reference>
          <reference field="2" count="1" selected="0">
            <x v="3"/>
          </reference>
          <reference field="3" count="1" selected="0">
            <x v="1"/>
          </reference>
          <reference field="4" count="1">
            <x v="2"/>
          </reference>
        </references>
      </pivotArea>
    </format>
    <format dxfId="1810">
      <pivotArea dataOnly="0" labelOnly="1" outline="0" fieldPosition="0">
        <references count="5">
          <reference field="0" count="1" selected="0">
            <x v="165"/>
          </reference>
          <reference field="1" count="1" selected="0">
            <x v="48"/>
          </reference>
          <reference field="2" count="1" selected="0">
            <x v="5"/>
          </reference>
          <reference field="3" count="1" selected="0">
            <x v="6"/>
          </reference>
          <reference field="4" count="1">
            <x v="3"/>
          </reference>
        </references>
      </pivotArea>
    </format>
    <format dxfId="1809">
      <pivotArea dataOnly="0" labelOnly="1" outline="0" fieldPosition="0">
        <references count="5">
          <reference field="0" count="1" selected="0">
            <x v="166"/>
          </reference>
          <reference field="1" count="1" selected="0">
            <x v="40"/>
          </reference>
          <reference field="2" count="1" selected="0">
            <x v="2"/>
          </reference>
          <reference field="3" count="1" selected="0">
            <x v="0"/>
          </reference>
          <reference field="4" count="1">
            <x v="1"/>
          </reference>
        </references>
      </pivotArea>
    </format>
    <format dxfId="1808">
      <pivotArea dataOnly="0" labelOnly="1" outline="0" fieldPosition="0">
        <references count="5">
          <reference field="0" count="1" selected="0">
            <x v="168"/>
          </reference>
          <reference field="1" count="1" selected="0">
            <x v="11"/>
          </reference>
          <reference field="2" count="1" selected="0">
            <x v="4"/>
          </reference>
          <reference field="3" count="1" selected="0">
            <x v="1"/>
          </reference>
          <reference field="4" count="1">
            <x v="0"/>
          </reference>
        </references>
      </pivotArea>
    </format>
    <format dxfId="1807">
      <pivotArea dataOnly="0" labelOnly="1" outline="0" fieldPosition="0">
        <references count="5">
          <reference field="0" count="1" selected="0">
            <x v="170"/>
          </reference>
          <reference field="1" count="1" selected="0">
            <x v="33"/>
          </reference>
          <reference field="2" count="1" selected="0">
            <x v="4"/>
          </reference>
          <reference field="3" count="1" selected="0">
            <x v="6"/>
          </reference>
          <reference field="4" count="1">
            <x v="4"/>
          </reference>
        </references>
      </pivotArea>
    </format>
    <format dxfId="1806">
      <pivotArea dataOnly="0" labelOnly="1" outline="0" fieldPosition="0">
        <references count="5">
          <reference field="0" count="1" selected="0">
            <x v="171"/>
          </reference>
          <reference field="1" count="1" selected="0">
            <x v="7"/>
          </reference>
          <reference field="2" count="1" selected="0">
            <x v="3"/>
          </reference>
          <reference field="3" count="1" selected="0">
            <x v="3"/>
          </reference>
          <reference field="4" count="1">
            <x v="1"/>
          </reference>
        </references>
      </pivotArea>
    </format>
    <format dxfId="1805">
      <pivotArea dataOnly="0" labelOnly="1" outline="0" fieldPosition="0">
        <references count="5">
          <reference field="0" count="1" selected="0">
            <x v="173"/>
          </reference>
          <reference field="1" count="1" selected="0">
            <x v="48"/>
          </reference>
          <reference field="2" count="1" selected="0">
            <x v="5"/>
          </reference>
          <reference field="3" count="1" selected="0">
            <x v="7"/>
          </reference>
          <reference field="4" count="1">
            <x v="3"/>
          </reference>
        </references>
      </pivotArea>
    </format>
    <format dxfId="1804">
      <pivotArea dataOnly="0" labelOnly="1" outline="0" fieldPosition="0">
        <references count="5">
          <reference field="0" count="1" selected="0">
            <x v="174"/>
          </reference>
          <reference field="1" count="1" selected="0">
            <x v="23"/>
          </reference>
          <reference field="2" count="1" selected="0">
            <x v="2"/>
          </reference>
          <reference field="3" count="1" selected="0">
            <x v="3"/>
          </reference>
          <reference field="4" count="1">
            <x v="2"/>
          </reference>
        </references>
      </pivotArea>
    </format>
    <format dxfId="1803">
      <pivotArea dataOnly="0" labelOnly="1" outline="0" fieldPosition="0">
        <references count="5">
          <reference field="0" count="1" selected="0">
            <x v="175"/>
          </reference>
          <reference field="1" count="1" selected="0">
            <x v="2"/>
          </reference>
          <reference field="2" count="1" selected="0">
            <x v="3"/>
          </reference>
          <reference field="3" count="1" selected="0">
            <x v="1"/>
          </reference>
          <reference field="4" count="1">
            <x v="0"/>
          </reference>
        </references>
      </pivotArea>
    </format>
    <format dxfId="1802">
      <pivotArea dataOnly="0" labelOnly="1" outline="0" fieldPosition="0">
        <references count="5">
          <reference field="0" count="1" selected="0">
            <x v="176"/>
          </reference>
          <reference field="1" count="1" selected="0">
            <x v="58"/>
          </reference>
          <reference field="2" count="1" selected="0">
            <x v="1"/>
          </reference>
          <reference field="3" count="1" selected="0">
            <x v="7"/>
          </reference>
          <reference field="4" count="1">
            <x v="1"/>
          </reference>
        </references>
      </pivotArea>
    </format>
    <format dxfId="1801">
      <pivotArea dataOnly="0" labelOnly="1" outline="0" fieldPosition="0">
        <references count="5">
          <reference field="0" count="1" selected="0">
            <x v="177"/>
          </reference>
          <reference field="1" count="1" selected="0">
            <x v="42"/>
          </reference>
          <reference field="2" count="1" selected="0">
            <x v="2"/>
          </reference>
          <reference field="3" count="1" selected="0">
            <x v="0"/>
          </reference>
          <reference field="4" count="1">
            <x v="4"/>
          </reference>
        </references>
      </pivotArea>
    </format>
    <format dxfId="1800">
      <pivotArea dataOnly="0" labelOnly="1" outline="0" fieldPosition="0">
        <references count="5">
          <reference field="0" count="1" selected="0">
            <x v="178"/>
          </reference>
          <reference field="1" count="1" selected="0">
            <x v="44"/>
          </reference>
          <reference field="2" count="1" selected="0">
            <x v="5"/>
          </reference>
          <reference field="3" count="1" selected="0">
            <x v="7"/>
          </reference>
          <reference field="4" count="1">
            <x v="0"/>
          </reference>
        </references>
      </pivotArea>
    </format>
    <format dxfId="1799">
      <pivotArea dataOnly="0" labelOnly="1" outline="0" fieldPosition="0">
        <references count="5">
          <reference field="0" count="1" selected="0">
            <x v="179"/>
          </reference>
          <reference field="1" count="1" selected="0">
            <x v="8"/>
          </reference>
          <reference field="2" count="1" selected="0">
            <x v="5"/>
          </reference>
          <reference field="3" count="1" selected="0">
            <x v="2"/>
          </reference>
          <reference field="4" count="1">
            <x v="3"/>
          </reference>
        </references>
      </pivotArea>
    </format>
    <format dxfId="1798">
      <pivotArea dataOnly="0" labelOnly="1" outline="0" fieldPosition="0">
        <references count="5">
          <reference field="0" count="1" selected="0">
            <x v="180"/>
          </reference>
          <reference field="1" count="1" selected="0">
            <x v="37"/>
          </reference>
          <reference field="2" count="1" selected="0">
            <x v="1"/>
          </reference>
          <reference field="3" count="1" selected="0">
            <x v="5"/>
          </reference>
          <reference field="4" count="1">
            <x v="1"/>
          </reference>
        </references>
      </pivotArea>
    </format>
    <format dxfId="1797">
      <pivotArea dataOnly="0" labelOnly="1" outline="0" fieldPosition="0">
        <references count="5">
          <reference field="0" count="1" selected="0">
            <x v="181"/>
          </reference>
          <reference field="1" count="1" selected="0">
            <x v="51"/>
          </reference>
          <reference field="2" count="1" selected="0">
            <x v="0"/>
          </reference>
          <reference field="3" count="1" selected="0">
            <x v="0"/>
          </reference>
          <reference field="4" count="1">
            <x v="2"/>
          </reference>
        </references>
      </pivotArea>
    </format>
    <format dxfId="1796">
      <pivotArea dataOnly="0" labelOnly="1" outline="0" fieldPosition="0">
        <references count="5">
          <reference field="0" count="1" selected="0">
            <x v="182"/>
          </reference>
          <reference field="1" count="1" selected="0">
            <x v="48"/>
          </reference>
          <reference field="2" count="1" selected="0">
            <x v="5"/>
          </reference>
          <reference field="3" count="1" selected="0">
            <x v="3"/>
          </reference>
          <reference field="4" count="1">
            <x v="0"/>
          </reference>
        </references>
      </pivotArea>
    </format>
    <format dxfId="1795">
      <pivotArea dataOnly="0" labelOnly="1" outline="0" fieldPosition="0">
        <references count="5">
          <reference field="0" count="1" selected="0">
            <x v="184"/>
          </reference>
          <reference field="1" count="1" selected="0">
            <x v="26"/>
          </reference>
          <reference field="2" count="1" selected="0">
            <x v="5"/>
          </reference>
          <reference field="3" count="1" selected="0">
            <x v="6"/>
          </reference>
          <reference field="4" count="1">
            <x v="3"/>
          </reference>
        </references>
      </pivotArea>
    </format>
    <format dxfId="1794">
      <pivotArea dataOnly="0" labelOnly="1" outline="0" fieldPosition="0">
        <references count="5">
          <reference field="0" count="1" selected="0">
            <x v="185"/>
          </reference>
          <reference field="1" count="1" selected="0">
            <x v="54"/>
          </reference>
          <reference field="2" count="1" selected="0">
            <x v="2"/>
          </reference>
          <reference field="3" count="1" selected="0">
            <x v="6"/>
          </reference>
          <reference field="4" count="1">
            <x v="1"/>
          </reference>
        </references>
      </pivotArea>
    </format>
    <format dxfId="1793">
      <pivotArea dataOnly="0" labelOnly="1" outline="0" fieldPosition="0">
        <references count="5">
          <reference field="0" count="1" selected="0">
            <x v="186"/>
          </reference>
          <reference field="1" count="1" selected="0">
            <x v="53"/>
          </reference>
          <reference field="2" count="1" selected="0">
            <x v="1"/>
          </reference>
          <reference field="3" count="1" selected="0">
            <x v="1"/>
          </reference>
          <reference field="4" count="1">
            <x v="0"/>
          </reference>
        </references>
      </pivotArea>
    </format>
    <format dxfId="1792">
      <pivotArea dataOnly="0" labelOnly="1" outline="0" fieldPosition="0">
        <references count="5">
          <reference field="0" count="1" selected="0">
            <x v="187"/>
          </reference>
          <reference field="1" count="1" selected="0">
            <x v="12"/>
          </reference>
          <reference field="2" count="1" selected="0">
            <x v="4"/>
          </reference>
          <reference field="3" count="1" selected="0">
            <x v="4"/>
          </reference>
          <reference field="4" count="1">
            <x v="1"/>
          </reference>
        </references>
      </pivotArea>
    </format>
    <format dxfId="1791">
      <pivotArea dataOnly="0" labelOnly="1" outline="0" fieldPosition="0">
        <references count="5">
          <reference field="0" count="1" selected="0">
            <x v="189"/>
          </reference>
          <reference field="1" count="1" selected="0">
            <x v="52"/>
          </reference>
          <reference field="2" count="1" selected="0">
            <x v="1"/>
          </reference>
          <reference field="3" count="1" selected="0">
            <x v="5"/>
          </reference>
          <reference field="4" count="1">
            <x v="0"/>
          </reference>
        </references>
      </pivotArea>
    </format>
    <format dxfId="1790">
      <pivotArea dataOnly="0" labelOnly="1" outline="0" fieldPosition="0">
        <references count="5">
          <reference field="0" count="1" selected="0">
            <x v="190"/>
          </reference>
          <reference field="1" count="1" selected="0">
            <x v="20"/>
          </reference>
          <reference field="2" count="1" selected="0">
            <x v="4"/>
          </reference>
          <reference field="3" count="1" selected="0">
            <x v="2"/>
          </reference>
          <reference field="4" count="1">
            <x v="3"/>
          </reference>
        </references>
      </pivotArea>
    </format>
    <format dxfId="1789">
      <pivotArea dataOnly="0" labelOnly="1" outline="0" fieldPosition="0">
        <references count="5">
          <reference field="0" count="1" selected="0">
            <x v="191"/>
          </reference>
          <reference field="1" count="1" selected="0">
            <x v="8"/>
          </reference>
          <reference field="2" count="1" selected="0">
            <x v="5"/>
          </reference>
          <reference field="3" count="1" selected="0">
            <x v="2"/>
          </reference>
          <reference field="4" count="1">
            <x v="1"/>
          </reference>
        </references>
      </pivotArea>
    </format>
    <format dxfId="1788">
      <pivotArea dataOnly="0" labelOnly="1" outline="0" fieldPosition="0">
        <references count="5">
          <reference field="0" count="1" selected="0">
            <x v="193"/>
          </reference>
          <reference field="1" count="1" selected="0">
            <x v="24"/>
          </reference>
          <reference field="2" count="1" selected="0">
            <x v="0"/>
          </reference>
          <reference field="3" count="1" selected="0">
            <x v="7"/>
          </reference>
          <reference field="4" count="1">
            <x v="0"/>
          </reference>
        </references>
      </pivotArea>
    </format>
    <format dxfId="1787">
      <pivotArea dataOnly="0" labelOnly="1" outline="0" fieldPosition="0">
        <references count="5">
          <reference field="0" count="1" selected="0">
            <x v="194"/>
          </reference>
          <reference field="1" count="1" selected="0">
            <x v="4"/>
          </reference>
          <reference field="2" count="1" selected="0">
            <x v="0"/>
          </reference>
          <reference field="3" count="1" selected="0">
            <x v="6"/>
          </reference>
          <reference field="4" count="1">
            <x v="3"/>
          </reference>
        </references>
      </pivotArea>
    </format>
    <format dxfId="1786">
      <pivotArea dataOnly="0" labelOnly="1" outline="0" fieldPosition="0">
        <references count="5">
          <reference field="0" count="1" selected="0">
            <x v="195"/>
          </reference>
          <reference field="1" count="1" selected="0">
            <x v="24"/>
          </reference>
          <reference field="2" count="1" selected="0">
            <x v="0"/>
          </reference>
          <reference field="3" count="1" selected="0">
            <x v="3"/>
          </reference>
          <reference field="4" count="1">
            <x v="4"/>
          </reference>
        </references>
      </pivotArea>
    </format>
    <format dxfId="1785">
      <pivotArea dataOnly="0" labelOnly="1" outline="0" fieldPosition="0">
        <references count="5">
          <reference field="0" count="1" selected="0">
            <x v="196"/>
          </reference>
          <reference field="1" count="1" selected="0">
            <x v="18"/>
          </reference>
          <reference field="2" count="1" selected="0">
            <x v="2"/>
          </reference>
          <reference field="3" count="1" selected="0">
            <x v="3"/>
          </reference>
          <reference field="4" count="1">
            <x v="3"/>
          </reference>
        </references>
      </pivotArea>
    </format>
    <format dxfId="1784">
      <pivotArea dataOnly="0" labelOnly="1" outline="0" fieldPosition="0">
        <references count="5">
          <reference field="0" count="1" selected="0">
            <x v="197"/>
          </reference>
          <reference field="1" count="1" selected="0">
            <x v="50"/>
          </reference>
          <reference field="2" count="1" selected="0">
            <x v="3"/>
          </reference>
          <reference field="3" count="1" selected="0">
            <x v="3"/>
          </reference>
          <reference field="4" count="1">
            <x v="2"/>
          </reference>
        </references>
      </pivotArea>
    </format>
    <format dxfId="1783">
      <pivotArea dataOnly="0" labelOnly="1" outline="0" fieldPosition="0">
        <references count="5">
          <reference field="0" count="1" selected="0">
            <x v="198"/>
          </reference>
          <reference field="1" count="1" selected="0">
            <x v="17"/>
          </reference>
          <reference field="2" count="1" selected="0">
            <x v="4"/>
          </reference>
          <reference field="3" count="1" selected="0">
            <x v="1"/>
          </reference>
          <reference field="4" count="1">
            <x v="4"/>
          </reference>
        </references>
      </pivotArea>
    </format>
    <format dxfId="1782">
      <pivotArea dataOnly="0" labelOnly="1" outline="0" fieldPosition="0">
        <references count="5">
          <reference field="0" count="1" selected="0">
            <x v="199"/>
          </reference>
          <reference field="1" count="1" selected="0">
            <x v="30"/>
          </reference>
          <reference field="2" count="1" selected="0">
            <x v="1"/>
          </reference>
          <reference field="3" count="1" selected="0">
            <x v="5"/>
          </reference>
          <reference field="4" count="1">
            <x v="3"/>
          </reference>
        </references>
      </pivotArea>
    </format>
    <format dxfId="1781">
      <pivotArea dataOnly="0" labelOnly="1" outline="0" fieldPosition="0">
        <references count="5">
          <reference field="0" count="1" selected="0">
            <x v="200"/>
          </reference>
          <reference field="1" count="1" selected="0">
            <x v="52"/>
          </reference>
          <reference field="2" count="1" selected="0">
            <x v="1"/>
          </reference>
          <reference field="3" count="1" selected="0">
            <x v="1"/>
          </reference>
          <reference field="4" count="1">
            <x v="1"/>
          </reference>
        </references>
      </pivotArea>
    </format>
    <format dxfId="1780">
      <pivotArea dataOnly="0" labelOnly="1" outline="0" fieldPosition="0">
        <references count="5">
          <reference field="0" count="1" selected="0">
            <x v="201"/>
          </reference>
          <reference field="1" count="1" selected="0">
            <x v="14"/>
          </reference>
          <reference field="2" count="1" selected="0">
            <x v="4"/>
          </reference>
          <reference field="3" count="1" selected="0">
            <x v="1"/>
          </reference>
          <reference field="4" count="1">
            <x v="3"/>
          </reference>
        </references>
      </pivotArea>
    </format>
    <format dxfId="1779">
      <pivotArea dataOnly="0" labelOnly="1" outline="0" fieldPosition="0">
        <references count="5">
          <reference field="0" count="1" selected="0">
            <x v="202"/>
          </reference>
          <reference field="1" count="1" selected="0">
            <x v="3"/>
          </reference>
          <reference field="2" count="1" selected="0">
            <x v="4"/>
          </reference>
          <reference field="3" count="1" selected="0">
            <x v="0"/>
          </reference>
          <reference field="4" count="1">
            <x v="1"/>
          </reference>
        </references>
      </pivotArea>
    </format>
    <format dxfId="1778">
      <pivotArea dataOnly="0" labelOnly="1" outline="0" fieldPosition="0">
        <references count="5">
          <reference field="0" count="1" selected="0">
            <x v="203"/>
          </reference>
          <reference field="1" count="1" selected="0">
            <x v="11"/>
          </reference>
          <reference field="2" count="1" selected="0">
            <x v="4"/>
          </reference>
          <reference field="3" count="1" selected="0">
            <x v="2"/>
          </reference>
          <reference field="4" count="1">
            <x v="4"/>
          </reference>
        </references>
      </pivotArea>
    </format>
    <format dxfId="1777">
      <pivotArea dataOnly="0" labelOnly="1" outline="0" fieldPosition="0">
        <references count="5">
          <reference field="0" count="1" selected="0">
            <x v="204"/>
          </reference>
          <reference field="1" count="1" selected="0">
            <x v="59"/>
          </reference>
          <reference field="2" count="1" selected="0">
            <x v="2"/>
          </reference>
          <reference field="3" count="1" selected="0">
            <x v="2"/>
          </reference>
          <reference field="4" count="1">
            <x v="1"/>
          </reference>
        </references>
      </pivotArea>
    </format>
    <format dxfId="1776">
      <pivotArea dataOnly="0" labelOnly="1" outline="0" fieldPosition="0">
        <references count="5">
          <reference field="0" count="1" selected="0">
            <x v="205"/>
          </reference>
          <reference field="1" count="1" selected="0">
            <x v="12"/>
          </reference>
          <reference field="2" count="1" selected="0">
            <x v="4"/>
          </reference>
          <reference field="3" count="1" selected="0">
            <x v="2"/>
          </reference>
          <reference field="4" count="1">
            <x v="2"/>
          </reference>
        </references>
      </pivotArea>
    </format>
    <format dxfId="1775">
      <pivotArea dataOnly="0" labelOnly="1" outline="0" fieldPosition="0">
        <references count="5">
          <reference field="0" count="1" selected="0">
            <x v="206"/>
          </reference>
          <reference field="1" count="1" selected="0">
            <x v="42"/>
          </reference>
          <reference field="2" count="1" selected="0">
            <x v="2"/>
          </reference>
          <reference field="3" count="1" selected="0">
            <x v="2"/>
          </reference>
          <reference field="4" count="1">
            <x v="0"/>
          </reference>
        </references>
      </pivotArea>
    </format>
    <format dxfId="1774">
      <pivotArea dataOnly="0" labelOnly="1" outline="0" fieldPosition="0">
        <references count="5">
          <reference field="0" count="1" selected="0">
            <x v="207"/>
          </reference>
          <reference field="1" count="1" selected="0">
            <x v="47"/>
          </reference>
          <reference field="2" count="1" selected="0">
            <x v="0"/>
          </reference>
          <reference field="3" count="1" selected="0">
            <x v="4"/>
          </reference>
          <reference field="4" count="1">
            <x v="3"/>
          </reference>
        </references>
      </pivotArea>
    </format>
    <format dxfId="1773">
      <pivotArea dataOnly="0" labelOnly="1" outline="0" fieldPosition="0">
        <references count="5">
          <reference field="0" count="1" selected="0">
            <x v="208"/>
          </reference>
          <reference field="1" count="1" selected="0">
            <x v="16"/>
          </reference>
          <reference field="2" count="1" selected="0">
            <x v="5"/>
          </reference>
          <reference field="3" count="1" selected="0">
            <x v="0"/>
          </reference>
          <reference field="4" count="1">
            <x v="2"/>
          </reference>
        </references>
      </pivotArea>
    </format>
    <format dxfId="1772">
      <pivotArea dataOnly="0" labelOnly="1" outline="0" fieldPosition="0">
        <references count="5">
          <reference field="0" count="1" selected="0">
            <x v="210"/>
          </reference>
          <reference field="1" count="1" selected="0">
            <x v="1"/>
          </reference>
          <reference field="2" count="1" selected="0">
            <x v="5"/>
          </reference>
          <reference field="3" count="1" selected="0">
            <x v="2"/>
          </reference>
          <reference field="4" count="1">
            <x v="3"/>
          </reference>
        </references>
      </pivotArea>
    </format>
    <format dxfId="1771">
      <pivotArea dataOnly="0" labelOnly="1" outline="0" fieldPosition="0">
        <references count="5">
          <reference field="0" count="1" selected="0">
            <x v="211"/>
          </reference>
          <reference field="1" count="1" selected="0">
            <x v="4"/>
          </reference>
          <reference field="2" count="1" selected="0">
            <x v="0"/>
          </reference>
          <reference field="3" count="1" selected="0">
            <x v="2"/>
          </reference>
          <reference field="4" count="1">
            <x v="4"/>
          </reference>
        </references>
      </pivotArea>
    </format>
    <format dxfId="1770">
      <pivotArea dataOnly="0" labelOnly="1" outline="0" fieldPosition="0">
        <references count="5">
          <reference field="0" count="1" selected="0">
            <x v="213"/>
          </reference>
          <reference field="1" count="1" selected="0">
            <x v="19"/>
          </reference>
          <reference field="2" count="1" selected="0">
            <x v="5"/>
          </reference>
          <reference field="3" count="1" selected="0">
            <x v="3"/>
          </reference>
          <reference field="4" count="1">
            <x v="2"/>
          </reference>
        </references>
      </pivotArea>
    </format>
    <format dxfId="1769">
      <pivotArea dataOnly="0" labelOnly="1" outline="0" fieldPosition="0">
        <references count="5">
          <reference field="0" count="1" selected="0">
            <x v="214"/>
          </reference>
          <reference field="1" count="1" selected="0">
            <x v="38"/>
          </reference>
          <reference field="2" count="1" selected="0">
            <x v="5"/>
          </reference>
          <reference field="3" count="1" selected="0">
            <x v="1"/>
          </reference>
          <reference field="4" count="1">
            <x v="3"/>
          </reference>
        </references>
      </pivotArea>
    </format>
    <format dxfId="1768">
      <pivotArea dataOnly="0" labelOnly="1" outline="0" fieldPosition="0">
        <references count="5">
          <reference field="0" count="1" selected="0">
            <x v="215"/>
          </reference>
          <reference field="1" count="1" selected="0">
            <x v="26"/>
          </reference>
          <reference field="2" count="1" selected="0">
            <x v="5"/>
          </reference>
          <reference field="3" count="1" selected="0">
            <x v="2"/>
          </reference>
          <reference field="4" count="1">
            <x v="0"/>
          </reference>
        </references>
      </pivotArea>
    </format>
    <format dxfId="1767">
      <pivotArea dataOnly="0" labelOnly="1" outline="0" fieldPosition="0">
        <references count="5">
          <reference field="0" count="1" selected="0">
            <x v="216"/>
          </reference>
          <reference field="1" count="1" selected="0">
            <x v="57"/>
          </reference>
          <reference field="2" count="1" selected="0">
            <x v="0"/>
          </reference>
          <reference field="3" count="1" selected="0">
            <x v="4"/>
          </reference>
          <reference field="4" count="1">
            <x v="1"/>
          </reference>
        </references>
      </pivotArea>
    </format>
    <format dxfId="1766">
      <pivotArea dataOnly="0" labelOnly="1" outline="0" fieldPosition="0">
        <references count="5">
          <reference field="0" count="1" selected="0">
            <x v="217"/>
          </reference>
          <reference field="1" count="1" selected="0">
            <x v="59"/>
          </reference>
          <reference field="2" count="1" selected="0">
            <x v="2"/>
          </reference>
          <reference field="3" count="1" selected="0">
            <x v="5"/>
          </reference>
          <reference field="4" count="1">
            <x v="3"/>
          </reference>
        </references>
      </pivotArea>
    </format>
    <format dxfId="1765">
      <pivotArea dataOnly="0" labelOnly="1" outline="0" fieldPosition="0">
        <references count="5">
          <reference field="0" count="1" selected="0">
            <x v="220"/>
          </reference>
          <reference field="1" count="1" selected="0">
            <x v="53"/>
          </reference>
          <reference field="2" count="1" selected="0">
            <x v="1"/>
          </reference>
          <reference field="3" count="1" selected="0">
            <x v="0"/>
          </reference>
          <reference field="4" count="1">
            <x v="1"/>
          </reference>
        </references>
      </pivotArea>
    </format>
    <format dxfId="1764">
      <pivotArea dataOnly="0" labelOnly="1" outline="0" fieldPosition="0">
        <references count="5">
          <reference field="0" count="1" selected="0">
            <x v="222"/>
          </reference>
          <reference field="1" count="1" selected="0">
            <x v="36"/>
          </reference>
          <reference field="2" count="1" selected="0">
            <x v="1"/>
          </reference>
          <reference field="3" count="1" selected="0">
            <x v="1"/>
          </reference>
          <reference field="4" count="1">
            <x v="4"/>
          </reference>
        </references>
      </pivotArea>
    </format>
    <format dxfId="1763">
      <pivotArea dataOnly="0" labelOnly="1" outline="0" fieldPosition="0">
        <references count="5">
          <reference field="0" count="1" selected="0">
            <x v="223"/>
          </reference>
          <reference field="1" count="1" selected="0">
            <x v="15"/>
          </reference>
          <reference field="2" count="1" selected="0">
            <x v="2"/>
          </reference>
          <reference field="3" count="1" selected="0">
            <x v="7"/>
          </reference>
          <reference field="4" count="1">
            <x v="1"/>
          </reference>
        </references>
      </pivotArea>
    </format>
    <format dxfId="1762">
      <pivotArea dataOnly="0" labelOnly="1" outline="0" fieldPosition="0">
        <references count="5">
          <reference field="0" count="1" selected="0">
            <x v="224"/>
          </reference>
          <reference field="1" count="1" selected="0">
            <x v="59"/>
          </reference>
          <reference field="2" count="1" selected="0">
            <x v="2"/>
          </reference>
          <reference field="3" count="1" selected="0">
            <x v="0"/>
          </reference>
          <reference field="4" count="1">
            <x v="0"/>
          </reference>
        </references>
      </pivotArea>
    </format>
    <format dxfId="1761">
      <pivotArea dataOnly="0" labelOnly="1" outline="0" fieldPosition="0">
        <references count="5">
          <reference field="0" count="1" selected="0">
            <x v="225"/>
          </reference>
          <reference field="1" count="1" selected="0">
            <x v="26"/>
          </reference>
          <reference field="2" count="1" selected="0">
            <x v="5"/>
          </reference>
          <reference field="3" count="1" selected="0">
            <x v="2"/>
          </reference>
          <reference field="4" count="1">
            <x v="2"/>
          </reference>
        </references>
      </pivotArea>
    </format>
    <format dxfId="1760">
      <pivotArea dataOnly="0" labelOnly="1" outline="0" fieldPosition="0">
        <references count="5">
          <reference field="0" count="1" selected="0">
            <x v="226"/>
          </reference>
          <reference field="1" count="1" selected="0">
            <x v="42"/>
          </reference>
          <reference field="2" count="1" selected="0">
            <x v="2"/>
          </reference>
          <reference field="3" count="1" selected="0">
            <x v="7"/>
          </reference>
          <reference field="4" count="1">
            <x v="3"/>
          </reference>
        </references>
      </pivotArea>
    </format>
    <format dxfId="1759">
      <pivotArea dataOnly="0" labelOnly="1" outline="0" fieldPosition="0">
        <references count="5">
          <reference field="0" count="1" selected="0">
            <x v="227"/>
          </reference>
          <reference field="1" count="1" selected="0">
            <x v="52"/>
          </reference>
          <reference field="2" count="1" selected="0">
            <x v="1"/>
          </reference>
          <reference field="3" count="1" selected="0">
            <x v="4"/>
          </reference>
          <reference field="4" count="1">
            <x v="4"/>
          </reference>
        </references>
      </pivotArea>
    </format>
    <format dxfId="1758">
      <pivotArea dataOnly="0" labelOnly="1" outline="0" fieldPosition="0">
        <references count="5">
          <reference field="0" count="1" selected="0">
            <x v="228"/>
          </reference>
          <reference field="1" count="1" selected="0">
            <x v="54"/>
          </reference>
          <reference field="2" count="1" selected="0">
            <x v="2"/>
          </reference>
          <reference field="3" count="1" selected="0">
            <x v="2"/>
          </reference>
          <reference field="4" count="1">
            <x v="3"/>
          </reference>
        </references>
      </pivotArea>
    </format>
    <format dxfId="1757">
      <pivotArea dataOnly="0" labelOnly="1" outline="0" fieldPosition="0">
        <references count="5">
          <reference field="0" count="1" selected="0">
            <x v="229"/>
          </reference>
          <reference field="1" count="1" selected="0">
            <x v="53"/>
          </reference>
          <reference field="2" count="1" selected="0">
            <x v="1"/>
          </reference>
          <reference field="3" count="1" selected="0">
            <x v="7"/>
          </reference>
          <reference field="4" count="1">
            <x v="0"/>
          </reference>
        </references>
      </pivotArea>
    </format>
    <format dxfId="1756">
      <pivotArea dataOnly="0" labelOnly="1" outline="0" fieldPosition="0">
        <references count="5">
          <reference field="0" count="1" selected="0">
            <x v="230"/>
          </reference>
          <reference field="1" count="1" selected="0">
            <x v="21"/>
          </reference>
          <reference field="2" count="1" selected="0">
            <x v="2"/>
          </reference>
          <reference field="3" count="1" selected="0">
            <x v="1"/>
          </reference>
          <reference field="4" count="1">
            <x v="3"/>
          </reference>
        </references>
      </pivotArea>
    </format>
    <format dxfId="1755">
      <pivotArea dataOnly="0" labelOnly="1" outline="0" fieldPosition="0">
        <references count="5">
          <reference field="0" count="1" selected="0">
            <x v="231"/>
          </reference>
          <reference field="1" count="1" selected="0">
            <x v="52"/>
          </reference>
          <reference field="2" count="1" selected="0">
            <x v="1"/>
          </reference>
          <reference field="3" count="1" selected="0">
            <x v="1"/>
          </reference>
          <reference field="4" count="1">
            <x v="4"/>
          </reference>
        </references>
      </pivotArea>
    </format>
    <format dxfId="1754">
      <pivotArea dataOnly="0" labelOnly="1" outline="0" fieldPosition="0">
        <references count="5">
          <reference field="0" count="1" selected="0">
            <x v="232"/>
          </reference>
          <reference field="1" count="1" selected="0">
            <x v="47"/>
          </reference>
          <reference field="2" count="1" selected="0">
            <x v="0"/>
          </reference>
          <reference field="3" count="1" selected="0">
            <x v="0"/>
          </reference>
          <reference field="4" count="1">
            <x v="1"/>
          </reference>
        </references>
      </pivotArea>
    </format>
    <format dxfId="1753">
      <pivotArea dataOnly="0" labelOnly="1" outline="0" fieldPosition="0">
        <references count="5">
          <reference field="0" count="1" selected="0">
            <x v="233"/>
          </reference>
          <reference field="1" count="1" selected="0">
            <x v="33"/>
          </reference>
          <reference field="2" count="1" selected="0">
            <x v="4"/>
          </reference>
          <reference field="3" count="1" selected="0">
            <x v="3"/>
          </reference>
          <reference field="4" count="1">
            <x v="0"/>
          </reference>
        </references>
      </pivotArea>
    </format>
    <format dxfId="1752">
      <pivotArea dataOnly="0" labelOnly="1" outline="0" fieldPosition="0">
        <references count="5">
          <reference field="0" count="1" selected="0">
            <x v="235"/>
          </reference>
          <reference field="1" count="1" selected="0">
            <x v="38"/>
          </reference>
          <reference field="2" count="1" selected="0">
            <x v="5"/>
          </reference>
          <reference field="3" count="1" selected="0">
            <x v="2"/>
          </reference>
          <reference field="4" count="1">
            <x v="4"/>
          </reference>
        </references>
      </pivotArea>
    </format>
    <format dxfId="1751">
      <pivotArea dataOnly="0" labelOnly="1" outline="0" fieldPosition="0">
        <references count="5">
          <reference field="0" count="1" selected="0">
            <x v="236"/>
          </reference>
          <reference field="1" count="1" selected="0">
            <x v="7"/>
          </reference>
          <reference field="2" count="1" selected="0">
            <x v="3"/>
          </reference>
          <reference field="3" count="1" selected="0">
            <x v="1"/>
          </reference>
          <reference field="4" count="1">
            <x v="0"/>
          </reference>
        </references>
      </pivotArea>
    </format>
    <format dxfId="1750">
      <pivotArea dataOnly="0" labelOnly="1" outline="0" fieldPosition="0">
        <references count="5">
          <reference field="0" count="1" selected="0">
            <x v="237"/>
          </reference>
          <reference field="1" count="1" selected="0">
            <x v="55"/>
          </reference>
          <reference field="2" count="1" selected="0">
            <x v="1"/>
          </reference>
          <reference field="3" count="1" selected="0">
            <x v="2"/>
          </reference>
          <reference field="4" count="1">
            <x v="4"/>
          </reference>
        </references>
      </pivotArea>
    </format>
    <format dxfId="1749">
      <pivotArea dataOnly="0" labelOnly="1" outline="0" fieldPosition="0">
        <references count="5">
          <reference field="0" count="1" selected="0">
            <x v="238"/>
          </reference>
          <reference field="1" count="1" selected="0">
            <x v="9"/>
          </reference>
          <reference field="2" count="1" selected="0">
            <x v="3"/>
          </reference>
          <reference field="3" count="1" selected="0">
            <x v="2"/>
          </reference>
          <reference field="4" count="1">
            <x v="0"/>
          </reference>
        </references>
      </pivotArea>
    </format>
    <format dxfId="1748">
      <pivotArea dataOnly="0" labelOnly="1" outline="0" fieldPosition="0">
        <references count="5">
          <reference field="0" count="1" selected="0">
            <x v="239"/>
          </reference>
          <reference field="1" count="1" selected="0">
            <x v="3"/>
          </reference>
          <reference field="2" count="1" selected="0">
            <x v="4"/>
          </reference>
          <reference field="3" count="1" selected="0">
            <x v="1"/>
          </reference>
          <reference field="4" count="1">
            <x v="2"/>
          </reference>
        </references>
      </pivotArea>
    </format>
    <format dxfId="1747">
      <pivotArea dataOnly="0" labelOnly="1" outline="0" fieldPosition="0">
        <references count="5">
          <reference field="0" count="1" selected="0">
            <x v="241"/>
          </reference>
          <reference field="1" count="1" selected="0">
            <x v="58"/>
          </reference>
          <reference field="2" count="1" selected="0">
            <x v="1"/>
          </reference>
          <reference field="3" count="1" selected="0">
            <x v="5"/>
          </reference>
          <reference field="4" count="1">
            <x v="0"/>
          </reference>
        </references>
      </pivotArea>
    </format>
    <format dxfId="1746">
      <pivotArea dataOnly="0" labelOnly="1" outline="0" fieldPosition="0">
        <references count="5">
          <reference field="0" count="1" selected="0">
            <x v="243"/>
          </reference>
          <reference field="1" count="1" selected="0">
            <x v="19"/>
          </reference>
          <reference field="2" count="1" selected="0">
            <x v="5"/>
          </reference>
          <reference field="3" count="1" selected="0">
            <x v="3"/>
          </reference>
          <reference field="4" count="1">
            <x v="4"/>
          </reference>
        </references>
      </pivotArea>
    </format>
    <format dxfId="1745">
      <pivotArea dataOnly="0" labelOnly="1" outline="0" fieldPosition="0">
        <references count="5">
          <reference field="0" count="1" selected="0">
            <x v="244"/>
          </reference>
          <reference field="1" count="1" selected="0">
            <x v="34"/>
          </reference>
          <reference field="2" count="1" selected="0">
            <x v="5"/>
          </reference>
          <reference field="3" count="1" selected="0">
            <x v="5"/>
          </reference>
          <reference field="4" count="1">
            <x v="3"/>
          </reference>
        </references>
      </pivotArea>
    </format>
    <format dxfId="1744">
      <pivotArea dataOnly="0" labelOnly="1" outline="0" fieldPosition="0">
        <references count="5">
          <reference field="0" count="1" selected="0">
            <x v="245"/>
          </reference>
          <reference field="1" count="1" selected="0">
            <x v="40"/>
          </reference>
          <reference field="2" count="1" selected="0">
            <x v="2"/>
          </reference>
          <reference field="3" count="1" selected="0">
            <x v="3"/>
          </reference>
          <reference field="4" count="1">
            <x v="2"/>
          </reference>
        </references>
      </pivotArea>
    </format>
    <format dxfId="1743">
      <pivotArea dataOnly="0" labelOnly="1" outline="0" fieldPosition="0">
        <references count="5">
          <reference field="0" count="1" selected="0">
            <x v="246"/>
          </reference>
          <reference field="1" count="1" selected="0">
            <x v="37"/>
          </reference>
          <reference field="2" count="1" selected="0">
            <x v="1"/>
          </reference>
          <reference field="3" count="1" selected="0">
            <x v="2"/>
          </reference>
          <reference field="4" count="1">
            <x v="4"/>
          </reference>
        </references>
      </pivotArea>
    </format>
    <format dxfId="1742">
      <pivotArea dataOnly="0" labelOnly="1" outline="0" fieldPosition="0">
        <references count="5">
          <reference field="0" count="1" selected="0">
            <x v="247"/>
          </reference>
          <reference field="1" count="1" selected="0">
            <x v="40"/>
          </reference>
          <reference field="2" count="1" selected="0">
            <x v="2"/>
          </reference>
          <reference field="3" count="1" selected="0">
            <x v="3"/>
          </reference>
          <reference field="4" count="1">
            <x v="0"/>
          </reference>
        </references>
      </pivotArea>
    </format>
    <format dxfId="1741">
      <pivotArea dataOnly="0" labelOnly="1" outline="0" fieldPosition="0">
        <references count="5">
          <reference field="0" count="1" selected="0">
            <x v="249"/>
          </reference>
          <reference field="1" count="1" selected="0">
            <x v="43"/>
          </reference>
          <reference field="2" count="1" selected="0">
            <x v="0"/>
          </reference>
          <reference field="3" count="1" selected="0">
            <x v="3"/>
          </reference>
          <reference field="4" count="1">
            <x v="3"/>
          </reference>
        </references>
      </pivotArea>
    </format>
    <format dxfId="1740">
      <pivotArea dataOnly="0" labelOnly="1" outline="0" fieldPosition="0">
        <references count="5">
          <reference field="0" count="1" selected="0">
            <x v="250"/>
          </reference>
          <reference field="1" count="1" selected="0">
            <x v="39"/>
          </reference>
          <reference field="2" count="1" selected="0">
            <x v="2"/>
          </reference>
          <reference field="3" count="1" selected="0">
            <x v="1"/>
          </reference>
          <reference field="4" count="1">
            <x v="1"/>
          </reference>
        </references>
      </pivotArea>
    </format>
    <format dxfId="1739">
      <pivotArea dataOnly="0" labelOnly="1" outline="0" fieldPosition="0">
        <references count="5">
          <reference field="0" count="1" selected="0">
            <x v="251"/>
          </reference>
          <reference field="1" count="1" selected="0">
            <x v="35"/>
          </reference>
          <reference field="2" count="1" selected="0">
            <x v="4"/>
          </reference>
          <reference field="3" count="1" selected="0">
            <x v="7"/>
          </reference>
          <reference field="4" count="1">
            <x v="0"/>
          </reference>
        </references>
      </pivotArea>
    </format>
    <format dxfId="1738">
      <pivotArea dataOnly="0" labelOnly="1" outline="0" fieldPosition="0">
        <references count="5">
          <reference field="0" count="1" selected="0">
            <x v="252"/>
          </reference>
          <reference field="1" count="1" selected="0">
            <x v="12"/>
          </reference>
          <reference field="2" count="1" selected="0">
            <x v="4"/>
          </reference>
          <reference field="3" count="1" selected="0">
            <x v="1"/>
          </reference>
          <reference field="4" count="1">
            <x v="4"/>
          </reference>
        </references>
      </pivotArea>
    </format>
    <format dxfId="1737">
      <pivotArea dataOnly="0" labelOnly="1" outline="0" fieldPosition="0">
        <references count="5">
          <reference field="0" count="1" selected="0">
            <x v="253"/>
          </reference>
          <reference field="1" count="1" selected="0">
            <x v="28"/>
          </reference>
          <reference field="2" count="1" selected="0">
            <x v="3"/>
          </reference>
          <reference field="3" count="1" selected="0">
            <x v="6"/>
          </reference>
          <reference field="4" count="1">
            <x v="1"/>
          </reference>
        </references>
      </pivotArea>
    </format>
    <format dxfId="1736">
      <pivotArea dataOnly="0" labelOnly="1" outline="0" fieldPosition="0">
        <references count="5">
          <reference field="0" count="1" selected="0">
            <x v="254"/>
          </reference>
          <reference field="1" count="1" selected="0">
            <x v="48"/>
          </reference>
          <reference field="2" count="1" selected="0">
            <x v="5"/>
          </reference>
          <reference field="3" count="1" selected="0">
            <x v="7"/>
          </reference>
          <reference field="4" count="1">
            <x v="4"/>
          </reference>
        </references>
      </pivotArea>
    </format>
    <format dxfId="1735">
      <pivotArea dataOnly="0" labelOnly="1" outline="0" fieldPosition="0">
        <references count="5">
          <reference field="0" count="1" selected="0">
            <x v="255"/>
          </reference>
          <reference field="1" count="1" selected="0">
            <x v="20"/>
          </reference>
          <reference field="2" count="1" selected="0">
            <x v="4"/>
          </reference>
          <reference field="3" count="1" selected="0">
            <x v="3"/>
          </reference>
          <reference field="4" count="1">
            <x v="3"/>
          </reference>
        </references>
      </pivotArea>
    </format>
    <format dxfId="1734">
      <pivotArea dataOnly="0" labelOnly="1" outline="0" fieldPosition="0">
        <references count="5">
          <reference field="0" count="1" selected="0">
            <x v="256"/>
          </reference>
          <reference field="1" count="1" selected="0">
            <x v="24"/>
          </reference>
          <reference field="2" count="1" selected="0">
            <x v="0"/>
          </reference>
          <reference field="3" count="1" selected="0">
            <x v="1"/>
          </reference>
          <reference field="4" count="1">
            <x v="1"/>
          </reference>
        </references>
      </pivotArea>
    </format>
    <format dxfId="1733">
      <pivotArea dataOnly="0" labelOnly="1" outline="0" fieldPosition="0">
        <references count="5">
          <reference field="0" count="1" selected="0">
            <x v="257"/>
          </reference>
          <reference field="1" count="1" selected="0">
            <x v="8"/>
          </reference>
          <reference field="2" count="1" selected="0">
            <x v="5"/>
          </reference>
          <reference field="3" count="1" selected="0">
            <x v="0"/>
          </reference>
          <reference field="4" count="1">
            <x v="0"/>
          </reference>
        </references>
      </pivotArea>
    </format>
    <format dxfId="1732">
      <pivotArea dataOnly="0" labelOnly="1" outline="0" fieldPosition="0">
        <references count="5">
          <reference field="0" count="1" selected="0">
            <x v="258"/>
          </reference>
          <reference field="1" count="1" selected="0">
            <x v="52"/>
          </reference>
          <reference field="2" count="1" selected="0">
            <x v="1"/>
          </reference>
          <reference field="3" count="1" selected="0">
            <x v="0"/>
          </reference>
          <reference field="4" count="1">
            <x v="1"/>
          </reference>
        </references>
      </pivotArea>
    </format>
    <format dxfId="1731">
      <pivotArea dataOnly="0" labelOnly="1" outline="0" fieldPosition="0">
        <references count="5">
          <reference field="0" count="1" selected="0">
            <x v="259"/>
          </reference>
          <reference field="1" count="1" selected="0">
            <x v="54"/>
          </reference>
          <reference field="2" count="1" selected="0">
            <x v="2"/>
          </reference>
          <reference field="3" count="1" selected="0">
            <x v="1"/>
          </reference>
          <reference field="4" count="1">
            <x v="4"/>
          </reference>
        </references>
      </pivotArea>
    </format>
    <format dxfId="1730">
      <pivotArea dataOnly="0" labelOnly="1" outline="0" fieldPosition="0">
        <references count="5">
          <reference field="0" count="1" selected="0">
            <x v="260"/>
          </reference>
          <reference field="1" count="1" selected="0">
            <x v="8"/>
          </reference>
          <reference field="2" count="1" selected="0">
            <x v="5"/>
          </reference>
          <reference field="3" count="1" selected="0">
            <x v="7"/>
          </reference>
          <reference field="4" count="1">
            <x v="3"/>
          </reference>
        </references>
      </pivotArea>
    </format>
    <format dxfId="1729">
      <pivotArea dataOnly="0" labelOnly="1" outline="0" fieldPosition="0">
        <references count="5">
          <reference field="0" count="1" selected="0">
            <x v="261"/>
          </reference>
          <reference field="1" count="1" selected="0">
            <x v="11"/>
          </reference>
          <reference field="2" count="1" selected="0">
            <x v="4"/>
          </reference>
          <reference field="3" count="1" selected="0">
            <x v="4"/>
          </reference>
          <reference field="4" count="1">
            <x v="0"/>
          </reference>
        </references>
      </pivotArea>
    </format>
    <format dxfId="1728">
      <pivotArea dataOnly="0" labelOnly="1" outline="0" fieldPosition="0">
        <references count="5">
          <reference field="0" count="1" selected="0">
            <x v="262"/>
          </reference>
          <reference field="1" count="1" selected="0">
            <x v="51"/>
          </reference>
          <reference field="2" count="1" selected="0">
            <x v="0"/>
          </reference>
          <reference field="3" count="1" selected="0">
            <x v="7"/>
          </reference>
          <reference field="4" count="1">
            <x v="3"/>
          </reference>
        </references>
      </pivotArea>
    </format>
    <format dxfId="1727">
      <pivotArea dataOnly="0" labelOnly="1" outline="0" fieldPosition="0">
        <references count="5">
          <reference field="0" count="1" selected="0">
            <x v="263"/>
          </reference>
          <reference field="1" count="1" selected="0">
            <x v="50"/>
          </reference>
          <reference field="2" count="1" selected="0">
            <x v="3"/>
          </reference>
          <reference field="3" count="1" selected="0">
            <x v="6"/>
          </reference>
          <reference field="4" count="1">
            <x v="1"/>
          </reference>
        </references>
      </pivotArea>
    </format>
    <format dxfId="1726">
      <pivotArea dataOnly="0" labelOnly="1" outline="0" fieldPosition="0">
        <references count="5">
          <reference field="0" count="1" selected="0">
            <x v="265"/>
          </reference>
          <reference field="1" count="1" selected="0">
            <x v="18"/>
          </reference>
          <reference field="2" count="1" selected="0">
            <x v="2"/>
          </reference>
          <reference field="3" count="1" selected="0">
            <x v="7"/>
          </reference>
          <reference field="4" count="1">
            <x v="3"/>
          </reference>
        </references>
      </pivotArea>
    </format>
    <format dxfId="1725">
      <pivotArea dataOnly="0" labelOnly="1" outline="0" fieldPosition="0">
        <references count="5">
          <reference field="0" count="1" selected="0">
            <x v="267"/>
          </reference>
          <reference field="1" count="1" selected="0">
            <x v="32"/>
          </reference>
          <reference field="2" count="1" selected="0">
            <x v="1"/>
          </reference>
          <reference field="3" count="1" selected="0">
            <x v="7"/>
          </reference>
          <reference field="4" count="1">
            <x v="2"/>
          </reference>
        </references>
      </pivotArea>
    </format>
    <format dxfId="1724">
      <pivotArea dataOnly="0" labelOnly="1" outline="0" fieldPosition="0">
        <references count="5">
          <reference field="0" count="1" selected="0">
            <x v="268"/>
          </reference>
          <reference field="1" count="1" selected="0">
            <x v="18"/>
          </reference>
          <reference field="2" count="1" selected="0">
            <x v="2"/>
          </reference>
          <reference field="3" count="1" selected="0">
            <x v="2"/>
          </reference>
          <reference field="4" count="1">
            <x v="3"/>
          </reference>
        </references>
      </pivotArea>
    </format>
    <format dxfId="1723">
      <pivotArea dataOnly="0" labelOnly="1" outline="0" fieldPosition="0">
        <references count="5">
          <reference field="0" count="1" selected="0">
            <x v="269"/>
          </reference>
          <reference field="1" count="1" selected="0">
            <x v="26"/>
          </reference>
          <reference field="2" count="1" selected="0">
            <x v="5"/>
          </reference>
          <reference field="3" count="1" selected="0">
            <x v="2"/>
          </reference>
          <reference field="4" count="1">
            <x v="0"/>
          </reference>
        </references>
      </pivotArea>
    </format>
    <format dxfId="1722">
      <pivotArea dataOnly="0" labelOnly="1" outline="0" fieldPosition="0">
        <references count="5">
          <reference field="0" count="1" selected="0">
            <x v="270"/>
          </reference>
          <reference field="1" count="1" selected="0">
            <x v="5"/>
          </reference>
          <reference field="2" count="1" selected="0">
            <x v="0"/>
          </reference>
          <reference field="3" count="1" selected="0">
            <x v="2"/>
          </reference>
          <reference field="4" count="1">
            <x v="2"/>
          </reference>
        </references>
      </pivotArea>
    </format>
    <format dxfId="1721">
      <pivotArea dataOnly="0" labelOnly="1" outline="0" fieldPosition="0">
        <references count="5">
          <reference field="0" count="1" selected="0">
            <x v="272"/>
          </reference>
          <reference field="1" count="1" selected="0">
            <x v="40"/>
          </reference>
          <reference field="2" count="1" selected="0">
            <x v="2"/>
          </reference>
          <reference field="3" count="1" selected="0">
            <x v="4"/>
          </reference>
          <reference field="4" count="1">
            <x v="3"/>
          </reference>
        </references>
      </pivotArea>
    </format>
    <format dxfId="1720">
      <pivotArea dataOnly="0" labelOnly="1" outline="0" fieldPosition="0">
        <references count="5">
          <reference field="0" count="1" selected="0">
            <x v="273"/>
          </reference>
          <reference field="1" count="1" selected="0">
            <x v="54"/>
          </reference>
          <reference field="2" count="1" selected="0">
            <x v="2"/>
          </reference>
          <reference field="3" count="1" selected="0">
            <x v="1"/>
          </reference>
          <reference field="4" count="1">
            <x v="4"/>
          </reference>
        </references>
      </pivotArea>
    </format>
    <format dxfId="1719">
      <pivotArea dataOnly="0" labelOnly="1" outline="0" fieldPosition="0">
        <references count="5">
          <reference field="0" count="1" selected="0">
            <x v="274"/>
          </reference>
          <reference field="1" count="1" selected="0">
            <x v="32"/>
          </reference>
          <reference field="2" count="1" selected="0">
            <x v="1"/>
          </reference>
          <reference field="3" count="1" selected="0">
            <x v="2"/>
          </reference>
          <reference field="4" count="1">
            <x v="1"/>
          </reference>
        </references>
      </pivotArea>
    </format>
    <format dxfId="1718">
      <pivotArea dataOnly="0" labelOnly="1" outline="0" fieldPosition="0">
        <references count="5">
          <reference field="0" count="1" selected="0">
            <x v="275"/>
          </reference>
          <reference field="1" count="1" selected="0">
            <x v="47"/>
          </reference>
          <reference field="2" count="1" selected="0">
            <x v="0"/>
          </reference>
          <reference field="3" count="1" selected="0">
            <x v="2"/>
          </reference>
          <reference field="4" count="1">
            <x v="3"/>
          </reference>
        </references>
      </pivotArea>
    </format>
    <format dxfId="1717">
      <pivotArea dataOnly="0" labelOnly="1" outline="0" fieldPosition="0">
        <references count="5">
          <reference field="0" count="1" selected="0">
            <x v="280"/>
          </reference>
          <reference field="1" count="1" selected="0">
            <x v="39"/>
          </reference>
          <reference field="2" count="1" selected="0">
            <x v="2"/>
          </reference>
          <reference field="3" count="1" selected="0">
            <x v="2"/>
          </reference>
          <reference field="4" count="1">
            <x v="0"/>
          </reference>
        </references>
      </pivotArea>
    </format>
    <format dxfId="1716">
      <pivotArea dataOnly="0" labelOnly="1" outline="0" fieldPosition="0">
        <references count="5">
          <reference field="0" count="1" selected="0">
            <x v="281"/>
          </reference>
          <reference field="1" count="1" selected="0">
            <x v="51"/>
          </reference>
          <reference field="2" count="1" selected="0">
            <x v="0"/>
          </reference>
          <reference field="3" count="1" selected="0">
            <x v="0"/>
          </reference>
          <reference field="4" count="1">
            <x v="1"/>
          </reference>
        </references>
      </pivotArea>
    </format>
    <format dxfId="1715">
      <pivotArea dataOnly="0" labelOnly="1" outline="0" fieldPosition="0">
        <references count="5">
          <reference field="0" count="1" selected="0">
            <x v="282"/>
          </reference>
          <reference field="1" count="1" selected="0">
            <x v="1"/>
          </reference>
          <reference field="2" count="1" selected="0">
            <x v="5"/>
          </reference>
          <reference field="3" count="1" selected="0">
            <x v="4"/>
          </reference>
          <reference field="4" count="1">
            <x v="3"/>
          </reference>
        </references>
      </pivotArea>
    </format>
    <format dxfId="1714">
      <pivotArea dataOnly="0" labelOnly="1" outline="0" fieldPosition="0">
        <references count="5">
          <reference field="0" count="1" selected="0">
            <x v="283"/>
          </reference>
          <reference field="1" count="1" selected="0">
            <x v="18"/>
          </reference>
          <reference field="2" count="1" selected="0">
            <x v="2"/>
          </reference>
          <reference field="3" count="1" selected="0">
            <x v="2"/>
          </reference>
          <reference field="4" count="1">
            <x v="2"/>
          </reference>
        </references>
      </pivotArea>
    </format>
    <format dxfId="1713">
      <pivotArea dataOnly="0" labelOnly="1" outline="0" fieldPosition="0">
        <references count="5">
          <reference field="0" count="1" selected="0">
            <x v="284"/>
          </reference>
          <reference field="1" count="1" selected="0">
            <x v="34"/>
          </reference>
          <reference field="2" count="1" selected="0">
            <x v="5"/>
          </reference>
          <reference field="3" count="1" selected="0">
            <x v="1"/>
          </reference>
          <reference field="4" count="1">
            <x v="0"/>
          </reference>
        </references>
      </pivotArea>
    </format>
    <format dxfId="1712">
      <pivotArea dataOnly="0" labelOnly="1" outline="0" fieldPosition="0">
        <references count="5">
          <reference field="0" count="1" selected="0">
            <x v="285"/>
          </reference>
          <reference field="1" count="1" selected="0">
            <x v="58"/>
          </reference>
          <reference field="2" count="1" selected="0">
            <x v="1"/>
          </reference>
          <reference field="3" count="1" selected="0">
            <x v="2"/>
          </reference>
          <reference field="4" count="1">
            <x v="2"/>
          </reference>
        </references>
      </pivotArea>
    </format>
    <format dxfId="1711">
      <pivotArea dataOnly="0" labelOnly="1" outline="0" fieldPosition="0">
        <references count="5">
          <reference field="0" count="1" selected="0">
            <x v="287"/>
          </reference>
          <reference field="1" count="1" selected="0">
            <x v="27"/>
          </reference>
          <reference field="2" count="1" selected="0">
            <x v="0"/>
          </reference>
          <reference field="3" count="1" selected="0">
            <x v="3"/>
          </reference>
          <reference field="4" count="1">
            <x v="4"/>
          </reference>
        </references>
      </pivotArea>
    </format>
    <format dxfId="1710">
      <pivotArea dataOnly="0" labelOnly="1" outline="0" fieldPosition="0">
        <references count="5">
          <reference field="0" count="1" selected="0">
            <x v="288"/>
          </reference>
          <reference field="1" count="1" selected="0">
            <x v="46"/>
          </reference>
          <reference field="2" count="1" selected="0">
            <x v="3"/>
          </reference>
          <reference field="3" count="1" selected="0">
            <x v="4"/>
          </reference>
          <reference field="4" count="1">
            <x v="0"/>
          </reference>
        </references>
      </pivotArea>
    </format>
    <format dxfId="1709">
      <pivotArea dataOnly="0" labelOnly="1" outline="0" fieldPosition="0">
        <references count="5">
          <reference field="0" count="1" selected="0">
            <x v="290"/>
          </reference>
          <reference field="1" count="1" selected="0">
            <x v="41"/>
          </reference>
          <reference field="2" count="1" selected="0">
            <x v="0"/>
          </reference>
          <reference field="3" count="1" selected="0">
            <x v="3"/>
          </reference>
          <reference field="4" count="1">
            <x v="4"/>
          </reference>
        </references>
      </pivotArea>
    </format>
    <format dxfId="1708">
      <pivotArea dataOnly="0" labelOnly="1" outline="0" fieldPosition="0">
        <references count="5">
          <reference field="0" count="1" selected="0">
            <x v="291"/>
          </reference>
          <reference field="1" count="1" selected="0">
            <x v="3"/>
          </reference>
          <reference field="2" count="1" selected="0">
            <x v="4"/>
          </reference>
          <reference field="3" count="1" selected="0">
            <x v="2"/>
          </reference>
          <reference field="4" count="1">
            <x v="3"/>
          </reference>
        </references>
      </pivotArea>
    </format>
    <format dxfId="1707">
      <pivotArea dataOnly="0" labelOnly="1" outline="0" fieldPosition="0">
        <references count="5">
          <reference field="0" count="1" selected="0">
            <x v="292"/>
          </reference>
          <reference field="1" count="1" selected="0">
            <x v="56"/>
          </reference>
          <reference field="2" count="1" selected="0">
            <x v="4"/>
          </reference>
          <reference field="3" count="1" selected="0">
            <x v="5"/>
          </reference>
          <reference field="4" count="1">
            <x v="2"/>
          </reference>
        </references>
      </pivotArea>
    </format>
    <format dxfId="1706">
      <pivotArea dataOnly="0" labelOnly="1" outline="0" fieldPosition="0">
        <references count="5">
          <reference field="0" count="1" selected="0">
            <x v="293"/>
          </reference>
          <reference field="1" count="1" selected="0">
            <x v="25"/>
          </reference>
          <reference field="2" count="1" selected="0">
            <x v="1"/>
          </reference>
          <reference field="3" count="1" selected="0">
            <x v="5"/>
          </reference>
          <reference field="4" count="1">
            <x v="3"/>
          </reference>
        </references>
      </pivotArea>
    </format>
    <format dxfId="1705">
      <pivotArea dataOnly="0" labelOnly="1" outline="0" fieldPosition="0">
        <references count="5">
          <reference field="0" count="1" selected="0">
            <x v="294"/>
          </reference>
          <reference field="1" count="1" selected="0">
            <x v="14"/>
          </reference>
          <reference field="2" count="1" selected="0">
            <x v="4"/>
          </reference>
          <reference field="3" count="1" selected="0">
            <x v="0"/>
          </reference>
          <reference field="4" count="1">
            <x v="0"/>
          </reference>
        </references>
      </pivotArea>
    </format>
    <format dxfId="1704">
      <pivotArea dataOnly="0" labelOnly="1" outline="0" fieldPosition="0">
        <references count="5">
          <reference field="0" count="1" selected="0">
            <x v="295"/>
          </reference>
          <reference field="1" count="1" selected="0">
            <x v="5"/>
          </reference>
          <reference field="2" count="1" selected="0">
            <x v="0"/>
          </reference>
          <reference field="3" count="1" selected="0">
            <x v="4"/>
          </reference>
          <reference field="4" count="1">
            <x v="4"/>
          </reference>
        </references>
      </pivotArea>
    </format>
    <format dxfId="1703">
      <pivotArea dataOnly="0" labelOnly="1" outline="0" fieldPosition="0">
        <references count="5">
          <reference field="0" count="1" selected="0">
            <x v="297"/>
          </reference>
          <reference field="1" count="1" selected="0">
            <x v="20"/>
          </reference>
          <reference field="2" count="1" selected="0">
            <x v="4"/>
          </reference>
          <reference field="3" count="1" selected="0">
            <x v="0"/>
          </reference>
          <reference field="4" count="1">
            <x v="3"/>
          </reference>
        </references>
      </pivotArea>
    </format>
    <format dxfId="1702">
      <pivotArea dataOnly="0" labelOnly="1" outline="0" fieldPosition="0">
        <references count="5">
          <reference field="0" count="1" selected="0">
            <x v="298"/>
          </reference>
          <reference field="1" count="1" selected="0">
            <x v="42"/>
          </reference>
          <reference field="2" count="1" selected="0">
            <x v="2"/>
          </reference>
          <reference field="3" count="1" selected="0">
            <x v="2"/>
          </reference>
          <reference field="4" count="1">
            <x v="1"/>
          </reference>
        </references>
      </pivotArea>
    </format>
    <format dxfId="1701">
      <pivotArea dataOnly="0" labelOnly="1" outline="0" fieldPosition="0">
        <references count="6">
          <reference field="0" count="1" selected="0">
            <x v="0"/>
          </reference>
          <reference field="1" count="1" selected="0">
            <x v="0"/>
          </reference>
          <reference field="2" count="1" selected="0">
            <x v="0"/>
          </reference>
          <reference field="3" count="1" selected="0">
            <x v="7"/>
          </reference>
          <reference field="4" count="1" selected="0">
            <x v="0"/>
          </reference>
          <reference field="16" count="1">
            <x v="2"/>
          </reference>
        </references>
      </pivotArea>
    </format>
    <format dxfId="1700">
      <pivotArea dataOnly="0" labelOnly="1" outline="0" fieldPosition="0">
        <references count="6">
          <reference field="0" count="1" selected="0">
            <x v="1"/>
          </reference>
          <reference field="1" count="1" selected="0">
            <x v="58"/>
          </reference>
          <reference field="2" count="1" selected="0">
            <x v="1"/>
          </reference>
          <reference field="3" count="1" selected="0">
            <x v="5"/>
          </reference>
          <reference field="4" count="1" selected="0">
            <x v="1"/>
          </reference>
          <reference field="16" count="1">
            <x v="2"/>
          </reference>
        </references>
      </pivotArea>
    </format>
    <format dxfId="1699">
      <pivotArea dataOnly="0" labelOnly="1" outline="0" fieldPosition="0">
        <references count="6">
          <reference field="0" count="1" selected="0">
            <x v="2"/>
          </reference>
          <reference field="1" count="1" selected="0">
            <x v="35"/>
          </reference>
          <reference field="2" count="1" selected="0">
            <x v="4"/>
          </reference>
          <reference field="3" count="1" selected="0">
            <x v="6"/>
          </reference>
          <reference field="4" count="1" selected="0">
            <x v="3"/>
          </reference>
          <reference field="16" count="1">
            <x v="2"/>
          </reference>
        </references>
      </pivotArea>
    </format>
    <format dxfId="1698">
      <pivotArea dataOnly="0" labelOnly="1" outline="0" fieldPosition="0">
        <references count="6">
          <reference field="0" count="1" selected="0">
            <x v="3"/>
          </reference>
          <reference field="1" count="1" selected="0">
            <x v="33"/>
          </reference>
          <reference field="2" count="1" selected="0">
            <x v="4"/>
          </reference>
          <reference field="3" count="1" selected="0">
            <x v="3"/>
          </reference>
          <reference field="4" count="1" selected="0">
            <x v="0"/>
          </reference>
          <reference field="16" count="1">
            <x v="2"/>
          </reference>
        </references>
      </pivotArea>
    </format>
    <format dxfId="1697">
      <pivotArea dataOnly="0" labelOnly="1" outline="0" fieldPosition="0">
        <references count="6">
          <reference field="0" count="1" selected="0">
            <x v="4"/>
          </reference>
          <reference field="1" count="1" selected="0">
            <x v="8"/>
          </reference>
          <reference field="2" count="1" selected="0">
            <x v="5"/>
          </reference>
          <reference field="3" count="1" selected="0">
            <x v="3"/>
          </reference>
          <reference field="4" count="1" selected="0">
            <x v="2"/>
          </reference>
          <reference field="16" count="1">
            <x v="2"/>
          </reference>
        </references>
      </pivotArea>
    </format>
    <format dxfId="1696">
      <pivotArea dataOnly="0" labelOnly="1" outline="0" fieldPosition="0">
        <references count="6">
          <reference field="0" count="1" selected="0">
            <x v="5"/>
          </reference>
          <reference field="1" count="1" selected="0">
            <x v="36"/>
          </reference>
          <reference field="2" count="1" selected="0">
            <x v="1"/>
          </reference>
          <reference field="3" count="1" selected="0">
            <x v="6"/>
          </reference>
          <reference field="4" count="1" selected="0">
            <x v="4"/>
          </reference>
          <reference field="16" count="1">
            <x v="2"/>
          </reference>
        </references>
      </pivotArea>
    </format>
    <format dxfId="1695">
      <pivotArea dataOnly="0" labelOnly="1" outline="0" fieldPosition="0">
        <references count="6">
          <reference field="0" count="1" selected="0">
            <x v="6"/>
          </reference>
          <reference field="1" count="1" selected="0">
            <x v="23"/>
          </reference>
          <reference field="2" count="1" selected="0">
            <x v="2"/>
          </reference>
          <reference field="3" count="1" selected="0">
            <x v="0"/>
          </reference>
          <reference field="4" count="1" selected="0">
            <x v="4"/>
          </reference>
          <reference field="16" count="1">
            <x v="2"/>
          </reference>
        </references>
      </pivotArea>
    </format>
    <format dxfId="1694">
      <pivotArea dataOnly="0" labelOnly="1" outline="0" fieldPosition="0">
        <references count="6">
          <reference field="0" count="1" selected="0">
            <x v="7"/>
          </reference>
          <reference field="1" count="1" selected="0">
            <x v="16"/>
          </reference>
          <reference field="2" count="1" selected="0">
            <x v="5"/>
          </reference>
          <reference field="3" count="1" selected="0">
            <x v="6"/>
          </reference>
          <reference field="4" count="1" selected="0">
            <x v="3"/>
          </reference>
          <reference field="16" count="1">
            <x v="2"/>
          </reference>
        </references>
      </pivotArea>
    </format>
    <format dxfId="1693">
      <pivotArea dataOnly="0" labelOnly="1" outline="0" fieldPosition="0">
        <references count="6">
          <reference field="0" count="1" selected="0">
            <x v="8"/>
          </reference>
          <reference field="1" count="1" selected="0">
            <x v="9"/>
          </reference>
          <reference field="2" count="1" selected="0">
            <x v="3"/>
          </reference>
          <reference field="3" count="1" selected="0">
            <x v="0"/>
          </reference>
          <reference field="4" count="1" selected="0">
            <x v="1"/>
          </reference>
          <reference field="16" count="1">
            <x v="2"/>
          </reference>
        </references>
      </pivotArea>
    </format>
    <format dxfId="1692">
      <pivotArea dataOnly="0" labelOnly="1" outline="0" fieldPosition="0">
        <references count="6">
          <reference field="0" count="1" selected="0">
            <x v="9"/>
          </reference>
          <reference field="1" count="1" selected="0">
            <x v="50"/>
          </reference>
          <reference field="2" count="1" selected="0">
            <x v="3"/>
          </reference>
          <reference field="3" count="1" selected="0">
            <x v="4"/>
          </reference>
          <reference field="4" count="1" selected="0">
            <x v="3"/>
          </reference>
          <reference field="16" count="1">
            <x v="2"/>
          </reference>
        </references>
      </pivotArea>
    </format>
    <format dxfId="1691">
      <pivotArea dataOnly="0" labelOnly="1" outline="0" fieldPosition="0">
        <references count="6">
          <reference field="0" count="1" selected="0">
            <x v="10"/>
          </reference>
          <reference field="1" count="1" selected="0">
            <x v="14"/>
          </reference>
          <reference field="2" count="1" selected="0">
            <x v="4"/>
          </reference>
          <reference field="3" count="1" selected="0">
            <x v="4"/>
          </reference>
          <reference field="4" count="1" selected="0">
            <x v="2"/>
          </reference>
          <reference field="16" count="1">
            <x v="2"/>
          </reference>
        </references>
      </pivotArea>
    </format>
    <format dxfId="1690">
      <pivotArea dataOnly="0" labelOnly="1" outline="0" fieldPosition="0">
        <references count="6">
          <reference field="0" count="1" selected="0">
            <x v="11"/>
          </reference>
          <reference field="1" count="1" selected="0">
            <x v="27"/>
          </reference>
          <reference field="2" count="1" selected="0">
            <x v="0"/>
          </reference>
          <reference field="3" count="1" selected="0">
            <x v="5"/>
          </reference>
          <reference field="4" count="1" selected="0">
            <x v="0"/>
          </reference>
          <reference field="16" count="1">
            <x v="2"/>
          </reference>
        </references>
      </pivotArea>
    </format>
    <format dxfId="1689">
      <pivotArea dataOnly="0" labelOnly="1" outline="0" fieldPosition="0">
        <references count="6">
          <reference field="0" count="1" selected="0">
            <x v="12"/>
          </reference>
          <reference field="1" count="1" selected="0">
            <x v="28"/>
          </reference>
          <reference field="2" count="1" selected="0">
            <x v="3"/>
          </reference>
          <reference field="3" count="1" selected="0">
            <x v="5"/>
          </reference>
          <reference field="4" count="1" selected="0">
            <x v="0"/>
          </reference>
          <reference field="16" count="1">
            <x v="2"/>
          </reference>
        </references>
      </pivotArea>
    </format>
    <format dxfId="1688">
      <pivotArea dataOnly="0" labelOnly="1" outline="0" fieldPosition="0">
        <references count="6">
          <reference field="0" count="1" selected="0">
            <x v="13"/>
          </reference>
          <reference field="1" count="1" selected="0">
            <x v="37"/>
          </reference>
          <reference field="2" count="1" selected="0">
            <x v="1"/>
          </reference>
          <reference field="3" count="1" selected="0">
            <x v="3"/>
          </reference>
          <reference field="4" count="1" selected="0">
            <x v="4"/>
          </reference>
          <reference field="16" count="1">
            <x v="2"/>
          </reference>
        </references>
      </pivotArea>
    </format>
    <format dxfId="1687">
      <pivotArea dataOnly="0" labelOnly="1" outline="0" fieldPosition="0">
        <references count="6">
          <reference field="0" count="1" selected="0">
            <x v="14"/>
          </reference>
          <reference field="1" count="1" selected="0">
            <x v="15"/>
          </reference>
          <reference field="2" count="1" selected="0">
            <x v="2"/>
          </reference>
          <reference field="3" count="1" selected="0">
            <x v="5"/>
          </reference>
          <reference field="4" count="1" selected="0">
            <x v="4"/>
          </reference>
          <reference field="16" count="1">
            <x v="2"/>
          </reference>
        </references>
      </pivotArea>
    </format>
    <format dxfId="1686">
      <pivotArea dataOnly="0" labelOnly="1" outline="0" fieldPosition="0">
        <references count="6">
          <reference field="0" count="1" selected="0">
            <x v="15"/>
          </reference>
          <reference field="1" count="1" selected="0">
            <x v="9"/>
          </reference>
          <reference field="2" count="1" selected="0">
            <x v="3"/>
          </reference>
          <reference field="3" count="1" selected="0">
            <x v="1"/>
          </reference>
          <reference field="4" count="1" selected="0">
            <x v="1"/>
          </reference>
          <reference field="16" count="1">
            <x v="1"/>
          </reference>
        </references>
      </pivotArea>
    </format>
    <format dxfId="1685">
      <pivotArea dataOnly="0" labelOnly="1" outline="0" fieldPosition="0">
        <references count="6">
          <reference field="0" count="1" selected="0">
            <x v="16"/>
          </reference>
          <reference field="1" count="1" selected="0">
            <x v="3"/>
          </reference>
          <reference field="2" count="1" selected="0">
            <x v="4"/>
          </reference>
          <reference field="3" count="1" selected="0">
            <x v="4"/>
          </reference>
          <reference field="4" count="1" selected="0">
            <x v="3"/>
          </reference>
          <reference field="16" count="1">
            <x v="1"/>
          </reference>
        </references>
      </pivotArea>
    </format>
    <format dxfId="1684">
      <pivotArea dataOnly="0" labelOnly="1" outline="0" fieldPosition="0">
        <references count="6">
          <reference field="0" count="1" selected="0">
            <x v="17"/>
          </reference>
          <reference field="1" count="1" selected="0">
            <x v="58"/>
          </reference>
          <reference field="2" count="1" selected="0">
            <x v="1"/>
          </reference>
          <reference field="3" count="1" selected="0">
            <x v="2"/>
          </reference>
          <reference field="4" count="1" selected="0">
            <x v="3"/>
          </reference>
          <reference field="16" count="1">
            <x v="1"/>
          </reference>
        </references>
      </pivotArea>
    </format>
    <format dxfId="1683">
      <pivotArea dataOnly="0" labelOnly="1" outline="0" fieldPosition="0">
        <references count="6">
          <reference field="0" count="1" selected="0">
            <x v="18"/>
          </reference>
          <reference field="1" count="1" selected="0">
            <x v="40"/>
          </reference>
          <reference field="2" count="1" selected="0">
            <x v="2"/>
          </reference>
          <reference field="3" count="1" selected="0">
            <x v="4"/>
          </reference>
          <reference field="4" count="1" selected="0">
            <x v="1"/>
          </reference>
          <reference field="16" count="1">
            <x v="1"/>
          </reference>
        </references>
      </pivotArea>
    </format>
    <format dxfId="1682">
      <pivotArea dataOnly="0" labelOnly="1" outline="0" fieldPosition="0">
        <references count="6">
          <reference field="0" count="1" selected="0">
            <x v="19"/>
          </reference>
          <reference field="1" count="1" selected="0">
            <x v="12"/>
          </reference>
          <reference field="2" count="1" selected="0">
            <x v="4"/>
          </reference>
          <reference field="3" count="1" selected="0">
            <x v="7"/>
          </reference>
          <reference field="4" count="1" selected="0">
            <x v="3"/>
          </reference>
          <reference field="16" count="1">
            <x v="1"/>
          </reference>
        </references>
      </pivotArea>
    </format>
    <format dxfId="1681">
      <pivotArea dataOnly="0" labelOnly="1" outline="0" fieldPosition="0">
        <references count="6">
          <reference field="0" count="1" selected="0">
            <x v="20"/>
          </reference>
          <reference field="1" count="1" selected="0">
            <x v="17"/>
          </reference>
          <reference field="2" count="1" selected="0">
            <x v="4"/>
          </reference>
          <reference field="3" count="1" selected="0">
            <x v="1"/>
          </reference>
          <reference field="4" count="1" selected="0">
            <x v="1"/>
          </reference>
          <reference field="16" count="1">
            <x v="1"/>
          </reference>
        </references>
      </pivotArea>
    </format>
    <format dxfId="1680">
      <pivotArea dataOnly="0" labelOnly="1" outline="0" fieldPosition="0">
        <references count="6">
          <reference field="0" count="1" selected="0">
            <x v="21"/>
          </reference>
          <reference field="1" count="1" selected="0">
            <x v="4"/>
          </reference>
          <reference field="2" count="1" selected="0">
            <x v="0"/>
          </reference>
          <reference field="3" count="1" selected="0">
            <x v="7"/>
          </reference>
          <reference field="4" count="1" selected="0">
            <x v="3"/>
          </reference>
          <reference field="16" count="1">
            <x v="1"/>
          </reference>
        </references>
      </pivotArea>
    </format>
    <format dxfId="1679">
      <pivotArea dataOnly="0" labelOnly="1" outline="0" fieldPosition="0">
        <references count="6">
          <reference field="0" count="1" selected="0">
            <x v="22"/>
          </reference>
          <reference field="1" count="1" selected="0">
            <x v="49"/>
          </reference>
          <reference field="2" count="1" selected="0">
            <x v="3"/>
          </reference>
          <reference field="3" count="1" selected="0">
            <x v="7"/>
          </reference>
          <reference field="4" count="1" selected="0">
            <x v="4"/>
          </reference>
          <reference field="16" count="1">
            <x v="1"/>
          </reference>
        </references>
      </pivotArea>
    </format>
    <format dxfId="1678">
      <pivotArea dataOnly="0" labelOnly="1" outline="0" fieldPosition="0">
        <references count="6">
          <reference field="0" count="1" selected="0">
            <x v="23"/>
          </reference>
          <reference field="1" count="1" selected="0">
            <x v="31"/>
          </reference>
          <reference field="2" count="1" selected="0">
            <x v="3"/>
          </reference>
          <reference field="3" count="1" selected="0">
            <x v="6"/>
          </reference>
          <reference field="4" count="1" selected="0">
            <x v="1"/>
          </reference>
          <reference field="16" count="1">
            <x v="1"/>
          </reference>
        </references>
      </pivotArea>
    </format>
    <format dxfId="1677">
      <pivotArea dataOnly="0" labelOnly="1" outline="0" fieldPosition="0">
        <references count="6">
          <reference field="0" count="1" selected="0">
            <x v="24"/>
          </reference>
          <reference field="1" count="1" selected="0">
            <x v="21"/>
          </reference>
          <reference field="2" count="1" selected="0">
            <x v="2"/>
          </reference>
          <reference field="3" count="1" selected="0">
            <x v="0"/>
          </reference>
          <reference field="4" count="1" selected="0">
            <x v="3"/>
          </reference>
          <reference field="16" count="1">
            <x v="1"/>
          </reference>
        </references>
      </pivotArea>
    </format>
    <format dxfId="1676">
      <pivotArea dataOnly="0" labelOnly="1" outline="0" fieldPosition="0">
        <references count="6">
          <reference field="0" count="1" selected="0">
            <x v="25"/>
          </reference>
          <reference field="1" count="1" selected="0">
            <x v="23"/>
          </reference>
          <reference field="2" count="1" selected="0">
            <x v="2"/>
          </reference>
          <reference field="3" count="1" selected="0">
            <x v="7"/>
          </reference>
          <reference field="4" count="1" selected="0">
            <x v="2"/>
          </reference>
          <reference field="16" count="1">
            <x v="1"/>
          </reference>
        </references>
      </pivotArea>
    </format>
    <format dxfId="1675">
      <pivotArea dataOnly="0" labelOnly="1" outline="0" fieldPosition="0">
        <references count="6">
          <reference field="0" count="1" selected="0">
            <x v="26"/>
          </reference>
          <reference field="1" count="1" selected="0">
            <x v="9"/>
          </reference>
          <reference field="2" count="1" selected="0">
            <x v="3"/>
          </reference>
          <reference field="3" count="1" selected="0">
            <x v="1"/>
          </reference>
          <reference field="4" count="1" selected="0">
            <x v="1"/>
          </reference>
          <reference field="16" count="1">
            <x v="1"/>
          </reference>
        </references>
      </pivotArea>
    </format>
    <format dxfId="1674">
      <pivotArea dataOnly="0" labelOnly="1" outline="0" fieldPosition="0">
        <references count="6">
          <reference field="0" count="1" selected="0">
            <x v="27"/>
          </reference>
          <reference field="1" count="1" selected="0">
            <x v="22"/>
          </reference>
          <reference field="2" count="1" selected="0">
            <x v="2"/>
          </reference>
          <reference field="3" count="1" selected="0">
            <x v="5"/>
          </reference>
          <reference field="4" count="1" selected="0">
            <x v="3"/>
          </reference>
          <reference field="16" count="1">
            <x v="1"/>
          </reference>
        </references>
      </pivotArea>
    </format>
    <format dxfId="1673">
      <pivotArea dataOnly="0" labelOnly="1" outline="0" fieldPosition="0">
        <references count="6">
          <reference field="0" count="1" selected="0">
            <x v="28"/>
          </reference>
          <reference field="1" count="1" selected="0">
            <x v="19"/>
          </reference>
          <reference field="2" count="1" selected="0">
            <x v="5"/>
          </reference>
          <reference field="3" count="1" selected="0">
            <x v="0"/>
          </reference>
          <reference field="4" count="1" selected="0">
            <x v="4"/>
          </reference>
          <reference field="16" count="1">
            <x v="1"/>
          </reference>
        </references>
      </pivotArea>
    </format>
    <format dxfId="1672">
      <pivotArea dataOnly="0" labelOnly="1" outline="0" fieldPosition="0">
        <references count="6">
          <reference field="0" count="1" selected="0">
            <x v="29"/>
          </reference>
          <reference field="1" count="1" selected="0">
            <x v="4"/>
          </reference>
          <reference field="2" count="1" selected="0">
            <x v="0"/>
          </reference>
          <reference field="3" count="1" selected="0">
            <x v="6"/>
          </reference>
          <reference field="4" count="1" selected="0">
            <x v="3"/>
          </reference>
          <reference field="16" count="1">
            <x v="1"/>
          </reference>
        </references>
      </pivotArea>
    </format>
    <format dxfId="1671">
      <pivotArea dataOnly="0" labelOnly="1" outline="0" fieldPosition="0">
        <references count="6">
          <reference field="0" count="1" selected="0">
            <x v="30"/>
          </reference>
          <reference field="1" count="1" selected="0">
            <x v="23"/>
          </reference>
          <reference field="2" count="1" selected="0">
            <x v="2"/>
          </reference>
          <reference field="3" count="1" selected="0">
            <x v="3"/>
          </reference>
          <reference field="4" count="1" selected="0">
            <x v="1"/>
          </reference>
          <reference field="16" count="1">
            <x v="1"/>
          </reference>
        </references>
      </pivotArea>
    </format>
    <format dxfId="1670">
      <pivotArea dataOnly="0" labelOnly="1" outline="0" fieldPosition="0">
        <references count="6">
          <reference field="0" count="1" selected="0">
            <x v="31"/>
          </reference>
          <reference field="1" count="1" selected="0">
            <x v="34"/>
          </reference>
          <reference field="2" count="1" selected="0">
            <x v="5"/>
          </reference>
          <reference field="3" count="1" selected="0">
            <x v="7"/>
          </reference>
          <reference field="4" count="1" selected="0">
            <x v="0"/>
          </reference>
          <reference field="16" count="1">
            <x v="1"/>
          </reference>
        </references>
      </pivotArea>
    </format>
    <format dxfId="1669">
      <pivotArea dataOnly="0" labelOnly="1" outline="0" fieldPosition="0">
        <references count="6">
          <reference field="0" count="1" selected="0">
            <x v="32"/>
          </reference>
          <reference field="1" count="1" selected="0">
            <x v="53"/>
          </reference>
          <reference field="2" count="1" selected="0">
            <x v="1"/>
          </reference>
          <reference field="3" count="1" selected="0">
            <x v="0"/>
          </reference>
          <reference field="4" count="1" selected="0">
            <x v="2"/>
          </reference>
          <reference field="16" count="1">
            <x v="1"/>
          </reference>
        </references>
      </pivotArea>
    </format>
    <format dxfId="1668">
      <pivotArea dataOnly="0" labelOnly="1" outline="0" fieldPosition="0">
        <references count="6">
          <reference field="0" count="1" selected="0">
            <x v="33"/>
          </reference>
          <reference field="1" count="1" selected="0">
            <x v="45"/>
          </reference>
          <reference field="2" count="1" selected="0">
            <x v="5"/>
          </reference>
          <reference field="3" count="1" selected="0">
            <x v="2"/>
          </reference>
          <reference field="4" count="1" selected="0">
            <x v="3"/>
          </reference>
          <reference field="16" count="1">
            <x v="1"/>
          </reference>
        </references>
      </pivotArea>
    </format>
    <format dxfId="1667">
      <pivotArea dataOnly="0" labelOnly="1" outline="0" fieldPosition="0">
        <references count="6">
          <reference field="0" count="1" selected="0">
            <x v="34"/>
          </reference>
          <reference field="1" count="1" selected="0">
            <x v="49"/>
          </reference>
          <reference field="2" count="1" selected="0">
            <x v="3"/>
          </reference>
          <reference field="3" count="1" selected="0">
            <x v="7"/>
          </reference>
          <reference field="4" count="1" selected="0">
            <x v="1"/>
          </reference>
          <reference field="16" count="1">
            <x v="1"/>
          </reference>
        </references>
      </pivotArea>
    </format>
    <format dxfId="1666">
      <pivotArea dataOnly="0" labelOnly="1" outline="0" fieldPosition="0">
        <references count="6">
          <reference field="0" count="1" selected="0">
            <x v="35"/>
          </reference>
          <reference field="1" count="1" selected="0">
            <x v="0"/>
          </reference>
          <reference field="2" count="1" selected="0">
            <x v="0"/>
          </reference>
          <reference field="3" count="1" selected="0">
            <x v="1"/>
          </reference>
          <reference field="4" count="1" selected="0">
            <x v="3"/>
          </reference>
          <reference field="16" count="1">
            <x v="1"/>
          </reference>
        </references>
      </pivotArea>
    </format>
    <format dxfId="1665">
      <pivotArea dataOnly="0" labelOnly="1" outline="0" fieldPosition="0">
        <references count="6">
          <reference field="0" count="1" selected="0">
            <x v="36"/>
          </reference>
          <reference field="1" count="1" selected="0">
            <x v="6"/>
          </reference>
          <reference field="2" count="1" selected="0">
            <x v="3"/>
          </reference>
          <reference field="3" count="1" selected="0">
            <x v="2"/>
          </reference>
          <reference field="4" count="1" selected="0">
            <x v="4"/>
          </reference>
          <reference field="16" count="1">
            <x v="1"/>
          </reference>
        </references>
      </pivotArea>
    </format>
    <format dxfId="1664">
      <pivotArea dataOnly="0" labelOnly="1" outline="0" fieldPosition="0">
        <references count="6">
          <reference field="0" count="1" selected="0">
            <x v="37"/>
          </reference>
          <reference field="1" count="1" selected="0">
            <x v="4"/>
          </reference>
          <reference field="2" count="1" selected="0">
            <x v="0"/>
          </reference>
          <reference field="3" count="1" selected="0">
            <x v="3"/>
          </reference>
          <reference field="4" count="1" selected="0">
            <x v="3"/>
          </reference>
          <reference field="16" count="1">
            <x v="1"/>
          </reference>
        </references>
      </pivotArea>
    </format>
    <format dxfId="1663">
      <pivotArea dataOnly="0" labelOnly="1" outline="0" fieldPosition="0">
        <references count="6">
          <reference field="0" count="1" selected="0">
            <x v="38"/>
          </reference>
          <reference field="1" count="1" selected="0">
            <x v="35"/>
          </reference>
          <reference field="2" count="1" selected="0">
            <x v="4"/>
          </reference>
          <reference field="3" count="1" selected="0">
            <x v="5"/>
          </reference>
          <reference field="4" count="1" selected="0">
            <x v="4"/>
          </reference>
          <reference field="16" count="1">
            <x v="1"/>
          </reference>
        </references>
      </pivotArea>
    </format>
    <format dxfId="1662">
      <pivotArea dataOnly="0" labelOnly="1" outline="0" fieldPosition="0">
        <references count="6">
          <reference field="0" count="1" selected="0">
            <x v="39"/>
          </reference>
          <reference field="1" count="1" selected="0">
            <x v="41"/>
          </reference>
          <reference field="2" count="1" selected="0">
            <x v="0"/>
          </reference>
          <reference field="3" count="1" selected="0">
            <x v="3"/>
          </reference>
          <reference field="4" count="1" selected="0">
            <x v="4"/>
          </reference>
          <reference field="16" count="1">
            <x v="1"/>
          </reference>
        </references>
      </pivotArea>
    </format>
    <format dxfId="1661">
      <pivotArea dataOnly="0" labelOnly="1" outline="0" fieldPosition="0">
        <references count="6">
          <reference field="0" count="1" selected="0">
            <x v="40"/>
          </reference>
          <reference field="1" count="1" selected="0">
            <x v="47"/>
          </reference>
          <reference field="2" count="1" selected="0">
            <x v="0"/>
          </reference>
          <reference field="3" count="1" selected="0">
            <x v="3"/>
          </reference>
          <reference field="4" count="1" selected="0">
            <x v="4"/>
          </reference>
          <reference field="16" count="1">
            <x v="1"/>
          </reference>
        </references>
      </pivotArea>
    </format>
    <format dxfId="1660">
      <pivotArea dataOnly="0" labelOnly="1" outline="0" fieldPosition="0">
        <references count="6">
          <reference field="0" count="1" selected="0">
            <x v="41"/>
          </reference>
          <reference field="1" count="1" selected="0">
            <x v="22"/>
          </reference>
          <reference field="2" count="1" selected="0">
            <x v="2"/>
          </reference>
          <reference field="3" count="1" selected="0">
            <x v="6"/>
          </reference>
          <reference field="4" count="1" selected="0">
            <x v="4"/>
          </reference>
          <reference field="16" count="1">
            <x v="1"/>
          </reference>
        </references>
      </pivotArea>
    </format>
    <format dxfId="1659">
      <pivotArea dataOnly="0" labelOnly="1" outline="0" fieldPosition="0">
        <references count="6">
          <reference field="0" count="1" selected="0">
            <x v="42"/>
          </reference>
          <reference field="1" count="1" selected="0">
            <x v="12"/>
          </reference>
          <reference field="2" count="1" selected="0">
            <x v="4"/>
          </reference>
          <reference field="3" count="1" selected="0">
            <x v="4"/>
          </reference>
          <reference field="4" count="1" selected="0">
            <x v="1"/>
          </reference>
          <reference field="16" count="1">
            <x v="1"/>
          </reference>
        </references>
      </pivotArea>
    </format>
    <format dxfId="1658">
      <pivotArea dataOnly="0" labelOnly="1" outline="0" fieldPosition="0">
        <references count="6">
          <reference field="0" count="1" selected="0">
            <x v="43"/>
          </reference>
          <reference field="1" count="1" selected="0">
            <x v="30"/>
          </reference>
          <reference field="2" count="1" selected="0">
            <x v="1"/>
          </reference>
          <reference field="3" count="1" selected="0">
            <x v="6"/>
          </reference>
          <reference field="4" count="1" selected="0">
            <x v="1"/>
          </reference>
          <reference field="16" count="1">
            <x v="1"/>
          </reference>
        </references>
      </pivotArea>
    </format>
    <format dxfId="1657">
      <pivotArea dataOnly="0" labelOnly="1" outline="0" fieldPosition="0">
        <references count="6">
          <reference field="0" count="1" selected="0">
            <x v="44"/>
          </reference>
          <reference field="1" count="1" selected="0">
            <x v="14"/>
          </reference>
          <reference field="2" count="1" selected="0">
            <x v="4"/>
          </reference>
          <reference field="3" count="1" selected="0">
            <x v="2"/>
          </reference>
          <reference field="4" count="1" selected="0">
            <x v="4"/>
          </reference>
          <reference field="16" count="1">
            <x v="1"/>
          </reference>
        </references>
      </pivotArea>
    </format>
    <format dxfId="1656">
      <pivotArea dataOnly="0" labelOnly="1" outline="0" fieldPosition="0">
        <references count="6">
          <reference field="0" count="1" selected="0">
            <x v="45"/>
          </reference>
          <reference field="1" count="1" selected="0">
            <x v="50"/>
          </reference>
          <reference field="2" count="1" selected="0">
            <x v="3"/>
          </reference>
          <reference field="3" count="1" selected="0">
            <x v="4"/>
          </reference>
          <reference field="4" count="1" selected="0">
            <x v="3"/>
          </reference>
          <reference field="16" count="1">
            <x v="1"/>
          </reference>
        </references>
      </pivotArea>
    </format>
    <format dxfId="1655">
      <pivotArea dataOnly="0" labelOnly="1" outline="0" fieldPosition="0">
        <references count="6">
          <reference field="0" count="1" selected="0">
            <x v="46"/>
          </reference>
          <reference field="1" count="1" selected="0">
            <x v="42"/>
          </reference>
          <reference field="2" count="1" selected="0">
            <x v="2"/>
          </reference>
          <reference field="3" count="1" selected="0">
            <x v="4"/>
          </reference>
          <reference field="4" count="1" selected="0">
            <x v="2"/>
          </reference>
          <reference field="16" count="1">
            <x v="1"/>
          </reference>
        </references>
      </pivotArea>
    </format>
    <format dxfId="1654">
      <pivotArea dataOnly="0" labelOnly="1" outline="0" fieldPosition="0">
        <references count="6">
          <reference field="0" count="1" selected="0">
            <x v="47"/>
          </reference>
          <reference field="1" count="1" selected="0">
            <x v="9"/>
          </reference>
          <reference field="2" count="1" selected="0">
            <x v="3"/>
          </reference>
          <reference field="3" count="1" selected="0">
            <x v="4"/>
          </reference>
          <reference field="4" count="1" selected="0">
            <x v="1"/>
          </reference>
          <reference field="16" count="1">
            <x v="1"/>
          </reference>
        </references>
      </pivotArea>
    </format>
    <format dxfId="1653">
      <pivotArea dataOnly="0" labelOnly="1" outline="0" fieldPosition="0">
        <references count="6">
          <reference field="0" count="1" selected="0">
            <x v="48"/>
          </reference>
          <reference field="1" count="1" selected="0">
            <x v="31"/>
          </reference>
          <reference field="2" count="1" selected="0">
            <x v="3"/>
          </reference>
          <reference field="3" count="1" selected="0">
            <x v="1"/>
          </reference>
          <reference field="4" count="1" selected="0">
            <x v="1"/>
          </reference>
          <reference field="16" count="1">
            <x v="1"/>
          </reference>
        </references>
      </pivotArea>
    </format>
    <format dxfId="1652">
      <pivotArea dataOnly="0" labelOnly="1" outline="0" fieldPosition="0">
        <references count="6">
          <reference field="0" count="1" selected="0">
            <x v="49"/>
          </reference>
          <reference field="1" count="1" selected="0">
            <x v="14"/>
          </reference>
          <reference field="2" count="1" selected="0">
            <x v="4"/>
          </reference>
          <reference field="3" count="1" selected="0">
            <x v="7"/>
          </reference>
          <reference field="4" count="1" selected="0">
            <x v="2"/>
          </reference>
          <reference field="16" count="1">
            <x v="1"/>
          </reference>
        </references>
      </pivotArea>
    </format>
    <format dxfId="1651">
      <pivotArea dataOnly="0" labelOnly="1" outline="0" fieldPosition="0">
        <references count="6">
          <reference field="0" count="1" selected="0">
            <x v="50"/>
          </reference>
          <reference field="1" count="1" selected="0">
            <x v="23"/>
          </reference>
          <reference field="2" count="1" selected="0">
            <x v="2"/>
          </reference>
          <reference field="3" count="1" selected="0">
            <x v="4"/>
          </reference>
          <reference field="4" count="1" selected="0">
            <x v="1"/>
          </reference>
          <reference field="16" count="1">
            <x v="1"/>
          </reference>
        </references>
      </pivotArea>
    </format>
    <format dxfId="1650">
      <pivotArea dataOnly="0" labelOnly="1" outline="0" fieldPosition="0">
        <references count="6">
          <reference field="0" count="1" selected="0">
            <x v="51"/>
          </reference>
          <reference field="1" count="1" selected="0">
            <x v="17"/>
          </reference>
          <reference field="2" count="1" selected="0">
            <x v="4"/>
          </reference>
          <reference field="3" count="1" selected="0">
            <x v="7"/>
          </reference>
          <reference field="4" count="1" selected="0">
            <x v="4"/>
          </reference>
          <reference field="16" count="1">
            <x v="1"/>
          </reference>
        </references>
      </pivotArea>
    </format>
    <format dxfId="1649">
      <pivotArea dataOnly="0" labelOnly="1" outline="0" fieldPosition="0">
        <references count="6">
          <reference field="0" count="1" selected="0">
            <x v="52"/>
          </reference>
          <reference field="1" count="1" selected="0">
            <x v="16"/>
          </reference>
          <reference field="2" count="1" selected="0">
            <x v="5"/>
          </reference>
          <reference field="3" count="1" selected="0">
            <x v="3"/>
          </reference>
          <reference field="4" count="1" selected="0">
            <x v="1"/>
          </reference>
          <reference field="16" count="1">
            <x v="1"/>
          </reference>
        </references>
      </pivotArea>
    </format>
    <format dxfId="1648">
      <pivotArea dataOnly="0" labelOnly="1" outline="0" fieldPosition="0">
        <references count="6">
          <reference field="0" count="1" selected="0">
            <x v="53"/>
          </reference>
          <reference field="1" count="1" selected="0">
            <x v="10"/>
          </reference>
          <reference field="2" count="1" selected="0">
            <x v="4"/>
          </reference>
          <reference field="3" count="1" selected="0">
            <x v="7"/>
          </reference>
          <reference field="4" count="1" selected="0">
            <x v="0"/>
          </reference>
          <reference field="16" count="1">
            <x v="1"/>
          </reference>
        </references>
      </pivotArea>
    </format>
    <format dxfId="1647">
      <pivotArea dataOnly="0" labelOnly="1" outline="0" fieldPosition="0">
        <references count="6">
          <reference field="0" count="1" selected="0">
            <x v="54"/>
          </reference>
          <reference field="1" count="1" selected="0">
            <x v="40"/>
          </reference>
          <reference field="2" count="1" selected="0">
            <x v="2"/>
          </reference>
          <reference field="3" count="1" selected="0">
            <x v="2"/>
          </reference>
          <reference field="4" count="1" selected="0">
            <x v="1"/>
          </reference>
          <reference field="16" count="1">
            <x v="1"/>
          </reference>
        </references>
      </pivotArea>
    </format>
    <format dxfId="1646">
      <pivotArea dataOnly="0" labelOnly="1" outline="0" fieldPosition="0">
        <references count="6">
          <reference field="0" count="1" selected="0">
            <x v="55"/>
          </reference>
          <reference field="1" count="1" selected="0">
            <x v="13"/>
          </reference>
          <reference field="2" count="1" selected="0">
            <x v="3"/>
          </reference>
          <reference field="3" count="1" selected="0">
            <x v="5"/>
          </reference>
          <reference field="4" count="1" selected="0">
            <x v="1"/>
          </reference>
          <reference field="16" count="1">
            <x v="1"/>
          </reference>
        </references>
      </pivotArea>
    </format>
    <format dxfId="1645">
      <pivotArea dataOnly="0" labelOnly="1" outline="0" fieldPosition="0">
        <references count="6">
          <reference field="0" count="1" selected="0">
            <x v="56"/>
          </reference>
          <reference field="1" count="1" selected="0">
            <x v="37"/>
          </reference>
          <reference field="2" count="1" selected="0">
            <x v="1"/>
          </reference>
          <reference field="3" count="1" selected="0">
            <x v="2"/>
          </reference>
          <reference field="4" count="1" selected="0">
            <x v="3"/>
          </reference>
          <reference field="16" count="1">
            <x v="1"/>
          </reference>
        </references>
      </pivotArea>
    </format>
    <format dxfId="1644">
      <pivotArea dataOnly="0" labelOnly="1" outline="0" fieldPosition="0">
        <references count="6">
          <reference field="0" count="1" selected="0">
            <x v="57"/>
          </reference>
          <reference field="1" count="1" selected="0">
            <x v="48"/>
          </reference>
          <reference field="2" count="1" selected="0">
            <x v="5"/>
          </reference>
          <reference field="3" count="1" selected="0">
            <x v="1"/>
          </reference>
          <reference field="4" count="1" selected="0">
            <x v="0"/>
          </reference>
          <reference field="16" count="1">
            <x v="1"/>
          </reference>
        </references>
      </pivotArea>
    </format>
    <format dxfId="1643">
      <pivotArea dataOnly="0" labelOnly="1" outline="0" fieldPosition="0">
        <references count="6">
          <reference field="0" count="1" selected="0">
            <x v="58"/>
          </reference>
          <reference field="1" count="1" selected="0">
            <x v="44"/>
          </reference>
          <reference field="2" count="1" selected="0">
            <x v="5"/>
          </reference>
          <reference field="3" count="1" selected="0">
            <x v="0"/>
          </reference>
          <reference field="4" count="1" selected="0">
            <x v="4"/>
          </reference>
          <reference field="16" count="1">
            <x v="1"/>
          </reference>
        </references>
      </pivotArea>
    </format>
    <format dxfId="1642">
      <pivotArea dataOnly="0" labelOnly="1" outline="0" fieldPosition="0">
        <references count="6">
          <reference field="0" count="1" selected="0">
            <x v="59"/>
          </reference>
          <reference field="1" count="1" selected="0">
            <x v="24"/>
          </reference>
          <reference field="2" count="1" selected="0">
            <x v="0"/>
          </reference>
          <reference field="3" count="1" selected="0">
            <x v="6"/>
          </reference>
          <reference field="4" count="1" selected="0">
            <x v="0"/>
          </reference>
          <reference field="16" count="1">
            <x v="1"/>
          </reference>
        </references>
      </pivotArea>
    </format>
    <format dxfId="1641">
      <pivotArea dataOnly="0" labelOnly="1" outline="0" fieldPosition="0">
        <references count="6">
          <reference field="0" count="1" selected="0">
            <x v="60"/>
          </reference>
          <reference field="1" count="1" selected="0">
            <x v="34"/>
          </reference>
          <reference field="2" count="1" selected="0">
            <x v="5"/>
          </reference>
          <reference field="3" count="1" selected="0">
            <x v="4"/>
          </reference>
          <reference field="4" count="1" selected="0">
            <x v="0"/>
          </reference>
          <reference field="16" count="1">
            <x v="1"/>
          </reference>
        </references>
      </pivotArea>
    </format>
    <format dxfId="1640">
      <pivotArea dataOnly="0" labelOnly="1" outline="0" fieldPosition="0">
        <references count="6">
          <reference field="0" count="1" selected="0">
            <x v="61"/>
          </reference>
          <reference field="1" count="1" selected="0">
            <x v="59"/>
          </reference>
          <reference field="2" count="1" selected="0">
            <x v="2"/>
          </reference>
          <reference field="3" count="1" selected="0">
            <x v="2"/>
          </reference>
          <reference field="4" count="1" selected="0">
            <x v="3"/>
          </reference>
          <reference field="16" count="1">
            <x v="1"/>
          </reference>
        </references>
      </pivotArea>
    </format>
    <format dxfId="1639">
      <pivotArea dataOnly="0" labelOnly="1" outline="0" fieldPosition="0">
        <references count="6">
          <reference field="0" count="1" selected="0">
            <x v="62"/>
          </reference>
          <reference field="1" count="1" selected="0">
            <x v="10"/>
          </reference>
          <reference field="2" count="1" selected="0">
            <x v="4"/>
          </reference>
          <reference field="3" count="1" selected="0">
            <x v="5"/>
          </reference>
          <reference field="4" count="1" selected="0">
            <x v="0"/>
          </reference>
          <reference field="16" count="1">
            <x v="1"/>
          </reference>
        </references>
      </pivotArea>
    </format>
    <format dxfId="1638">
      <pivotArea dataOnly="0" labelOnly="1" outline="0" fieldPosition="0">
        <references count="6">
          <reference field="0" count="1" selected="0">
            <x v="63"/>
          </reference>
          <reference field="1" count="1" selected="0">
            <x v="16"/>
          </reference>
          <reference field="2" count="1" selected="0">
            <x v="5"/>
          </reference>
          <reference field="3" count="1" selected="0">
            <x v="3"/>
          </reference>
          <reference field="4" count="1" selected="0">
            <x v="0"/>
          </reference>
          <reference field="16" count="1">
            <x v="1"/>
          </reference>
        </references>
      </pivotArea>
    </format>
    <format dxfId="1637">
      <pivotArea dataOnly="0" labelOnly="1" outline="0" fieldPosition="0">
        <references count="6">
          <reference field="0" count="1" selected="0">
            <x v="64"/>
          </reference>
          <reference field="1" count="1" selected="0">
            <x v="4"/>
          </reference>
          <reference field="2" count="1" selected="0">
            <x v="0"/>
          </reference>
          <reference field="3" count="1" selected="0">
            <x v="0"/>
          </reference>
          <reference field="4" count="1" selected="0">
            <x v="1"/>
          </reference>
          <reference field="16" count="1">
            <x v="1"/>
          </reference>
        </references>
      </pivotArea>
    </format>
    <format dxfId="1636">
      <pivotArea dataOnly="0" labelOnly="1" outline="0" fieldPosition="0">
        <references count="6">
          <reference field="0" count="1" selected="0">
            <x v="65"/>
          </reference>
          <reference field="1" count="1" selected="0">
            <x v="9"/>
          </reference>
          <reference field="2" count="1" selected="0">
            <x v="3"/>
          </reference>
          <reference field="3" count="1" selected="0">
            <x v="2"/>
          </reference>
          <reference field="4" count="1" selected="0">
            <x v="0"/>
          </reference>
          <reference field="16" count="1">
            <x v="1"/>
          </reference>
        </references>
      </pivotArea>
    </format>
    <format dxfId="1635">
      <pivotArea dataOnly="0" labelOnly="1" outline="0" fieldPosition="0">
        <references count="6">
          <reference field="0" count="1" selected="0">
            <x v="66"/>
          </reference>
          <reference field="1" count="1" selected="0">
            <x v="43"/>
          </reference>
          <reference field="2" count="1" selected="0">
            <x v="0"/>
          </reference>
          <reference field="3" count="1" selected="0">
            <x v="4"/>
          </reference>
          <reference field="4" count="1" selected="0">
            <x v="3"/>
          </reference>
          <reference field="16" count="1">
            <x v="1"/>
          </reference>
        </references>
      </pivotArea>
    </format>
    <format dxfId="1634">
      <pivotArea dataOnly="0" labelOnly="1" outline="0" fieldPosition="0">
        <references count="6">
          <reference field="0" count="1" selected="0">
            <x v="67"/>
          </reference>
          <reference field="1" count="1" selected="0">
            <x v="44"/>
          </reference>
          <reference field="2" count="1" selected="0">
            <x v="5"/>
          </reference>
          <reference field="3" count="1" selected="0">
            <x v="5"/>
          </reference>
          <reference field="4" count="1" selected="0">
            <x v="3"/>
          </reference>
          <reference field="16" count="1">
            <x v="1"/>
          </reference>
        </references>
      </pivotArea>
    </format>
    <format dxfId="1633">
      <pivotArea dataOnly="0" labelOnly="1" outline="0" fieldPosition="0">
        <references count="6">
          <reference field="0" count="1" selected="0">
            <x v="68"/>
          </reference>
          <reference field="1" count="1" selected="0">
            <x v="1"/>
          </reference>
          <reference field="2" count="1" selected="0">
            <x v="5"/>
          </reference>
          <reference field="3" count="1" selected="0">
            <x v="2"/>
          </reference>
          <reference field="4" count="1" selected="0">
            <x v="3"/>
          </reference>
          <reference field="16" count="1">
            <x v="1"/>
          </reference>
        </references>
      </pivotArea>
    </format>
    <format dxfId="1632">
      <pivotArea dataOnly="0" labelOnly="1" outline="0" fieldPosition="0">
        <references count="6">
          <reference field="0" count="1" selected="0">
            <x v="69"/>
          </reference>
          <reference field="1" count="1" selected="0">
            <x v="20"/>
          </reference>
          <reference field="2" count="1" selected="0">
            <x v="4"/>
          </reference>
          <reference field="3" count="1" selected="0">
            <x v="1"/>
          </reference>
          <reference field="4" count="1" selected="0">
            <x v="0"/>
          </reference>
          <reference field="16" count="1">
            <x v="1"/>
          </reference>
        </references>
      </pivotArea>
    </format>
    <format dxfId="1631">
      <pivotArea dataOnly="0" labelOnly="1" outline="0" fieldPosition="0">
        <references count="6">
          <reference field="0" count="1" selected="0">
            <x v="70"/>
          </reference>
          <reference field="1" count="1" selected="0">
            <x v="1"/>
          </reference>
          <reference field="2" count="1" selected="0">
            <x v="5"/>
          </reference>
          <reference field="3" count="1" selected="0">
            <x v="0"/>
          </reference>
          <reference field="4" count="1" selected="0">
            <x v="1"/>
          </reference>
          <reference field="16" count="1">
            <x v="1"/>
          </reference>
        </references>
      </pivotArea>
    </format>
    <format dxfId="1630">
      <pivotArea dataOnly="0" labelOnly="1" outline="0" fieldPosition="0">
        <references count="6">
          <reference field="0" count="1" selected="0">
            <x v="71"/>
          </reference>
          <reference field="1" count="1" selected="0">
            <x v="30"/>
          </reference>
          <reference field="2" count="1" selected="0">
            <x v="1"/>
          </reference>
          <reference field="3" count="1" selected="0">
            <x v="6"/>
          </reference>
          <reference field="4" count="1" selected="0">
            <x v="0"/>
          </reference>
          <reference field="16" count="1">
            <x v="1"/>
          </reference>
        </references>
      </pivotArea>
    </format>
    <format dxfId="1629">
      <pivotArea dataOnly="0" labelOnly="1" outline="0" fieldPosition="0">
        <references count="6">
          <reference field="0" count="1" selected="0">
            <x v="72"/>
          </reference>
          <reference field="1" count="1" selected="0">
            <x v="33"/>
          </reference>
          <reference field="2" count="1" selected="0">
            <x v="4"/>
          </reference>
          <reference field="3" count="1" selected="0">
            <x v="2"/>
          </reference>
          <reference field="4" count="1" selected="0">
            <x v="1"/>
          </reference>
          <reference field="16" count="1">
            <x v="1"/>
          </reference>
        </references>
      </pivotArea>
    </format>
    <format dxfId="1628">
      <pivotArea dataOnly="0" labelOnly="1" outline="0" fieldPosition="0">
        <references count="6">
          <reference field="0" count="1" selected="0">
            <x v="73"/>
          </reference>
          <reference field="1" count="1" selected="0">
            <x v="44"/>
          </reference>
          <reference field="2" count="1" selected="0">
            <x v="5"/>
          </reference>
          <reference field="3" count="1" selected="0">
            <x v="5"/>
          </reference>
          <reference field="4" count="1" selected="0">
            <x v="4"/>
          </reference>
          <reference field="16" count="1">
            <x v="1"/>
          </reference>
        </references>
      </pivotArea>
    </format>
    <format dxfId="1627">
      <pivotArea dataOnly="0" labelOnly="1" outline="0" fieldPosition="0">
        <references count="6">
          <reference field="0" count="1" selected="0">
            <x v="74"/>
          </reference>
          <reference field="1" count="1" selected="0">
            <x v="59"/>
          </reference>
          <reference field="2" count="1" selected="0">
            <x v="2"/>
          </reference>
          <reference field="3" count="1" selected="0">
            <x v="1"/>
          </reference>
          <reference field="4" count="1" selected="0">
            <x v="0"/>
          </reference>
          <reference field="16" count="1">
            <x v="1"/>
          </reference>
        </references>
      </pivotArea>
    </format>
    <format dxfId="1626">
      <pivotArea dataOnly="0" labelOnly="1" outline="0" fieldPosition="0">
        <references count="6">
          <reference field="0" count="1" selected="0">
            <x v="75"/>
          </reference>
          <reference field="1" count="1" selected="0">
            <x v="5"/>
          </reference>
          <reference field="2" count="1" selected="0">
            <x v="0"/>
          </reference>
          <reference field="3" count="1" selected="0">
            <x v="7"/>
          </reference>
          <reference field="4" count="1" selected="0">
            <x v="1"/>
          </reference>
          <reference field="16" count="1">
            <x v="0"/>
          </reference>
        </references>
      </pivotArea>
    </format>
    <format dxfId="1625">
      <pivotArea dataOnly="0" labelOnly="1" outline="0" fieldPosition="0">
        <references count="6">
          <reference field="0" count="1" selected="0">
            <x v="76"/>
          </reference>
          <reference field="1" count="1" selected="0">
            <x v="55"/>
          </reference>
          <reference field="2" count="1" selected="0">
            <x v="1"/>
          </reference>
          <reference field="3" count="1" selected="0">
            <x v="3"/>
          </reference>
          <reference field="4" count="1" selected="0">
            <x v="4"/>
          </reference>
          <reference field="16" count="1">
            <x v="1"/>
          </reference>
        </references>
      </pivotArea>
    </format>
    <format dxfId="1624">
      <pivotArea dataOnly="0" labelOnly="1" outline="0" fieldPosition="0">
        <references count="6">
          <reference field="0" count="1" selected="0">
            <x v="77"/>
          </reference>
          <reference field="1" count="1" selected="0">
            <x v="59"/>
          </reference>
          <reference field="2" count="1" selected="0">
            <x v="2"/>
          </reference>
          <reference field="3" count="1" selected="0">
            <x v="4"/>
          </reference>
          <reference field="4" count="1" selected="0">
            <x v="3"/>
          </reference>
          <reference field="16" count="1">
            <x v="1"/>
          </reference>
        </references>
      </pivotArea>
    </format>
    <format dxfId="1623">
      <pivotArea dataOnly="0" labelOnly="1" outline="0" fieldPosition="0">
        <references count="6">
          <reference field="0" count="1" selected="0">
            <x v="78"/>
          </reference>
          <reference field="1" count="1" selected="0">
            <x v="4"/>
          </reference>
          <reference field="2" count="1" selected="0">
            <x v="0"/>
          </reference>
          <reference field="3" count="1" selected="0">
            <x v="4"/>
          </reference>
          <reference field="4" count="1" selected="0">
            <x v="4"/>
          </reference>
          <reference field="16" count="1">
            <x v="0"/>
          </reference>
        </references>
      </pivotArea>
    </format>
    <format dxfId="1622">
      <pivotArea dataOnly="0" labelOnly="1" outline="0" fieldPosition="0">
        <references count="6">
          <reference field="0" count="1" selected="0">
            <x v="79"/>
          </reference>
          <reference field="1" count="1" selected="0">
            <x v="9"/>
          </reference>
          <reference field="2" count="1" selected="0">
            <x v="3"/>
          </reference>
          <reference field="3" count="1" selected="0">
            <x v="0"/>
          </reference>
          <reference field="4" count="1" selected="0">
            <x v="0"/>
          </reference>
          <reference field="16" count="1">
            <x v="0"/>
          </reference>
        </references>
      </pivotArea>
    </format>
    <format dxfId="1621">
      <pivotArea dataOnly="0" labelOnly="1" outline="0" fieldPosition="0">
        <references count="6">
          <reference field="0" count="1" selected="0">
            <x v="80"/>
          </reference>
          <reference field="1" count="1" selected="0">
            <x v="48"/>
          </reference>
          <reference field="2" count="1" selected="0">
            <x v="5"/>
          </reference>
          <reference field="3" count="1" selected="0">
            <x v="7"/>
          </reference>
          <reference field="4" count="1" selected="0">
            <x v="2"/>
          </reference>
          <reference field="16" count="1">
            <x v="1"/>
          </reference>
        </references>
      </pivotArea>
    </format>
    <format dxfId="1620">
      <pivotArea dataOnly="0" labelOnly="1" outline="0" fieldPosition="0">
        <references count="6">
          <reference field="0" count="1" selected="0">
            <x v="81"/>
          </reference>
          <reference field="1" count="1" selected="0">
            <x v="54"/>
          </reference>
          <reference field="2" count="1" selected="0">
            <x v="2"/>
          </reference>
          <reference field="3" count="1" selected="0">
            <x v="1"/>
          </reference>
          <reference field="4" count="1" selected="0">
            <x v="4"/>
          </reference>
          <reference field="16" count="1">
            <x v="0"/>
          </reference>
        </references>
      </pivotArea>
    </format>
    <format dxfId="1619">
      <pivotArea dataOnly="0" labelOnly="1" outline="0" fieldPosition="0">
        <references count="6">
          <reference field="0" count="1" selected="0">
            <x v="82"/>
          </reference>
          <reference field="1" count="1" selected="0">
            <x v="52"/>
          </reference>
          <reference field="2" count="1" selected="0">
            <x v="1"/>
          </reference>
          <reference field="3" count="1" selected="0">
            <x v="1"/>
          </reference>
          <reference field="4" count="1" selected="0">
            <x v="0"/>
          </reference>
          <reference field="16" count="1">
            <x v="2"/>
          </reference>
        </references>
      </pivotArea>
    </format>
    <format dxfId="1618">
      <pivotArea dataOnly="0" labelOnly="1" outline="0" fieldPosition="0">
        <references count="6">
          <reference field="0" count="1" selected="0">
            <x v="83"/>
          </reference>
          <reference field="1" count="1" selected="0">
            <x v="46"/>
          </reference>
          <reference field="2" count="1" selected="0">
            <x v="3"/>
          </reference>
          <reference field="3" count="1" selected="0">
            <x v="4"/>
          </reference>
          <reference field="4" count="1" selected="0">
            <x v="0"/>
          </reference>
          <reference field="16" count="1">
            <x v="0"/>
          </reference>
        </references>
      </pivotArea>
    </format>
    <format dxfId="1617">
      <pivotArea dataOnly="0" labelOnly="1" outline="0" fieldPosition="0">
        <references count="6">
          <reference field="0" count="1" selected="0">
            <x v="84"/>
          </reference>
          <reference field="1" count="1" selected="0">
            <x v="39"/>
          </reference>
          <reference field="2" count="1" selected="0">
            <x v="2"/>
          </reference>
          <reference field="3" count="1" selected="0">
            <x v="2"/>
          </reference>
          <reference field="4" count="1" selected="0">
            <x v="4"/>
          </reference>
          <reference field="16" count="1">
            <x v="0"/>
          </reference>
        </references>
      </pivotArea>
    </format>
    <format dxfId="1616">
      <pivotArea dataOnly="0" labelOnly="1" outline="0" fieldPosition="0">
        <references count="6">
          <reference field="0" count="1" selected="0">
            <x v="85"/>
          </reference>
          <reference field="1" count="1" selected="0">
            <x v="10"/>
          </reference>
          <reference field="2" count="1" selected="0">
            <x v="4"/>
          </reference>
          <reference field="3" count="1" selected="0">
            <x v="0"/>
          </reference>
          <reference field="4" count="1" selected="0">
            <x v="2"/>
          </reference>
          <reference field="16" count="1">
            <x v="1"/>
          </reference>
        </references>
      </pivotArea>
    </format>
    <format dxfId="1615">
      <pivotArea dataOnly="0" labelOnly="1" outline="0" fieldPosition="0">
        <references count="6">
          <reference field="0" count="1" selected="0">
            <x v="86"/>
          </reference>
          <reference field="1" count="1" selected="0">
            <x v="29"/>
          </reference>
          <reference field="2" count="1" selected="0">
            <x v="1"/>
          </reference>
          <reference field="3" count="1" selected="0">
            <x v="1"/>
          </reference>
          <reference field="4" count="1" selected="0">
            <x v="1"/>
          </reference>
          <reference field="16" count="1">
            <x v="0"/>
          </reference>
        </references>
      </pivotArea>
    </format>
    <format dxfId="1614">
      <pivotArea dataOnly="0" labelOnly="1" outline="0" fieldPosition="0">
        <references count="6">
          <reference field="0" count="1" selected="0">
            <x v="87"/>
          </reference>
          <reference field="1" count="1" selected="0">
            <x v="4"/>
          </reference>
          <reference field="2" count="1" selected="0">
            <x v="0"/>
          </reference>
          <reference field="3" count="1" selected="0">
            <x v="1"/>
          </reference>
          <reference field="4" count="1" selected="0">
            <x v="0"/>
          </reference>
          <reference field="16" count="1">
            <x v="0"/>
          </reference>
        </references>
      </pivotArea>
    </format>
    <format dxfId="1613">
      <pivotArea dataOnly="0" labelOnly="1" outline="0" fieldPosition="0">
        <references count="6">
          <reference field="0" count="1" selected="0">
            <x v="88"/>
          </reference>
          <reference field="1" count="1" selected="0">
            <x v="2"/>
          </reference>
          <reference field="2" count="1" selected="0">
            <x v="3"/>
          </reference>
          <reference field="3" count="1" selected="0">
            <x v="1"/>
          </reference>
          <reference field="4" count="1" selected="0">
            <x v="3"/>
          </reference>
          <reference field="16" count="1">
            <x v="0"/>
          </reference>
        </references>
      </pivotArea>
    </format>
    <format dxfId="1612">
      <pivotArea dataOnly="0" labelOnly="1" outline="0" fieldPosition="0">
        <references count="6">
          <reference field="0" count="1" selected="0">
            <x v="89"/>
          </reference>
          <reference field="1" count="1" selected="0">
            <x v="52"/>
          </reference>
          <reference field="2" count="1" selected="0">
            <x v="1"/>
          </reference>
          <reference field="3" count="1" selected="0">
            <x v="3"/>
          </reference>
          <reference field="4" count="1" selected="0">
            <x v="0"/>
          </reference>
          <reference field="16" count="1">
            <x v="0"/>
          </reference>
        </references>
      </pivotArea>
    </format>
    <format dxfId="1611">
      <pivotArea dataOnly="0" labelOnly="1" outline="0" fieldPosition="0">
        <references count="6">
          <reference field="0" count="1" selected="0">
            <x v="90"/>
          </reference>
          <reference field="1" count="1" selected="0">
            <x v="37"/>
          </reference>
          <reference field="2" count="1" selected="0">
            <x v="1"/>
          </reference>
          <reference field="3" count="1" selected="0">
            <x v="1"/>
          </reference>
          <reference field="4" count="1" selected="0">
            <x v="2"/>
          </reference>
          <reference field="16" count="1">
            <x v="0"/>
          </reference>
        </references>
      </pivotArea>
    </format>
    <format dxfId="1610">
      <pivotArea dataOnly="0" labelOnly="1" outline="0" fieldPosition="0">
        <references count="6">
          <reference field="0" count="1" selected="0">
            <x v="91"/>
          </reference>
          <reference field="1" count="1" selected="0">
            <x v="51"/>
          </reference>
          <reference field="2" count="1" selected="0">
            <x v="0"/>
          </reference>
          <reference field="3" count="1" selected="0">
            <x v="4"/>
          </reference>
          <reference field="4" count="1" selected="0">
            <x v="0"/>
          </reference>
          <reference field="16" count="1">
            <x v="1"/>
          </reference>
        </references>
      </pivotArea>
    </format>
    <format dxfId="1609">
      <pivotArea dataOnly="0" labelOnly="1" outline="0" fieldPosition="0">
        <references count="6">
          <reference field="0" count="1" selected="0">
            <x v="92"/>
          </reference>
          <reference field="1" count="1" selected="0">
            <x v="5"/>
          </reference>
          <reference field="2" count="1" selected="0">
            <x v="0"/>
          </reference>
          <reference field="3" count="1" selected="0">
            <x v="4"/>
          </reference>
          <reference field="4" count="1" selected="0">
            <x v="0"/>
          </reference>
          <reference field="16" count="1">
            <x v="0"/>
          </reference>
        </references>
      </pivotArea>
    </format>
    <format dxfId="1608">
      <pivotArea dataOnly="0" labelOnly="1" outline="0" fieldPosition="0">
        <references count="6">
          <reference field="0" count="1" selected="0">
            <x v="93"/>
          </reference>
          <reference field="1" count="1" selected="0">
            <x v="5"/>
          </reference>
          <reference field="2" count="1" selected="0">
            <x v="0"/>
          </reference>
          <reference field="3" count="1" selected="0">
            <x v="7"/>
          </reference>
          <reference field="4" count="1" selected="0">
            <x v="4"/>
          </reference>
          <reference field="16" count="1">
            <x v="1"/>
          </reference>
        </references>
      </pivotArea>
    </format>
    <format dxfId="1607">
      <pivotArea dataOnly="0" labelOnly="1" outline="0" fieldPosition="0">
        <references count="6">
          <reference field="0" count="1" selected="0">
            <x v="94"/>
          </reference>
          <reference field="1" count="1" selected="0">
            <x v="42"/>
          </reference>
          <reference field="2" count="1" selected="0">
            <x v="2"/>
          </reference>
          <reference field="3" count="1" selected="0">
            <x v="2"/>
          </reference>
          <reference field="4" count="1" selected="0">
            <x v="1"/>
          </reference>
          <reference field="16" count="1">
            <x v="0"/>
          </reference>
        </references>
      </pivotArea>
    </format>
    <format dxfId="1606">
      <pivotArea dataOnly="0" labelOnly="1" outline="0" fieldPosition="0">
        <references count="6">
          <reference field="0" count="1" selected="0">
            <x v="95"/>
          </reference>
          <reference field="1" count="1" selected="0">
            <x v="51"/>
          </reference>
          <reference field="2" count="1" selected="0">
            <x v="0"/>
          </reference>
          <reference field="3" count="1" selected="0">
            <x v="6"/>
          </reference>
          <reference field="4" count="1" selected="0">
            <x v="4"/>
          </reference>
          <reference field="16" count="1">
            <x v="0"/>
          </reference>
        </references>
      </pivotArea>
    </format>
    <format dxfId="1605">
      <pivotArea dataOnly="0" labelOnly="1" outline="0" fieldPosition="0">
        <references count="6">
          <reference field="0" count="1" selected="0">
            <x v="96"/>
          </reference>
          <reference field="1" count="1" selected="0">
            <x v="31"/>
          </reference>
          <reference field="2" count="1" selected="0">
            <x v="3"/>
          </reference>
          <reference field="3" count="1" selected="0">
            <x v="0"/>
          </reference>
          <reference field="4" count="1" selected="0">
            <x v="2"/>
          </reference>
          <reference field="16" count="1">
            <x v="0"/>
          </reference>
        </references>
      </pivotArea>
    </format>
    <format dxfId="1604">
      <pivotArea dataOnly="0" labelOnly="1" outline="0" fieldPosition="0">
        <references count="6">
          <reference field="0" count="1" selected="0">
            <x v="97"/>
          </reference>
          <reference field="1" count="1" selected="0">
            <x v="38"/>
          </reference>
          <reference field="2" count="1" selected="0">
            <x v="5"/>
          </reference>
          <reference field="3" count="1" selected="0">
            <x v="5"/>
          </reference>
          <reference field="4" count="1" selected="0">
            <x v="4"/>
          </reference>
          <reference field="16" count="1">
            <x v="0"/>
          </reference>
        </references>
      </pivotArea>
    </format>
    <format dxfId="1603">
      <pivotArea dataOnly="0" labelOnly="1" outline="0" fieldPosition="0">
        <references count="6">
          <reference field="0" count="1" selected="0">
            <x v="98"/>
          </reference>
          <reference field="1" count="1" selected="0">
            <x v="1"/>
          </reference>
          <reference field="2" count="1" selected="0">
            <x v="5"/>
          </reference>
          <reference field="3" count="1" selected="0">
            <x v="1"/>
          </reference>
          <reference field="4" count="1" selected="0">
            <x v="3"/>
          </reference>
          <reference field="16" count="1">
            <x v="0"/>
          </reference>
        </references>
      </pivotArea>
    </format>
    <format dxfId="1602">
      <pivotArea dataOnly="0" labelOnly="1" outline="0" fieldPosition="0">
        <references count="6">
          <reference field="0" count="1" selected="0">
            <x v="99"/>
          </reference>
          <reference field="1" count="1" selected="0">
            <x v="27"/>
          </reference>
          <reference field="2" count="1" selected="0">
            <x v="0"/>
          </reference>
          <reference field="3" count="1" selected="0">
            <x v="5"/>
          </reference>
          <reference field="4" count="1" selected="0">
            <x v="1"/>
          </reference>
          <reference field="16" count="1">
            <x v="0"/>
          </reference>
        </references>
      </pivotArea>
    </format>
    <format dxfId="1601">
      <pivotArea dataOnly="0" labelOnly="1" outline="0" fieldPosition="0">
        <references count="6">
          <reference field="0" count="1" selected="0">
            <x v="100"/>
          </reference>
          <reference field="1" count="1" selected="0">
            <x v="5"/>
          </reference>
          <reference field="2" count="1" selected="0">
            <x v="0"/>
          </reference>
          <reference field="3" count="1" selected="0">
            <x v="1"/>
          </reference>
          <reference field="4" count="1" selected="0">
            <x v="3"/>
          </reference>
          <reference field="16" count="1">
            <x v="1"/>
          </reference>
        </references>
      </pivotArea>
    </format>
    <format dxfId="1600">
      <pivotArea dataOnly="0" labelOnly="1" outline="0" fieldPosition="0">
        <references count="6">
          <reference field="0" count="1" selected="0">
            <x v="101"/>
          </reference>
          <reference field="1" count="1" selected="0">
            <x v="49"/>
          </reference>
          <reference field="2" count="1" selected="0">
            <x v="3"/>
          </reference>
          <reference field="3" count="1" selected="0">
            <x v="4"/>
          </reference>
          <reference field="4" count="1" selected="0">
            <x v="0"/>
          </reference>
          <reference field="16" count="1">
            <x v="0"/>
          </reference>
        </references>
      </pivotArea>
    </format>
    <format dxfId="1599">
      <pivotArea dataOnly="0" labelOnly="1" outline="0" fieldPosition="0">
        <references count="6">
          <reference field="0" count="1" selected="0">
            <x v="102"/>
          </reference>
          <reference field="1" count="1" selected="0">
            <x v="35"/>
          </reference>
          <reference field="2" count="1" selected="0">
            <x v="4"/>
          </reference>
          <reference field="3" count="1" selected="0">
            <x v="1"/>
          </reference>
          <reference field="4" count="1" selected="0">
            <x v="0"/>
          </reference>
          <reference field="16" count="1">
            <x v="1"/>
          </reference>
        </references>
      </pivotArea>
    </format>
    <format dxfId="1598">
      <pivotArea dataOnly="0" labelOnly="1" outline="0" fieldPosition="0">
        <references count="6">
          <reference field="0" count="1" selected="0">
            <x v="103"/>
          </reference>
          <reference field="1" count="1" selected="0">
            <x v="42"/>
          </reference>
          <reference field="2" count="1" selected="0">
            <x v="2"/>
          </reference>
          <reference field="3" count="1" selected="0">
            <x v="7"/>
          </reference>
          <reference field="4" count="1" selected="0">
            <x v="4"/>
          </reference>
          <reference field="16" count="1">
            <x v="0"/>
          </reference>
        </references>
      </pivotArea>
    </format>
    <format dxfId="1597">
      <pivotArea dataOnly="0" labelOnly="1" outline="0" fieldPosition="0">
        <references count="6">
          <reference field="0" count="1" selected="0">
            <x v="104"/>
          </reference>
          <reference field="1" count="1" selected="0">
            <x v="25"/>
          </reference>
          <reference field="2" count="1" selected="0">
            <x v="1"/>
          </reference>
          <reference field="3" count="1" selected="0">
            <x v="2"/>
          </reference>
          <reference field="4" count="1" selected="0">
            <x v="1"/>
          </reference>
          <reference field="16" count="1">
            <x v="1"/>
          </reference>
        </references>
      </pivotArea>
    </format>
    <format dxfId="1596">
      <pivotArea dataOnly="0" labelOnly="1" outline="0" fieldPosition="0">
        <references count="6">
          <reference field="0" count="1" selected="0">
            <x v="105"/>
          </reference>
          <reference field="1" count="1" selected="0">
            <x v="26"/>
          </reference>
          <reference field="2" count="1" selected="0">
            <x v="5"/>
          </reference>
          <reference field="3" count="1" selected="0">
            <x v="7"/>
          </reference>
          <reference field="4" count="1" selected="0">
            <x v="0"/>
          </reference>
          <reference field="16" count="1">
            <x v="1"/>
          </reference>
        </references>
      </pivotArea>
    </format>
    <format dxfId="1595">
      <pivotArea dataOnly="0" labelOnly="1" outline="0" fieldPosition="0">
        <references count="6">
          <reference field="0" count="1" selected="0">
            <x v="106"/>
          </reference>
          <reference field="1" count="1" selected="0">
            <x v="6"/>
          </reference>
          <reference field="2" count="1" selected="0">
            <x v="3"/>
          </reference>
          <reference field="3" count="1" selected="0">
            <x v="3"/>
          </reference>
          <reference field="4" count="1" selected="0">
            <x v="1"/>
          </reference>
          <reference field="16" count="1">
            <x v="1"/>
          </reference>
        </references>
      </pivotArea>
    </format>
    <format dxfId="1594">
      <pivotArea dataOnly="0" labelOnly="1" outline="0" fieldPosition="0">
        <references count="6">
          <reference field="0" count="1" selected="0">
            <x v="107"/>
          </reference>
          <reference field="1" count="1" selected="0">
            <x v="0"/>
          </reference>
          <reference field="2" count="1" selected="0">
            <x v="0"/>
          </reference>
          <reference field="3" count="1" selected="0">
            <x v="4"/>
          </reference>
          <reference field="4" count="1" selected="0">
            <x v="4"/>
          </reference>
          <reference field="16" count="1">
            <x v="0"/>
          </reference>
        </references>
      </pivotArea>
    </format>
    <format dxfId="1593">
      <pivotArea dataOnly="0" labelOnly="1" outline="0" fieldPosition="0">
        <references count="6">
          <reference field="0" count="1" selected="0">
            <x v="108"/>
          </reference>
          <reference field="1" count="1" selected="0">
            <x v="44"/>
          </reference>
          <reference field="2" count="1" selected="0">
            <x v="5"/>
          </reference>
          <reference field="3" count="1" selected="0">
            <x v="7"/>
          </reference>
          <reference field="4" count="1" selected="0">
            <x v="3"/>
          </reference>
          <reference field="16" count="1">
            <x v="0"/>
          </reference>
        </references>
      </pivotArea>
    </format>
    <format dxfId="1592">
      <pivotArea dataOnly="0" labelOnly="1" outline="0" fieldPosition="0">
        <references count="6">
          <reference field="0" count="1" selected="0">
            <x v="109"/>
          </reference>
          <reference field="1" count="1" selected="0">
            <x v="8"/>
          </reference>
          <reference field="2" count="1" selected="0">
            <x v="5"/>
          </reference>
          <reference field="3" count="1" selected="0">
            <x v="0"/>
          </reference>
          <reference field="4" count="1" selected="0">
            <x v="3"/>
          </reference>
          <reference field="16" count="1">
            <x v="0"/>
          </reference>
        </references>
      </pivotArea>
    </format>
    <format dxfId="1591">
      <pivotArea dataOnly="0" labelOnly="1" outline="0" fieldPosition="0">
        <references count="6">
          <reference field="0" count="1" selected="0">
            <x v="110"/>
          </reference>
          <reference field="1" count="1" selected="0">
            <x v="44"/>
          </reference>
          <reference field="2" count="1" selected="0">
            <x v="5"/>
          </reference>
          <reference field="3" count="1" selected="0">
            <x v="1"/>
          </reference>
          <reference field="4" count="1" selected="0">
            <x v="3"/>
          </reference>
          <reference field="16" count="1">
            <x v="0"/>
          </reference>
        </references>
      </pivotArea>
    </format>
    <format dxfId="1590">
      <pivotArea dataOnly="0" labelOnly="1" outline="0" fieldPosition="0">
        <references count="6">
          <reference field="0" count="1" selected="0">
            <x v="111"/>
          </reference>
          <reference field="1" count="1" selected="0">
            <x v="49"/>
          </reference>
          <reference field="2" count="1" selected="0">
            <x v="3"/>
          </reference>
          <reference field="3" count="1" selected="0">
            <x v="3"/>
          </reference>
          <reference field="4" count="1" selected="0">
            <x v="4"/>
          </reference>
          <reference field="16" count="1">
            <x v="0"/>
          </reference>
        </references>
      </pivotArea>
    </format>
    <format dxfId="1589">
      <pivotArea dataOnly="0" labelOnly="1" outline="0" fieldPosition="0">
        <references count="6">
          <reference field="0" count="1" selected="0">
            <x v="112"/>
          </reference>
          <reference field="1" count="1" selected="0">
            <x v="57"/>
          </reference>
          <reference field="2" count="1" selected="0">
            <x v="0"/>
          </reference>
          <reference field="3" count="1" selected="0">
            <x v="5"/>
          </reference>
          <reference field="4" count="1" selected="0">
            <x v="3"/>
          </reference>
          <reference field="16" count="1">
            <x v="0"/>
          </reference>
        </references>
      </pivotArea>
    </format>
    <format dxfId="1588">
      <pivotArea dataOnly="0" labelOnly="1" outline="0" fieldPosition="0">
        <references count="6">
          <reference field="0" count="1" selected="0">
            <x v="113"/>
          </reference>
          <reference field="1" count="1" selected="0">
            <x v="21"/>
          </reference>
          <reference field="2" count="1" selected="0">
            <x v="2"/>
          </reference>
          <reference field="3" count="1" selected="0">
            <x v="3"/>
          </reference>
          <reference field="4" count="1" selected="0">
            <x v="3"/>
          </reference>
          <reference field="16" count="1">
            <x v="0"/>
          </reference>
        </references>
      </pivotArea>
    </format>
    <format dxfId="1587">
      <pivotArea dataOnly="0" labelOnly="1" outline="0" fieldPosition="0">
        <references count="6">
          <reference field="0" count="1" selected="0">
            <x v="114"/>
          </reference>
          <reference field="1" count="1" selected="0">
            <x v="54"/>
          </reference>
          <reference field="2" count="1" selected="0">
            <x v="2"/>
          </reference>
          <reference field="3" count="1" selected="0">
            <x v="3"/>
          </reference>
          <reference field="4" count="1" selected="0">
            <x v="3"/>
          </reference>
          <reference field="16" count="1">
            <x v="0"/>
          </reference>
        </references>
      </pivotArea>
    </format>
    <format dxfId="1586">
      <pivotArea dataOnly="0" labelOnly="1" outline="0" fieldPosition="0">
        <references count="6">
          <reference field="0" count="1" selected="0">
            <x v="115"/>
          </reference>
          <reference field="1" count="1" selected="0">
            <x v="1"/>
          </reference>
          <reference field="2" count="1" selected="0">
            <x v="5"/>
          </reference>
          <reference field="3" count="1" selected="0">
            <x v="6"/>
          </reference>
          <reference field="4" count="1" selected="0">
            <x v="2"/>
          </reference>
          <reference field="16" count="1">
            <x v="0"/>
          </reference>
        </references>
      </pivotArea>
    </format>
    <format dxfId="1585">
      <pivotArea dataOnly="0" labelOnly="1" outline="0" fieldPosition="0">
        <references count="6">
          <reference field="0" count="1" selected="0">
            <x v="116"/>
          </reference>
          <reference field="1" count="1" selected="0">
            <x v="37"/>
          </reference>
          <reference field="2" count="1" selected="0">
            <x v="1"/>
          </reference>
          <reference field="3" count="1" selected="0">
            <x v="6"/>
          </reference>
          <reference field="4" count="1" selected="0">
            <x v="3"/>
          </reference>
          <reference field="16" count="1">
            <x v="0"/>
          </reference>
        </references>
      </pivotArea>
    </format>
    <format dxfId="1584">
      <pivotArea dataOnly="0" labelOnly="1" outline="0" fieldPosition="0">
        <references count="6">
          <reference field="0" count="1" selected="0">
            <x v="117"/>
          </reference>
          <reference field="1" count="1" selected="0">
            <x v="39"/>
          </reference>
          <reference field="2" count="1" selected="0">
            <x v="2"/>
          </reference>
          <reference field="3" count="1" selected="0">
            <x v="5"/>
          </reference>
          <reference field="4" count="1" selected="0">
            <x v="1"/>
          </reference>
          <reference field="16" count="1">
            <x v="1"/>
          </reference>
        </references>
      </pivotArea>
    </format>
    <format dxfId="1583">
      <pivotArea dataOnly="0" labelOnly="1" outline="0" fieldPosition="0">
        <references count="6">
          <reference field="0" count="1" selected="0">
            <x v="118"/>
          </reference>
          <reference field="1" count="1" selected="0">
            <x v="7"/>
          </reference>
          <reference field="2" count="1" selected="0">
            <x v="3"/>
          </reference>
          <reference field="3" count="1" selected="0">
            <x v="6"/>
          </reference>
          <reference field="4" count="1" selected="0">
            <x v="0"/>
          </reference>
          <reference field="16" count="1">
            <x v="1"/>
          </reference>
        </references>
      </pivotArea>
    </format>
    <format dxfId="1582">
      <pivotArea dataOnly="0" labelOnly="1" outline="0" fieldPosition="0">
        <references count="6">
          <reference field="0" count="1" selected="0">
            <x v="119"/>
          </reference>
          <reference field="1" count="1" selected="0">
            <x v="44"/>
          </reference>
          <reference field="2" count="1" selected="0">
            <x v="5"/>
          </reference>
          <reference field="3" count="1" selected="0">
            <x v="1"/>
          </reference>
          <reference field="4" count="1" selected="0">
            <x v="4"/>
          </reference>
          <reference field="16" count="1">
            <x v="0"/>
          </reference>
        </references>
      </pivotArea>
    </format>
    <format dxfId="1581">
      <pivotArea dataOnly="0" labelOnly="1" outline="0" fieldPosition="0">
        <references count="6">
          <reference field="0" count="1" selected="0">
            <x v="120"/>
          </reference>
          <reference field="1" count="1" selected="0">
            <x v="8"/>
          </reference>
          <reference field="2" count="1" selected="0">
            <x v="5"/>
          </reference>
          <reference field="3" count="1" selected="0">
            <x v="4"/>
          </reference>
          <reference field="4" count="1" selected="0">
            <x v="2"/>
          </reference>
          <reference field="16" count="1">
            <x v="0"/>
          </reference>
        </references>
      </pivotArea>
    </format>
    <format dxfId="1580">
      <pivotArea dataOnly="0" labelOnly="1" outline="0" fieldPosition="0">
        <references count="6">
          <reference field="0" count="1" selected="0">
            <x v="121"/>
          </reference>
          <reference field="1" count="1" selected="0">
            <x v="50"/>
          </reference>
          <reference field="2" count="1" selected="0">
            <x v="3"/>
          </reference>
          <reference field="3" count="1" selected="0">
            <x v="6"/>
          </reference>
          <reference field="4" count="1" selected="0">
            <x v="0"/>
          </reference>
          <reference field="16" count="1">
            <x v="1"/>
          </reference>
        </references>
      </pivotArea>
    </format>
    <format dxfId="1579">
      <pivotArea dataOnly="0" labelOnly="1" outline="0" fieldPosition="0">
        <references count="6">
          <reference field="0" count="1" selected="0">
            <x v="122"/>
          </reference>
          <reference field="1" count="1" selected="0">
            <x v="21"/>
          </reference>
          <reference field="2" count="1" selected="0">
            <x v="2"/>
          </reference>
          <reference field="3" count="1" selected="0">
            <x v="3"/>
          </reference>
          <reference field="4" count="1" selected="0">
            <x v="3"/>
          </reference>
          <reference field="16" count="1">
            <x v="1"/>
          </reference>
        </references>
      </pivotArea>
    </format>
    <format dxfId="1578">
      <pivotArea dataOnly="0" labelOnly="1" outline="0" fieldPosition="0">
        <references count="6">
          <reference field="0" count="1" selected="0">
            <x v="123"/>
          </reference>
          <reference field="1" count="1" selected="0">
            <x v="39"/>
          </reference>
          <reference field="2" count="1" selected="0">
            <x v="2"/>
          </reference>
          <reference field="3" count="1" selected="0">
            <x v="1"/>
          </reference>
          <reference field="4" count="1" selected="0">
            <x v="0"/>
          </reference>
          <reference field="16" count="1">
            <x v="1"/>
          </reference>
        </references>
      </pivotArea>
    </format>
    <format dxfId="1577">
      <pivotArea dataOnly="0" labelOnly="1" outline="0" fieldPosition="0">
        <references count="6">
          <reference field="0" count="1" selected="0">
            <x v="124"/>
          </reference>
          <reference field="1" count="1" selected="0">
            <x v="36"/>
          </reference>
          <reference field="2" count="1" selected="0">
            <x v="1"/>
          </reference>
          <reference field="3" count="1" selected="0">
            <x v="5"/>
          </reference>
          <reference field="4" count="1" selected="0">
            <x v="1"/>
          </reference>
          <reference field="16" count="1">
            <x v="1"/>
          </reference>
        </references>
      </pivotArea>
    </format>
    <format dxfId="1576">
      <pivotArea dataOnly="0" labelOnly="1" outline="0" fieldPosition="0">
        <references count="6">
          <reference field="0" count="1" selected="0">
            <x v="125"/>
          </reference>
          <reference field="1" count="1" selected="0">
            <x v="2"/>
          </reference>
          <reference field="2" count="1" selected="0">
            <x v="3"/>
          </reference>
          <reference field="3" count="1" selected="0">
            <x v="5"/>
          </reference>
          <reference field="4" count="1" selected="0">
            <x v="2"/>
          </reference>
          <reference field="16" count="1">
            <x v="0"/>
          </reference>
        </references>
      </pivotArea>
    </format>
    <format dxfId="1575">
      <pivotArea dataOnly="0" labelOnly="1" outline="0" fieldPosition="0">
        <references count="6">
          <reference field="0" count="1" selected="0">
            <x v="126"/>
          </reference>
          <reference field="1" count="1" selected="0">
            <x v="2"/>
          </reference>
          <reference field="2" count="1" selected="0">
            <x v="3"/>
          </reference>
          <reference field="3" count="1" selected="0">
            <x v="0"/>
          </reference>
          <reference field="4" count="1" selected="0">
            <x v="0"/>
          </reference>
          <reference field="16" count="1">
            <x v="0"/>
          </reference>
        </references>
      </pivotArea>
    </format>
    <format dxfId="1574">
      <pivotArea dataOnly="0" labelOnly="1" outline="0" fieldPosition="0">
        <references count="6">
          <reference field="0" count="1" selected="0">
            <x v="127"/>
          </reference>
          <reference field="1" count="1" selected="0">
            <x v="35"/>
          </reference>
          <reference field="2" count="1" selected="0">
            <x v="4"/>
          </reference>
          <reference field="3" count="1" selected="0">
            <x v="4"/>
          </reference>
          <reference field="4" count="1" selected="0">
            <x v="2"/>
          </reference>
          <reference field="16" count="1">
            <x v="0"/>
          </reference>
        </references>
      </pivotArea>
    </format>
    <format dxfId="1573">
      <pivotArea dataOnly="0" labelOnly="1" outline="0" fieldPosition="0">
        <references count="6">
          <reference field="0" count="1" selected="0">
            <x v="128"/>
          </reference>
          <reference field="1" count="1" selected="0">
            <x v="12"/>
          </reference>
          <reference field="2" count="1" selected="0">
            <x v="4"/>
          </reference>
          <reference field="3" count="1" selected="0">
            <x v="6"/>
          </reference>
          <reference field="4" count="1" selected="0">
            <x v="0"/>
          </reference>
          <reference field="16" count="1">
            <x v="0"/>
          </reference>
        </references>
      </pivotArea>
    </format>
    <format dxfId="1572">
      <pivotArea dataOnly="0" labelOnly="1" outline="0" fieldPosition="0">
        <references count="6">
          <reference field="0" count="1" selected="0">
            <x v="129"/>
          </reference>
          <reference field="1" count="1" selected="0">
            <x v="1"/>
          </reference>
          <reference field="2" count="1" selected="0">
            <x v="5"/>
          </reference>
          <reference field="3" count="1" selected="0">
            <x v="5"/>
          </reference>
          <reference field="4" count="1" selected="0">
            <x v="2"/>
          </reference>
          <reference field="16" count="1">
            <x v="0"/>
          </reference>
        </references>
      </pivotArea>
    </format>
    <format dxfId="1571">
      <pivotArea dataOnly="0" labelOnly="1" outline="0" fieldPosition="0">
        <references count="6">
          <reference field="0" count="1" selected="0">
            <x v="130"/>
          </reference>
          <reference field="1" count="1" selected="0">
            <x v="41"/>
          </reference>
          <reference field="2" count="1" selected="0">
            <x v="0"/>
          </reference>
          <reference field="3" count="1" selected="0">
            <x v="3"/>
          </reference>
          <reference field="4" count="1" selected="0">
            <x v="2"/>
          </reference>
          <reference field="16" count="1">
            <x v="1"/>
          </reference>
        </references>
      </pivotArea>
    </format>
    <format dxfId="1570">
      <pivotArea dataOnly="0" labelOnly="1" outline="0" fieldPosition="0">
        <references count="6">
          <reference field="0" count="1" selected="0">
            <x v="131"/>
          </reference>
          <reference field="1" count="1" selected="0">
            <x v="40"/>
          </reference>
          <reference field="2" count="1" selected="0">
            <x v="2"/>
          </reference>
          <reference field="3" count="1" selected="0">
            <x v="7"/>
          </reference>
          <reference field="4" count="1" selected="0">
            <x v="1"/>
          </reference>
          <reference field="16" count="1">
            <x v="0"/>
          </reference>
        </references>
      </pivotArea>
    </format>
    <format dxfId="1569">
      <pivotArea dataOnly="0" labelOnly="1" outline="0" fieldPosition="0">
        <references count="6">
          <reference field="0" count="1" selected="0">
            <x v="132"/>
          </reference>
          <reference field="1" count="1" selected="0">
            <x v="14"/>
          </reference>
          <reference field="2" count="1" selected="0">
            <x v="4"/>
          </reference>
          <reference field="3" count="1" selected="0">
            <x v="3"/>
          </reference>
          <reference field="4" count="1" selected="0">
            <x v="2"/>
          </reference>
          <reference field="16" count="1">
            <x v="0"/>
          </reference>
        </references>
      </pivotArea>
    </format>
    <format dxfId="1568">
      <pivotArea dataOnly="0" labelOnly="1" outline="0" fieldPosition="0">
        <references count="6">
          <reference field="0" count="1" selected="0">
            <x v="133"/>
          </reference>
          <reference field="1" count="1" selected="0">
            <x v="24"/>
          </reference>
          <reference field="2" count="1" selected="0">
            <x v="0"/>
          </reference>
          <reference field="3" count="1" selected="0">
            <x v="0"/>
          </reference>
          <reference field="4" count="1" selected="0">
            <x v="0"/>
          </reference>
          <reference field="16" count="1">
            <x v="1"/>
          </reference>
        </references>
      </pivotArea>
    </format>
    <format dxfId="1567">
      <pivotArea dataOnly="0" labelOnly="1" outline="0" fieldPosition="0">
        <references count="6">
          <reference field="0" count="1" selected="0">
            <x v="134"/>
          </reference>
          <reference field="1" count="1" selected="0">
            <x v="13"/>
          </reference>
          <reference field="2" count="1" selected="0">
            <x v="3"/>
          </reference>
          <reference field="3" count="1" selected="0">
            <x v="5"/>
          </reference>
          <reference field="4" count="1" selected="0">
            <x v="0"/>
          </reference>
          <reference field="16" count="1">
            <x v="0"/>
          </reference>
        </references>
      </pivotArea>
    </format>
    <format dxfId="1566">
      <pivotArea dataOnly="0" labelOnly="1" outline="0" fieldPosition="0">
        <references count="6">
          <reference field="0" count="1" selected="0">
            <x v="135"/>
          </reference>
          <reference field="1" count="1" selected="0">
            <x v="42"/>
          </reference>
          <reference field="2" count="1" selected="0">
            <x v="2"/>
          </reference>
          <reference field="3" count="1" selected="0">
            <x v="7"/>
          </reference>
          <reference field="4" count="1" selected="0">
            <x v="0"/>
          </reference>
          <reference field="16" count="1">
            <x v="0"/>
          </reference>
        </references>
      </pivotArea>
    </format>
    <format dxfId="1565">
      <pivotArea dataOnly="0" labelOnly="1" outline="0" fieldPosition="0">
        <references count="6">
          <reference field="0" count="1" selected="0">
            <x v="136"/>
          </reference>
          <reference field="1" count="1" selected="0">
            <x v="52"/>
          </reference>
          <reference field="2" count="1" selected="0">
            <x v="1"/>
          </reference>
          <reference field="3" count="1" selected="0">
            <x v="5"/>
          </reference>
          <reference field="4" count="1" selected="0">
            <x v="2"/>
          </reference>
          <reference field="16" count="1">
            <x v="0"/>
          </reference>
        </references>
      </pivotArea>
    </format>
    <format dxfId="1564">
      <pivotArea dataOnly="0" labelOnly="1" outline="0" fieldPosition="0">
        <references count="6">
          <reference field="0" count="1" selected="0">
            <x v="137"/>
          </reference>
          <reference field="1" count="1" selected="0">
            <x v="39"/>
          </reference>
          <reference field="2" count="1" selected="0">
            <x v="2"/>
          </reference>
          <reference field="3" count="1" selected="0">
            <x v="0"/>
          </reference>
          <reference field="4" count="1" selected="0">
            <x v="1"/>
          </reference>
          <reference field="16" count="1">
            <x v="0"/>
          </reference>
        </references>
      </pivotArea>
    </format>
    <format dxfId="1563">
      <pivotArea dataOnly="0" labelOnly="1" outline="0" fieldPosition="0">
        <references count="6">
          <reference field="0" count="1" selected="0">
            <x v="138"/>
          </reference>
          <reference field="1" count="1" selected="0">
            <x v="45"/>
          </reference>
          <reference field="2" count="1" selected="0">
            <x v="5"/>
          </reference>
          <reference field="3" count="1" selected="0">
            <x v="4"/>
          </reference>
          <reference field="4" count="1" selected="0">
            <x v="2"/>
          </reference>
          <reference field="16" count="1">
            <x v="0"/>
          </reference>
        </references>
      </pivotArea>
    </format>
    <format dxfId="1562">
      <pivotArea dataOnly="0" labelOnly="1" outline="0" fieldPosition="0">
        <references count="6">
          <reference field="0" count="1" selected="0">
            <x v="139"/>
          </reference>
          <reference field="1" count="1" selected="0">
            <x v="8"/>
          </reference>
          <reference field="2" count="1" selected="0">
            <x v="5"/>
          </reference>
          <reference field="3" count="1" selected="0">
            <x v="4"/>
          </reference>
          <reference field="4" count="1" selected="0">
            <x v="4"/>
          </reference>
          <reference field="16" count="1">
            <x v="0"/>
          </reference>
        </references>
      </pivotArea>
    </format>
    <format dxfId="1561">
      <pivotArea dataOnly="0" labelOnly="1" outline="0" fieldPosition="0">
        <references count="6">
          <reference field="0" count="1" selected="0">
            <x v="140"/>
          </reference>
          <reference field="1" count="1" selected="0">
            <x v="40"/>
          </reference>
          <reference field="2" count="1" selected="0">
            <x v="2"/>
          </reference>
          <reference field="3" count="1" selected="0">
            <x v="6"/>
          </reference>
          <reference field="4" count="1" selected="0">
            <x v="3"/>
          </reference>
          <reference field="16" count="1">
            <x v="0"/>
          </reference>
        </references>
      </pivotArea>
    </format>
    <format dxfId="1560">
      <pivotArea dataOnly="0" labelOnly="1" outline="0" fieldPosition="0">
        <references count="6">
          <reference field="0" count="1" selected="0">
            <x v="141"/>
          </reference>
          <reference field="1" count="1" selected="0">
            <x v="1"/>
          </reference>
          <reference field="2" count="1" selected="0">
            <x v="5"/>
          </reference>
          <reference field="3" count="1" selected="0">
            <x v="0"/>
          </reference>
          <reference field="4" count="1" selected="0">
            <x v="0"/>
          </reference>
          <reference field="16" count="1">
            <x v="0"/>
          </reference>
        </references>
      </pivotArea>
    </format>
    <format dxfId="1559">
      <pivotArea dataOnly="0" labelOnly="1" outline="0" fieldPosition="0">
        <references count="6">
          <reference field="0" count="1" selected="0">
            <x v="142"/>
          </reference>
          <reference field="1" count="1" selected="0">
            <x v="34"/>
          </reference>
          <reference field="2" count="1" selected="0">
            <x v="5"/>
          </reference>
          <reference field="3" count="1" selected="0">
            <x v="1"/>
          </reference>
          <reference field="4" count="1" selected="0">
            <x v="3"/>
          </reference>
          <reference field="16" count="1">
            <x v="0"/>
          </reference>
        </references>
      </pivotArea>
    </format>
    <format dxfId="1558">
      <pivotArea dataOnly="0" labelOnly="1" outline="0" fieldPosition="0">
        <references count="6">
          <reference field="0" count="1" selected="0">
            <x v="143"/>
          </reference>
          <reference field="1" count="1" selected="0">
            <x v="25"/>
          </reference>
          <reference field="2" count="1" selected="0">
            <x v="1"/>
          </reference>
          <reference field="3" count="1" selected="0">
            <x v="0"/>
          </reference>
          <reference field="4" count="1" selected="0">
            <x v="1"/>
          </reference>
          <reference field="16" count="1">
            <x v="0"/>
          </reference>
        </references>
      </pivotArea>
    </format>
    <format dxfId="1557">
      <pivotArea dataOnly="0" labelOnly="1" outline="0" fieldPosition="0">
        <references count="6">
          <reference field="0" count="1" selected="0">
            <x v="144"/>
          </reference>
          <reference field="1" count="1" selected="0">
            <x v="58"/>
          </reference>
          <reference field="2" count="1" selected="0">
            <x v="1"/>
          </reference>
          <reference field="3" count="1" selected="0">
            <x v="6"/>
          </reference>
          <reference field="4" count="1" selected="0">
            <x v="1"/>
          </reference>
          <reference field="16" count="1">
            <x v="0"/>
          </reference>
        </references>
      </pivotArea>
    </format>
    <format dxfId="1556">
      <pivotArea dataOnly="0" labelOnly="1" outline="0" fieldPosition="0">
        <references count="6">
          <reference field="0" count="1" selected="0">
            <x v="145"/>
          </reference>
          <reference field="1" count="1" selected="0">
            <x v="58"/>
          </reference>
          <reference field="2" count="1" selected="0">
            <x v="1"/>
          </reference>
          <reference field="3" count="1" selected="0">
            <x v="2"/>
          </reference>
          <reference field="4" count="1" selected="0">
            <x v="4"/>
          </reference>
          <reference field="16" count="1">
            <x v="1"/>
          </reference>
        </references>
      </pivotArea>
    </format>
    <format dxfId="1555">
      <pivotArea dataOnly="0" labelOnly="1" outline="0" fieldPosition="0">
        <references count="6">
          <reference field="0" count="1" selected="0">
            <x v="146"/>
          </reference>
          <reference field="1" count="1" selected="0">
            <x v="4"/>
          </reference>
          <reference field="2" count="1" selected="0">
            <x v="0"/>
          </reference>
          <reference field="3" count="1" selected="0">
            <x v="2"/>
          </reference>
          <reference field="4" count="1" selected="0">
            <x v="1"/>
          </reference>
          <reference field="16" count="1">
            <x v="0"/>
          </reference>
        </references>
      </pivotArea>
    </format>
    <format dxfId="1554">
      <pivotArea dataOnly="0" labelOnly="1" outline="0" fieldPosition="0">
        <references count="6">
          <reference field="0" count="1" selected="0">
            <x v="147"/>
          </reference>
          <reference field="1" count="1" selected="0">
            <x v="42"/>
          </reference>
          <reference field="2" count="1" selected="0">
            <x v="2"/>
          </reference>
          <reference field="3" count="1" selected="0">
            <x v="5"/>
          </reference>
          <reference field="4" count="1" selected="0">
            <x v="2"/>
          </reference>
          <reference field="16" count="1">
            <x v="0"/>
          </reference>
        </references>
      </pivotArea>
    </format>
    <format dxfId="1553">
      <pivotArea dataOnly="0" labelOnly="1" outline="0" fieldPosition="0">
        <references count="6">
          <reference field="0" count="1" selected="0">
            <x v="148"/>
          </reference>
          <reference field="1" count="1" selected="0">
            <x v="19"/>
          </reference>
          <reference field="2" count="1" selected="0">
            <x v="5"/>
          </reference>
          <reference field="3" count="1" selected="0">
            <x v="7"/>
          </reference>
          <reference field="4" count="1" selected="0">
            <x v="0"/>
          </reference>
          <reference field="16" count="1">
            <x v="1"/>
          </reference>
        </references>
      </pivotArea>
    </format>
    <format dxfId="1552">
      <pivotArea dataOnly="0" labelOnly="1" outline="0" fieldPosition="0">
        <references count="6">
          <reference field="0" count="1" selected="0">
            <x v="149"/>
          </reference>
          <reference field="1" count="1" selected="0">
            <x v="6"/>
          </reference>
          <reference field="2" count="1" selected="0">
            <x v="3"/>
          </reference>
          <reference field="3" count="1" selected="0">
            <x v="3"/>
          </reference>
          <reference field="4" count="1" selected="0">
            <x v="2"/>
          </reference>
          <reference field="16" count="1">
            <x v="0"/>
          </reference>
        </references>
      </pivotArea>
    </format>
    <format dxfId="1551">
      <pivotArea dataOnly="0" labelOnly="1" outline="0" fieldPosition="0">
        <references count="6">
          <reference field="0" count="1" selected="0">
            <x v="150"/>
          </reference>
          <reference field="1" count="1" selected="0">
            <x v="55"/>
          </reference>
          <reference field="2" count="1" selected="0">
            <x v="1"/>
          </reference>
          <reference field="3" count="1" selected="0">
            <x v="7"/>
          </reference>
          <reference field="4" count="1" selected="0">
            <x v="0"/>
          </reference>
          <reference field="16" count="1">
            <x v="0"/>
          </reference>
        </references>
      </pivotArea>
    </format>
    <format dxfId="1550">
      <pivotArea dataOnly="0" labelOnly="1" outline="0" fieldPosition="0">
        <references count="6">
          <reference field="0" count="1" selected="0">
            <x v="151"/>
          </reference>
          <reference field="1" count="1" selected="0">
            <x v="18"/>
          </reference>
          <reference field="2" count="1" selected="0">
            <x v="2"/>
          </reference>
          <reference field="3" count="1" selected="0">
            <x v="6"/>
          </reference>
          <reference field="4" count="1" selected="0">
            <x v="3"/>
          </reference>
          <reference field="16" count="1">
            <x v="1"/>
          </reference>
        </references>
      </pivotArea>
    </format>
    <format dxfId="1549">
      <pivotArea dataOnly="0" labelOnly="1" outline="0" fieldPosition="0">
        <references count="6">
          <reference field="0" count="1" selected="0">
            <x v="152"/>
          </reference>
          <reference field="1" count="1" selected="0">
            <x v="25"/>
          </reference>
          <reference field="2" count="1" selected="0">
            <x v="1"/>
          </reference>
          <reference field="3" count="1" selected="0">
            <x v="1"/>
          </reference>
          <reference field="4" count="1" selected="0">
            <x v="4"/>
          </reference>
          <reference field="16" count="1">
            <x v="0"/>
          </reference>
        </references>
      </pivotArea>
    </format>
    <format dxfId="1548">
      <pivotArea dataOnly="0" labelOnly="1" outline="0" fieldPosition="0">
        <references count="6">
          <reference field="0" count="1" selected="0">
            <x v="153"/>
          </reference>
          <reference field="1" count="1" selected="0">
            <x v="1"/>
          </reference>
          <reference field="2" count="1" selected="0">
            <x v="5"/>
          </reference>
          <reference field="3" count="1" selected="0">
            <x v="1"/>
          </reference>
          <reference field="4" count="1" selected="0">
            <x v="3"/>
          </reference>
          <reference field="16" count="1">
            <x v="0"/>
          </reference>
        </references>
      </pivotArea>
    </format>
    <format dxfId="1547">
      <pivotArea dataOnly="0" labelOnly="1" outline="0" fieldPosition="0">
        <references count="6">
          <reference field="0" count="1" selected="0">
            <x v="154"/>
          </reference>
          <reference field="1" count="1" selected="0">
            <x v="44"/>
          </reference>
          <reference field="2" count="1" selected="0">
            <x v="5"/>
          </reference>
          <reference field="3" count="1" selected="0">
            <x v="1"/>
          </reference>
          <reference field="4" count="1" selected="0">
            <x v="1"/>
          </reference>
          <reference field="16" count="1">
            <x v="0"/>
          </reference>
        </references>
      </pivotArea>
    </format>
    <format dxfId="1546">
      <pivotArea dataOnly="0" labelOnly="1" outline="0" fieldPosition="0">
        <references count="6">
          <reference field="0" count="1" selected="0">
            <x v="155"/>
          </reference>
          <reference field="1" count="1" selected="0">
            <x v="34"/>
          </reference>
          <reference field="2" count="1" selected="0">
            <x v="5"/>
          </reference>
          <reference field="3" count="1" selected="0">
            <x v="5"/>
          </reference>
          <reference field="4" count="1" selected="0">
            <x v="4"/>
          </reference>
          <reference field="16" count="1">
            <x v="0"/>
          </reference>
        </references>
      </pivotArea>
    </format>
    <format dxfId="1545">
      <pivotArea dataOnly="0" labelOnly="1" outline="0" fieldPosition="0">
        <references count="6">
          <reference field="0" count="1" selected="0">
            <x v="156"/>
          </reference>
          <reference field="1" count="1" selected="0">
            <x v="29"/>
          </reference>
          <reference field="2" count="1" selected="0">
            <x v="1"/>
          </reference>
          <reference field="3" count="1" selected="0">
            <x v="5"/>
          </reference>
          <reference field="4" count="1" selected="0">
            <x v="1"/>
          </reference>
          <reference field="16" count="1">
            <x v="1"/>
          </reference>
        </references>
      </pivotArea>
    </format>
    <format dxfId="1544">
      <pivotArea dataOnly="0" labelOnly="1" outline="0" fieldPosition="0">
        <references count="6">
          <reference field="0" count="1" selected="0">
            <x v="157"/>
          </reference>
          <reference field="1" count="1" selected="0">
            <x v="38"/>
          </reference>
          <reference field="2" count="1" selected="0">
            <x v="5"/>
          </reference>
          <reference field="3" count="1" selected="0">
            <x v="4"/>
          </reference>
          <reference field="4" count="1" selected="0">
            <x v="3"/>
          </reference>
          <reference field="16" count="1">
            <x v="0"/>
          </reference>
        </references>
      </pivotArea>
    </format>
    <format dxfId="1543">
      <pivotArea dataOnly="0" labelOnly="1" outline="0" fieldPosition="0">
        <references count="6">
          <reference field="0" count="1" selected="0">
            <x v="158"/>
          </reference>
          <reference field="1" count="1" selected="0">
            <x v="29"/>
          </reference>
          <reference field="2" count="1" selected="0">
            <x v="1"/>
          </reference>
          <reference field="3" count="1" selected="0">
            <x v="4"/>
          </reference>
          <reference field="4" count="1" selected="0">
            <x v="2"/>
          </reference>
          <reference field="16" count="1">
            <x v="1"/>
          </reference>
        </references>
      </pivotArea>
    </format>
    <format dxfId="1542">
      <pivotArea dataOnly="0" labelOnly="1" outline="0" fieldPosition="0">
        <references count="6">
          <reference field="0" count="1" selected="0">
            <x v="159"/>
          </reference>
          <reference field="1" count="1" selected="0">
            <x v="57"/>
          </reference>
          <reference field="2" count="1" selected="0">
            <x v="0"/>
          </reference>
          <reference field="3" count="1" selected="0">
            <x v="2"/>
          </reference>
          <reference field="4" count="1" selected="0">
            <x v="3"/>
          </reference>
          <reference field="16" count="1">
            <x v="0"/>
          </reference>
        </references>
      </pivotArea>
    </format>
    <format dxfId="1541">
      <pivotArea dataOnly="0" labelOnly="1" outline="0" fieldPosition="0">
        <references count="6">
          <reference field="0" count="1" selected="0">
            <x v="160"/>
          </reference>
          <reference field="1" count="1" selected="0">
            <x v="27"/>
          </reference>
          <reference field="2" count="1" selected="0">
            <x v="0"/>
          </reference>
          <reference field="3" count="1" selected="0">
            <x v="5"/>
          </reference>
          <reference field="4" count="1" selected="0">
            <x v="2"/>
          </reference>
          <reference field="16" count="1">
            <x v="1"/>
          </reference>
        </references>
      </pivotArea>
    </format>
    <format dxfId="1540">
      <pivotArea dataOnly="0" labelOnly="1" outline="0" fieldPosition="0">
        <references count="6">
          <reference field="0" count="1" selected="0">
            <x v="161"/>
          </reference>
          <reference field="1" count="1" selected="0">
            <x v="23"/>
          </reference>
          <reference field="2" count="1" selected="0">
            <x v="2"/>
          </reference>
          <reference field="3" count="1" selected="0">
            <x v="5"/>
          </reference>
          <reference field="4" count="1" selected="0">
            <x v="1"/>
          </reference>
          <reference field="16" count="1">
            <x v="0"/>
          </reference>
        </references>
      </pivotArea>
    </format>
    <format dxfId="1539">
      <pivotArea dataOnly="0" labelOnly="1" outline="0" fieldPosition="0">
        <references count="6">
          <reference field="0" count="1" selected="0">
            <x v="162"/>
          </reference>
          <reference field="1" count="1" selected="0">
            <x v="13"/>
          </reference>
          <reference field="2" count="1" selected="0">
            <x v="3"/>
          </reference>
          <reference field="3" count="1" selected="0">
            <x v="5"/>
          </reference>
          <reference field="4" count="1" selected="0">
            <x v="3"/>
          </reference>
          <reference field="16" count="1">
            <x v="0"/>
          </reference>
        </references>
      </pivotArea>
    </format>
    <format dxfId="1538">
      <pivotArea dataOnly="0" labelOnly="1" outline="0" fieldPosition="0">
        <references count="6">
          <reference field="0" count="1" selected="0">
            <x v="163"/>
          </reference>
          <reference field="1" count="1" selected="0">
            <x v="29"/>
          </reference>
          <reference field="2" count="1" selected="0">
            <x v="1"/>
          </reference>
          <reference field="3" count="1" selected="0">
            <x v="3"/>
          </reference>
          <reference field="4" count="1" selected="0">
            <x v="3"/>
          </reference>
          <reference field="16" count="1">
            <x v="0"/>
          </reference>
        </references>
      </pivotArea>
    </format>
    <format dxfId="1537">
      <pivotArea dataOnly="0" labelOnly="1" outline="0" fieldPosition="0">
        <references count="6">
          <reference field="0" count="1" selected="0">
            <x v="164"/>
          </reference>
          <reference field="1" count="1" selected="0">
            <x v="50"/>
          </reference>
          <reference field="2" count="1" selected="0">
            <x v="3"/>
          </reference>
          <reference field="3" count="1" selected="0">
            <x v="1"/>
          </reference>
          <reference field="4" count="1" selected="0">
            <x v="2"/>
          </reference>
          <reference field="16" count="1">
            <x v="0"/>
          </reference>
        </references>
      </pivotArea>
    </format>
    <format dxfId="1536">
      <pivotArea dataOnly="0" labelOnly="1" outline="0" fieldPosition="0">
        <references count="6">
          <reference field="0" count="1" selected="0">
            <x v="165"/>
          </reference>
          <reference field="1" count="1" selected="0">
            <x v="48"/>
          </reference>
          <reference field="2" count="1" selected="0">
            <x v="5"/>
          </reference>
          <reference field="3" count="1" selected="0">
            <x v="6"/>
          </reference>
          <reference field="4" count="1" selected="0">
            <x v="3"/>
          </reference>
          <reference field="16" count="1">
            <x v="0"/>
          </reference>
        </references>
      </pivotArea>
    </format>
    <format dxfId="1535">
      <pivotArea dataOnly="0" labelOnly="1" outline="0" fieldPosition="0">
        <references count="6">
          <reference field="0" count="1" selected="0">
            <x v="166"/>
          </reference>
          <reference field="1" count="1" selected="0">
            <x v="40"/>
          </reference>
          <reference field="2" count="1" selected="0">
            <x v="2"/>
          </reference>
          <reference field="3" count="1" selected="0">
            <x v="0"/>
          </reference>
          <reference field="4" count="1" selected="0">
            <x v="1"/>
          </reference>
          <reference field="16" count="1">
            <x v="0"/>
          </reference>
        </references>
      </pivotArea>
    </format>
    <format dxfId="1534">
      <pivotArea dataOnly="0" labelOnly="1" outline="0" fieldPosition="0">
        <references count="6">
          <reference field="0" count="1" selected="0">
            <x v="167"/>
          </reference>
          <reference field="1" count="1" selected="0">
            <x v="58"/>
          </reference>
          <reference field="2" count="1" selected="0">
            <x v="1"/>
          </reference>
          <reference field="3" count="1" selected="0">
            <x v="6"/>
          </reference>
          <reference field="4" count="1" selected="0">
            <x v="1"/>
          </reference>
          <reference field="16" count="1">
            <x v="1"/>
          </reference>
        </references>
      </pivotArea>
    </format>
    <format dxfId="1533">
      <pivotArea dataOnly="0" labelOnly="1" outline="0" fieldPosition="0">
        <references count="6">
          <reference field="0" count="1" selected="0">
            <x v="168"/>
          </reference>
          <reference field="1" count="1" selected="0">
            <x v="11"/>
          </reference>
          <reference field="2" count="1" selected="0">
            <x v="4"/>
          </reference>
          <reference field="3" count="1" selected="0">
            <x v="1"/>
          </reference>
          <reference field="4" count="1" selected="0">
            <x v="0"/>
          </reference>
          <reference field="16" count="1">
            <x v="1"/>
          </reference>
        </references>
      </pivotArea>
    </format>
    <format dxfId="1532">
      <pivotArea dataOnly="0" labelOnly="1" outline="0" fieldPosition="0">
        <references count="6">
          <reference field="0" count="1" selected="0">
            <x v="169"/>
          </reference>
          <reference field="1" count="1" selected="0">
            <x v="40"/>
          </reference>
          <reference field="2" count="1" selected="0">
            <x v="2"/>
          </reference>
          <reference field="3" count="1" selected="0">
            <x v="3"/>
          </reference>
          <reference field="4" count="1" selected="0">
            <x v="0"/>
          </reference>
          <reference field="16" count="1">
            <x v="0"/>
          </reference>
        </references>
      </pivotArea>
    </format>
    <format dxfId="1531">
      <pivotArea dataOnly="0" labelOnly="1" outline="0" fieldPosition="0">
        <references count="6">
          <reference field="0" count="1" selected="0">
            <x v="170"/>
          </reference>
          <reference field="1" count="1" selected="0">
            <x v="33"/>
          </reference>
          <reference field="2" count="1" selected="0">
            <x v="4"/>
          </reference>
          <reference field="3" count="1" selected="0">
            <x v="6"/>
          </reference>
          <reference field="4" count="1" selected="0">
            <x v="4"/>
          </reference>
          <reference field="16" count="1">
            <x v="1"/>
          </reference>
        </references>
      </pivotArea>
    </format>
    <format dxfId="1530">
      <pivotArea dataOnly="0" labelOnly="1" outline="0" fieldPosition="0">
        <references count="6">
          <reference field="0" count="1" selected="0">
            <x v="171"/>
          </reference>
          <reference field="1" count="1" selected="0">
            <x v="7"/>
          </reference>
          <reference field="2" count="1" selected="0">
            <x v="3"/>
          </reference>
          <reference field="3" count="1" selected="0">
            <x v="3"/>
          </reference>
          <reference field="4" count="1" selected="0">
            <x v="1"/>
          </reference>
          <reference field="16" count="1">
            <x v="0"/>
          </reference>
        </references>
      </pivotArea>
    </format>
    <format dxfId="1529">
      <pivotArea dataOnly="0" labelOnly="1" outline="0" fieldPosition="0">
        <references count="6">
          <reference field="0" count="1" selected="0">
            <x v="172"/>
          </reference>
          <reference field="1" count="1" selected="0">
            <x v="3"/>
          </reference>
          <reference field="2" count="1" selected="0">
            <x v="4"/>
          </reference>
          <reference field="3" count="1" selected="0">
            <x v="4"/>
          </reference>
          <reference field="4" count="1" selected="0">
            <x v="1"/>
          </reference>
          <reference field="16" count="1">
            <x v="1"/>
          </reference>
        </references>
      </pivotArea>
    </format>
    <format dxfId="1528">
      <pivotArea dataOnly="0" labelOnly="1" outline="0" fieldPosition="0">
        <references count="6">
          <reference field="0" count="1" selected="0">
            <x v="173"/>
          </reference>
          <reference field="1" count="1" selected="0">
            <x v="48"/>
          </reference>
          <reference field="2" count="1" selected="0">
            <x v="5"/>
          </reference>
          <reference field="3" count="1" selected="0">
            <x v="7"/>
          </reference>
          <reference field="4" count="1" selected="0">
            <x v="3"/>
          </reference>
          <reference field="16" count="1">
            <x v="0"/>
          </reference>
        </references>
      </pivotArea>
    </format>
    <format dxfId="1527">
      <pivotArea dataOnly="0" labelOnly="1" outline="0" fieldPosition="0">
        <references count="6">
          <reference field="0" count="1" selected="0">
            <x v="174"/>
          </reference>
          <reference field="1" count="1" selected="0">
            <x v="23"/>
          </reference>
          <reference field="2" count="1" selected="0">
            <x v="2"/>
          </reference>
          <reference field="3" count="1" selected="0">
            <x v="3"/>
          </reference>
          <reference field="4" count="1" selected="0">
            <x v="2"/>
          </reference>
          <reference field="16" count="1">
            <x v="0"/>
          </reference>
        </references>
      </pivotArea>
    </format>
    <format dxfId="1526">
      <pivotArea dataOnly="0" labelOnly="1" outline="0" fieldPosition="0">
        <references count="6">
          <reference field="0" count="1" selected="0">
            <x v="175"/>
          </reference>
          <reference field="1" count="1" selected="0">
            <x v="2"/>
          </reference>
          <reference field="2" count="1" selected="0">
            <x v="3"/>
          </reference>
          <reference field="3" count="1" selected="0">
            <x v="1"/>
          </reference>
          <reference field="4" count="1" selected="0">
            <x v="0"/>
          </reference>
          <reference field="16" count="1">
            <x v="0"/>
          </reference>
        </references>
      </pivotArea>
    </format>
    <format dxfId="1525">
      <pivotArea dataOnly="0" labelOnly="1" outline="0" fieldPosition="0">
        <references count="6">
          <reference field="0" count="1" selected="0">
            <x v="176"/>
          </reference>
          <reference field="1" count="1" selected="0">
            <x v="58"/>
          </reference>
          <reference field="2" count="1" selected="0">
            <x v="1"/>
          </reference>
          <reference field="3" count="1" selected="0">
            <x v="7"/>
          </reference>
          <reference field="4" count="1" selected="0">
            <x v="1"/>
          </reference>
          <reference field="16" count="1">
            <x v="0"/>
          </reference>
        </references>
      </pivotArea>
    </format>
    <format dxfId="1524">
      <pivotArea dataOnly="0" labelOnly="1" outline="0" fieldPosition="0">
        <references count="6">
          <reference field="0" count="1" selected="0">
            <x v="177"/>
          </reference>
          <reference field="1" count="1" selected="0">
            <x v="42"/>
          </reference>
          <reference field="2" count="1" selected="0">
            <x v="2"/>
          </reference>
          <reference field="3" count="1" selected="0">
            <x v="0"/>
          </reference>
          <reference field="4" count="1" selected="0">
            <x v="4"/>
          </reference>
          <reference field="16" count="1">
            <x v="0"/>
          </reference>
        </references>
      </pivotArea>
    </format>
    <format dxfId="1523">
      <pivotArea dataOnly="0" labelOnly="1" outline="0" fieldPosition="0">
        <references count="6">
          <reference field="0" count="1" selected="0">
            <x v="178"/>
          </reference>
          <reference field="1" count="1" selected="0">
            <x v="44"/>
          </reference>
          <reference field="2" count="1" selected="0">
            <x v="5"/>
          </reference>
          <reference field="3" count="1" selected="0">
            <x v="7"/>
          </reference>
          <reference field="4" count="1" selected="0">
            <x v="0"/>
          </reference>
          <reference field="16" count="1">
            <x v="1"/>
          </reference>
        </references>
      </pivotArea>
    </format>
    <format dxfId="1522">
      <pivotArea dataOnly="0" labelOnly="1" outline="0" fieldPosition="0">
        <references count="6">
          <reference field="0" count="1" selected="0">
            <x v="179"/>
          </reference>
          <reference field="1" count="1" selected="0">
            <x v="8"/>
          </reference>
          <reference field="2" count="1" selected="0">
            <x v="5"/>
          </reference>
          <reference field="3" count="1" selected="0">
            <x v="2"/>
          </reference>
          <reference field="4" count="1" selected="0">
            <x v="3"/>
          </reference>
          <reference field="16" count="1">
            <x v="0"/>
          </reference>
        </references>
      </pivotArea>
    </format>
    <format dxfId="1521">
      <pivotArea dataOnly="0" labelOnly="1" outline="0" fieldPosition="0">
        <references count="6">
          <reference field="0" count="1" selected="0">
            <x v="180"/>
          </reference>
          <reference field="1" count="1" selected="0">
            <x v="37"/>
          </reference>
          <reference field="2" count="1" selected="0">
            <x v="1"/>
          </reference>
          <reference field="3" count="1" selected="0">
            <x v="5"/>
          </reference>
          <reference field="4" count="1" selected="0">
            <x v="1"/>
          </reference>
          <reference field="16" count="1">
            <x v="0"/>
          </reference>
        </references>
      </pivotArea>
    </format>
    <format dxfId="1520">
      <pivotArea dataOnly="0" labelOnly="1" outline="0" fieldPosition="0">
        <references count="6">
          <reference field="0" count="1" selected="0">
            <x v="181"/>
          </reference>
          <reference field="1" count="1" selected="0">
            <x v="51"/>
          </reference>
          <reference field="2" count="1" selected="0">
            <x v="0"/>
          </reference>
          <reference field="3" count="1" selected="0">
            <x v="0"/>
          </reference>
          <reference field="4" count="1" selected="0">
            <x v="2"/>
          </reference>
          <reference field="16" count="1">
            <x v="0"/>
          </reference>
        </references>
      </pivotArea>
    </format>
    <format dxfId="1519">
      <pivotArea dataOnly="0" labelOnly="1" outline="0" fieldPosition="0">
        <references count="6">
          <reference field="0" count="1" selected="0">
            <x v="182"/>
          </reference>
          <reference field="1" count="1" selected="0">
            <x v="48"/>
          </reference>
          <reference field="2" count="1" selected="0">
            <x v="5"/>
          </reference>
          <reference field="3" count="1" selected="0">
            <x v="3"/>
          </reference>
          <reference field="4" count="1" selected="0">
            <x v="0"/>
          </reference>
          <reference field="16" count="1">
            <x v="0"/>
          </reference>
        </references>
      </pivotArea>
    </format>
    <format dxfId="1518">
      <pivotArea dataOnly="0" labelOnly="1" outline="0" fieldPosition="0">
        <references count="6">
          <reference field="0" count="1" selected="0">
            <x v="183"/>
          </reference>
          <reference field="1" count="1" selected="0">
            <x v="41"/>
          </reference>
          <reference field="2" count="1" selected="0">
            <x v="0"/>
          </reference>
          <reference field="3" count="1" selected="0">
            <x v="4"/>
          </reference>
          <reference field="4" count="1" selected="0">
            <x v="0"/>
          </reference>
          <reference field="16" count="1">
            <x v="0"/>
          </reference>
        </references>
      </pivotArea>
    </format>
    <format dxfId="1517">
      <pivotArea dataOnly="0" labelOnly="1" outline="0" fieldPosition="0">
        <references count="6">
          <reference field="0" count="1" selected="0">
            <x v="184"/>
          </reference>
          <reference field="1" count="1" selected="0">
            <x v="26"/>
          </reference>
          <reference field="2" count="1" selected="0">
            <x v="5"/>
          </reference>
          <reference field="3" count="1" selected="0">
            <x v="6"/>
          </reference>
          <reference field="4" count="1" selected="0">
            <x v="3"/>
          </reference>
          <reference field="16" count="1">
            <x v="1"/>
          </reference>
        </references>
      </pivotArea>
    </format>
    <format dxfId="1516">
      <pivotArea dataOnly="0" labelOnly="1" outline="0" fieldPosition="0">
        <references count="6">
          <reference field="0" count="1" selected="0">
            <x v="185"/>
          </reference>
          <reference field="1" count="1" selected="0">
            <x v="54"/>
          </reference>
          <reference field="2" count="1" selected="0">
            <x v="2"/>
          </reference>
          <reference field="3" count="1" selected="0">
            <x v="6"/>
          </reference>
          <reference field="4" count="1" selected="0">
            <x v="1"/>
          </reference>
          <reference field="16" count="1">
            <x v="0"/>
          </reference>
        </references>
      </pivotArea>
    </format>
    <format dxfId="1515">
      <pivotArea dataOnly="0" labelOnly="1" outline="0" fieldPosition="0">
        <references count="6">
          <reference field="0" count="1" selected="0">
            <x v="186"/>
          </reference>
          <reference field="1" count="1" selected="0">
            <x v="53"/>
          </reference>
          <reference field="2" count="1" selected="0">
            <x v="1"/>
          </reference>
          <reference field="3" count="1" selected="0">
            <x v="1"/>
          </reference>
          <reference field="4" count="1" selected="0">
            <x v="0"/>
          </reference>
          <reference field="16" count="1">
            <x v="0"/>
          </reference>
        </references>
      </pivotArea>
    </format>
    <format dxfId="1514">
      <pivotArea dataOnly="0" labelOnly="1" outline="0" fieldPosition="0">
        <references count="6">
          <reference field="0" count="1" selected="0">
            <x v="187"/>
          </reference>
          <reference field="1" count="1" selected="0">
            <x v="12"/>
          </reference>
          <reference field="2" count="1" selected="0">
            <x v="4"/>
          </reference>
          <reference field="3" count="1" selected="0">
            <x v="4"/>
          </reference>
          <reference field="4" count="1" selected="0">
            <x v="1"/>
          </reference>
          <reference field="16" count="1">
            <x v="0"/>
          </reference>
        </references>
      </pivotArea>
    </format>
    <format dxfId="1513">
      <pivotArea dataOnly="0" labelOnly="1" outline="0" fieldPosition="0">
        <references count="6">
          <reference field="0" count="1" selected="0">
            <x v="188"/>
          </reference>
          <reference field="1" count="1" selected="0">
            <x v="28"/>
          </reference>
          <reference field="2" count="1" selected="0">
            <x v="3"/>
          </reference>
          <reference field="3" count="1" selected="0">
            <x v="7"/>
          </reference>
          <reference field="4" count="1" selected="0">
            <x v="1"/>
          </reference>
          <reference field="16" count="1">
            <x v="1"/>
          </reference>
        </references>
      </pivotArea>
    </format>
    <format dxfId="1512">
      <pivotArea dataOnly="0" labelOnly="1" outline="0" fieldPosition="0">
        <references count="6">
          <reference field="0" count="1" selected="0">
            <x v="189"/>
          </reference>
          <reference field="1" count="1" selected="0">
            <x v="52"/>
          </reference>
          <reference field="2" count="1" selected="0">
            <x v="1"/>
          </reference>
          <reference field="3" count="1" selected="0">
            <x v="5"/>
          </reference>
          <reference field="4" count="1" selected="0">
            <x v="0"/>
          </reference>
          <reference field="16" count="1">
            <x v="0"/>
          </reference>
        </references>
      </pivotArea>
    </format>
    <format dxfId="1511">
      <pivotArea dataOnly="0" labelOnly="1" outline="0" fieldPosition="0">
        <references count="6">
          <reference field="0" count="1" selected="0">
            <x v="190"/>
          </reference>
          <reference field="1" count="1" selected="0">
            <x v="20"/>
          </reference>
          <reference field="2" count="1" selected="0">
            <x v="4"/>
          </reference>
          <reference field="3" count="1" selected="0">
            <x v="2"/>
          </reference>
          <reference field="4" count="1" selected="0">
            <x v="3"/>
          </reference>
          <reference field="16" count="1">
            <x v="0"/>
          </reference>
        </references>
      </pivotArea>
    </format>
    <format dxfId="1510">
      <pivotArea dataOnly="0" labelOnly="1" outline="0" fieldPosition="0">
        <references count="6">
          <reference field="0" count="1" selected="0">
            <x v="191"/>
          </reference>
          <reference field="1" count="1" selected="0">
            <x v="8"/>
          </reference>
          <reference field="2" count="1" selected="0">
            <x v="5"/>
          </reference>
          <reference field="3" count="1" selected="0">
            <x v="2"/>
          </reference>
          <reference field="4" count="1" selected="0">
            <x v="1"/>
          </reference>
          <reference field="16" count="1">
            <x v="0"/>
          </reference>
        </references>
      </pivotArea>
    </format>
    <format dxfId="1509">
      <pivotArea dataOnly="0" labelOnly="1" outline="0" fieldPosition="0">
        <references count="6">
          <reference field="0" count="1" selected="0">
            <x v="192"/>
          </reference>
          <reference field="1" count="1" selected="0">
            <x v="46"/>
          </reference>
          <reference field="2" count="1" selected="0">
            <x v="3"/>
          </reference>
          <reference field="3" count="1" selected="0">
            <x v="3"/>
          </reference>
          <reference field="4" count="1" selected="0">
            <x v="1"/>
          </reference>
          <reference field="16" count="1">
            <x v="0"/>
          </reference>
        </references>
      </pivotArea>
    </format>
    <format dxfId="1508">
      <pivotArea dataOnly="0" labelOnly="1" outline="0" fieldPosition="0">
        <references count="6">
          <reference field="0" count="1" selected="0">
            <x v="193"/>
          </reference>
          <reference field="1" count="1" selected="0">
            <x v="24"/>
          </reference>
          <reference field="2" count="1" selected="0">
            <x v="0"/>
          </reference>
          <reference field="3" count="1" selected="0">
            <x v="7"/>
          </reference>
          <reference field="4" count="1" selected="0">
            <x v="0"/>
          </reference>
          <reference field="16" count="1">
            <x v="0"/>
          </reference>
        </references>
      </pivotArea>
    </format>
    <format dxfId="1507">
      <pivotArea dataOnly="0" labelOnly="1" outline="0" fieldPosition="0">
        <references count="6">
          <reference field="0" count="1" selected="0">
            <x v="194"/>
          </reference>
          <reference field="1" count="1" selected="0">
            <x v="4"/>
          </reference>
          <reference field="2" count="1" selected="0">
            <x v="0"/>
          </reference>
          <reference field="3" count="1" selected="0">
            <x v="6"/>
          </reference>
          <reference field="4" count="1" selected="0">
            <x v="3"/>
          </reference>
          <reference field="16" count="1">
            <x v="0"/>
          </reference>
        </references>
      </pivotArea>
    </format>
    <format dxfId="1506">
      <pivotArea dataOnly="0" labelOnly="1" outline="0" fieldPosition="0">
        <references count="6">
          <reference field="0" count="1" selected="0">
            <x v="195"/>
          </reference>
          <reference field="1" count="1" selected="0">
            <x v="24"/>
          </reference>
          <reference field="2" count="1" selected="0">
            <x v="0"/>
          </reference>
          <reference field="3" count="1" selected="0">
            <x v="3"/>
          </reference>
          <reference field="4" count="1" selected="0">
            <x v="4"/>
          </reference>
          <reference field="16" count="1">
            <x v="0"/>
          </reference>
        </references>
      </pivotArea>
    </format>
    <format dxfId="1505">
      <pivotArea dataOnly="0" labelOnly="1" outline="0" fieldPosition="0">
        <references count="6">
          <reference field="0" count="1" selected="0">
            <x v="196"/>
          </reference>
          <reference field="1" count="1" selected="0">
            <x v="18"/>
          </reference>
          <reference field="2" count="1" selected="0">
            <x v="2"/>
          </reference>
          <reference field="3" count="1" selected="0">
            <x v="3"/>
          </reference>
          <reference field="4" count="1" selected="0">
            <x v="3"/>
          </reference>
          <reference field="16" count="1">
            <x v="1"/>
          </reference>
        </references>
      </pivotArea>
    </format>
    <format dxfId="1504">
      <pivotArea dataOnly="0" labelOnly="1" outline="0" fieldPosition="0">
        <references count="6">
          <reference field="0" count="1" selected="0">
            <x v="197"/>
          </reference>
          <reference field="1" count="1" selected="0">
            <x v="50"/>
          </reference>
          <reference field="2" count="1" selected="0">
            <x v="3"/>
          </reference>
          <reference field="3" count="1" selected="0">
            <x v="3"/>
          </reference>
          <reference field="4" count="1" selected="0">
            <x v="2"/>
          </reference>
          <reference field="16" count="1">
            <x v="0"/>
          </reference>
        </references>
      </pivotArea>
    </format>
    <format dxfId="1503">
      <pivotArea dataOnly="0" labelOnly="1" outline="0" fieldPosition="0">
        <references count="6">
          <reference field="0" count="1" selected="0">
            <x v="198"/>
          </reference>
          <reference field="1" count="1" selected="0">
            <x v="17"/>
          </reference>
          <reference field="2" count="1" selected="0">
            <x v="4"/>
          </reference>
          <reference field="3" count="1" selected="0">
            <x v="1"/>
          </reference>
          <reference field="4" count="1" selected="0">
            <x v="4"/>
          </reference>
          <reference field="16" count="1">
            <x v="0"/>
          </reference>
        </references>
      </pivotArea>
    </format>
    <format dxfId="1502">
      <pivotArea dataOnly="0" labelOnly="1" outline="0" fieldPosition="0">
        <references count="6">
          <reference field="0" count="1" selected="0">
            <x v="199"/>
          </reference>
          <reference field="1" count="1" selected="0">
            <x v="30"/>
          </reference>
          <reference field="2" count="1" selected="0">
            <x v="1"/>
          </reference>
          <reference field="3" count="1" selected="0">
            <x v="5"/>
          </reference>
          <reference field="4" count="1" selected="0">
            <x v="3"/>
          </reference>
          <reference field="16" count="1">
            <x v="0"/>
          </reference>
        </references>
      </pivotArea>
    </format>
    <format dxfId="1501">
      <pivotArea dataOnly="0" labelOnly="1" outline="0" fieldPosition="0">
        <references count="6">
          <reference field="0" count="1" selected="0">
            <x v="200"/>
          </reference>
          <reference field="1" count="1" selected="0">
            <x v="52"/>
          </reference>
          <reference field="2" count="1" selected="0">
            <x v="1"/>
          </reference>
          <reference field="3" count="1" selected="0">
            <x v="1"/>
          </reference>
          <reference field="4" count="1" selected="0">
            <x v="1"/>
          </reference>
          <reference field="16" count="1">
            <x v="0"/>
          </reference>
        </references>
      </pivotArea>
    </format>
    <format dxfId="1500">
      <pivotArea dataOnly="0" labelOnly="1" outline="0" fieldPosition="0">
        <references count="6">
          <reference field="0" count="1" selected="0">
            <x v="201"/>
          </reference>
          <reference field="1" count="1" selected="0">
            <x v="14"/>
          </reference>
          <reference field="2" count="1" selected="0">
            <x v="4"/>
          </reference>
          <reference field="3" count="1" selected="0">
            <x v="1"/>
          </reference>
          <reference field="4" count="1" selected="0">
            <x v="3"/>
          </reference>
          <reference field="16" count="1">
            <x v="0"/>
          </reference>
        </references>
      </pivotArea>
    </format>
    <format dxfId="1499">
      <pivotArea dataOnly="0" labelOnly="1" outline="0" fieldPosition="0">
        <references count="6">
          <reference field="0" count="1" selected="0">
            <x v="202"/>
          </reference>
          <reference field="1" count="1" selected="0">
            <x v="3"/>
          </reference>
          <reference field="2" count="1" selected="0">
            <x v="4"/>
          </reference>
          <reference field="3" count="1" selected="0">
            <x v="0"/>
          </reference>
          <reference field="4" count="1" selected="0">
            <x v="1"/>
          </reference>
          <reference field="16" count="1">
            <x v="1"/>
          </reference>
        </references>
      </pivotArea>
    </format>
    <format dxfId="1498">
      <pivotArea dataOnly="0" labelOnly="1" outline="0" fieldPosition="0">
        <references count="6">
          <reference field="0" count="1" selected="0">
            <x v="203"/>
          </reference>
          <reference field="1" count="1" selected="0">
            <x v="11"/>
          </reference>
          <reference field="2" count="1" selected="0">
            <x v="4"/>
          </reference>
          <reference field="3" count="1" selected="0">
            <x v="2"/>
          </reference>
          <reference field="4" count="1" selected="0">
            <x v="4"/>
          </reference>
          <reference field="16" count="1">
            <x v="0"/>
          </reference>
        </references>
      </pivotArea>
    </format>
    <format dxfId="1497">
      <pivotArea dataOnly="0" labelOnly="1" outline="0" fieldPosition="0">
        <references count="6">
          <reference field="0" count="1" selected="0">
            <x v="204"/>
          </reference>
          <reference field="1" count="1" selected="0">
            <x v="59"/>
          </reference>
          <reference field="2" count="1" selected="0">
            <x v="2"/>
          </reference>
          <reference field="3" count="1" selected="0">
            <x v="2"/>
          </reference>
          <reference field="4" count="1" selected="0">
            <x v="1"/>
          </reference>
          <reference field="16" count="1">
            <x v="1"/>
          </reference>
        </references>
      </pivotArea>
    </format>
    <format dxfId="1496">
      <pivotArea dataOnly="0" labelOnly="1" outline="0" fieldPosition="0">
        <references count="6">
          <reference field="0" count="1" selected="0">
            <x v="205"/>
          </reference>
          <reference field="1" count="1" selected="0">
            <x v="12"/>
          </reference>
          <reference field="2" count="1" selected="0">
            <x v="4"/>
          </reference>
          <reference field="3" count="1" selected="0">
            <x v="2"/>
          </reference>
          <reference field="4" count="1" selected="0">
            <x v="2"/>
          </reference>
          <reference field="16" count="1">
            <x v="1"/>
          </reference>
        </references>
      </pivotArea>
    </format>
    <format dxfId="1495">
      <pivotArea dataOnly="0" labelOnly="1" outline="0" fieldPosition="0">
        <references count="6">
          <reference field="0" count="1" selected="0">
            <x v="206"/>
          </reference>
          <reference field="1" count="1" selected="0">
            <x v="42"/>
          </reference>
          <reference field="2" count="1" selected="0">
            <x v="2"/>
          </reference>
          <reference field="3" count="1" selected="0">
            <x v="2"/>
          </reference>
          <reference field="4" count="1" selected="0">
            <x v="0"/>
          </reference>
          <reference field="16" count="1">
            <x v="0"/>
          </reference>
        </references>
      </pivotArea>
    </format>
    <format dxfId="1494">
      <pivotArea dataOnly="0" labelOnly="1" outline="0" fieldPosition="0">
        <references count="6">
          <reference field="0" count="1" selected="0">
            <x v="207"/>
          </reference>
          <reference field="1" count="1" selected="0">
            <x v="47"/>
          </reference>
          <reference field="2" count="1" selected="0">
            <x v="0"/>
          </reference>
          <reference field="3" count="1" selected="0">
            <x v="4"/>
          </reference>
          <reference field="4" count="1" selected="0">
            <x v="3"/>
          </reference>
          <reference field="16" count="1">
            <x v="0"/>
          </reference>
        </references>
      </pivotArea>
    </format>
    <format dxfId="1493">
      <pivotArea dataOnly="0" labelOnly="1" outline="0" fieldPosition="0">
        <references count="6">
          <reference field="0" count="1" selected="0">
            <x v="208"/>
          </reference>
          <reference field="1" count="1" selected="0">
            <x v="16"/>
          </reference>
          <reference field="2" count="1" selected="0">
            <x v="5"/>
          </reference>
          <reference field="3" count="1" selected="0">
            <x v="0"/>
          </reference>
          <reference field="4" count="1" selected="0">
            <x v="2"/>
          </reference>
          <reference field="16" count="1">
            <x v="0"/>
          </reference>
        </references>
      </pivotArea>
    </format>
    <format dxfId="1492">
      <pivotArea dataOnly="0" labelOnly="1" outline="0" fieldPosition="0">
        <references count="6">
          <reference field="0" count="1" selected="0">
            <x v="209"/>
          </reference>
          <reference field="1" count="1" selected="0">
            <x v="39"/>
          </reference>
          <reference field="2" count="1" selected="0">
            <x v="2"/>
          </reference>
          <reference field="3" count="1" selected="0">
            <x v="1"/>
          </reference>
          <reference field="4" count="1" selected="0">
            <x v="2"/>
          </reference>
          <reference field="16" count="1">
            <x v="0"/>
          </reference>
        </references>
      </pivotArea>
    </format>
    <format dxfId="1491">
      <pivotArea dataOnly="0" labelOnly="1" outline="0" fieldPosition="0">
        <references count="6">
          <reference field="0" count="1" selected="0">
            <x v="210"/>
          </reference>
          <reference field="1" count="1" selected="0">
            <x v="1"/>
          </reference>
          <reference field="2" count="1" selected="0">
            <x v="5"/>
          </reference>
          <reference field="3" count="1" selected="0">
            <x v="2"/>
          </reference>
          <reference field="4" count="1" selected="0">
            <x v="3"/>
          </reference>
          <reference field="16" count="1">
            <x v="0"/>
          </reference>
        </references>
      </pivotArea>
    </format>
    <format dxfId="1490">
      <pivotArea dataOnly="0" labelOnly="1" outline="0" fieldPosition="0">
        <references count="6">
          <reference field="0" count="1" selected="0">
            <x v="211"/>
          </reference>
          <reference field="1" count="1" selected="0">
            <x v="4"/>
          </reference>
          <reference field="2" count="1" selected="0">
            <x v="0"/>
          </reference>
          <reference field="3" count="1" selected="0">
            <x v="2"/>
          </reference>
          <reference field="4" count="1" selected="0">
            <x v="4"/>
          </reference>
          <reference field="16" count="1">
            <x v="1"/>
          </reference>
        </references>
      </pivotArea>
    </format>
    <format dxfId="1489">
      <pivotArea dataOnly="0" labelOnly="1" outline="0" fieldPosition="0">
        <references count="6">
          <reference field="0" count="1" selected="0">
            <x v="212"/>
          </reference>
          <reference field="1" count="1" selected="0">
            <x v="13"/>
          </reference>
          <reference field="2" count="1" selected="0">
            <x v="3"/>
          </reference>
          <reference field="3" count="1" selected="0">
            <x v="2"/>
          </reference>
          <reference field="4" count="1" selected="0">
            <x v="4"/>
          </reference>
          <reference field="16" count="1">
            <x v="0"/>
          </reference>
        </references>
      </pivotArea>
    </format>
    <format dxfId="1488">
      <pivotArea dataOnly="0" labelOnly="1" outline="0" fieldPosition="0">
        <references count="6">
          <reference field="0" count="1" selected="0">
            <x v="213"/>
          </reference>
          <reference field="1" count="1" selected="0">
            <x v="19"/>
          </reference>
          <reference field="2" count="1" selected="0">
            <x v="5"/>
          </reference>
          <reference field="3" count="1" selected="0">
            <x v="3"/>
          </reference>
          <reference field="4" count="1" selected="0">
            <x v="2"/>
          </reference>
          <reference field="16" count="1">
            <x v="1"/>
          </reference>
        </references>
      </pivotArea>
    </format>
    <format dxfId="1487">
      <pivotArea dataOnly="0" labelOnly="1" outline="0" fieldPosition="0">
        <references count="6">
          <reference field="0" count="1" selected="0">
            <x v="214"/>
          </reference>
          <reference field="1" count="1" selected="0">
            <x v="38"/>
          </reference>
          <reference field="2" count="1" selected="0">
            <x v="5"/>
          </reference>
          <reference field="3" count="1" selected="0">
            <x v="1"/>
          </reference>
          <reference field="4" count="1" selected="0">
            <x v="3"/>
          </reference>
          <reference field="16" count="1">
            <x v="1"/>
          </reference>
        </references>
      </pivotArea>
    </format>
    <format dxfId="1486">
      <pivotArea dataOnly="0" labelOnly="1" outline="0" fieldPosition="0">
        <references count="6">
          <reference field="0" count="1" selected="0">
            <x v="215"/>
          </reference>
          <reference field="1" count="1" selected="0">
            <x v="26"/>
          </reference>
          <reference field="2" count="1" selected="0">
            <x v="5"/>
          </reference>
          <reference field="3" count="1" selected="0">
            <x v="2"/>
          </reference>
          <reference field="4" count="1" selected="0">
            <x v="0"/>
          </reference>
          <reference field="16" count="1">
            <x v="0"/>
          </reference>
        </references>
      </pivotArea>
    </format>
    <format dxfId="1485">
      <pivotArea dataOnly="0" labelOnly="1" outline="0" fieldPosition="0">
        <references count="6">
          <reference field="0" count="1" selected="0">
            <x v="216"/>
          </reference>
          <reference field="1" count="1" selected="0">
            <x v="57"/>
          </reference>
          <reference field="2" count="1" selected="0">
            <x v="0"/>
          </reference>
          <reference field="3" count="1" selected="0">
            <x v="4"/>
          </reference>
          <reference field="4" count="1" selected="0">
            <x v="1"/>
          </reference>
          <reference field="16" count="1">
            <x v="1"/>
          </reference>
        </references>
      </pivotArea>
    </format>
    <format dxfId="1484">
      <pivotArea dataOnly="0" labelOnly="1" outline="0" fieldPosition="0">
        <references count="6">
          <reference field="0" count="1" selected="0">
            <x v="217"/>
          </reference>
          <reference field="1" count="1" selected="0">
            <x v="59"/>
          </reference>
          <reference field="2" count="1" selected="0">
            <x v="2"/>
          </reference>
          <reference field="3" count="1" selected="0">
            <x v="5"/>
          </reference>
          <reference field="4" count="1" selected="0">
            <x v="3"/>
          </reference>
          <reference field="16" count="1">
            <x v="0"/>
          </reference>
        </references>
      </pivotArea>
    </format>
    <format dxfId="1483">
      <pivotArea dataOnly="0" labelOnly="1" outline="0" fieldPosition="0">
        <references count="6">
          <reference field="0" count="1" selected="0">
            <x v="218"/>
          </reference>
          <reference field="1" count="1" selected="0">
            <x v="18"/>
          </reference>
          <reference field="2" count="1" selected="0">
            <x v="2"/>
          </reference>
          <reference field="3" count="1" selected="0">
            <x v="3"/>
          </reference>
          <reference field="4" count="1" selected="0">
            <x v="3"/>
          </reference>
          <reference field="16" count="1">
            <x v="0"/>
          </reference>
        </references>
      </pivotArea>
    </format>
    <format dxfId="1482">
      <pivotArea dataOnly="0" labelOnly="1" outline="0" fieldPosition="0">
        <references count="6">
          <reference field="0" count="1" selected="0">
            <x v="219"/>
          </reference>
          <reference field="1" count="1" selected="0">
            <x v="39"/>
          </reference>
          <reference field="2" count="1" selected="0">
            <x v="2"/>
          </reference>
          <reference field="3" count="1" selected="0">
            <x v="7"/>
          </reference>
          <reference field="4" count="1" selected="0">
            <x v="3"/>
          </reference>
          <reference field="16" count="1">
            <x v="0"/>
          </reference>
        </references>
      </pivotArea>
    </format>
    <format dxfId="1481">
      <pivotArea dataOnly="0" labelOnly="1" outline="0" fieldPosition="0">
        <references count="6">
          <reference field="0" count="1" selected="0">
            <x v="220"/>
          </reference>
          <reference field="1" count="1" selected="0">
            <x v="53"/>
          </reference>
          <reference field="2" count="1" selected="0">
            <x v="1"/>
          </reference>
          <reference field="3" count="1" selected="0">
            <x v="0"/>
          </reference>
          <reference field="4" count="1" selected="0">
            <x v="1"/>
          </reference>
          <reference field="16" count="1">
            <x v="0"/>
          </reference>
        </references>
      </pivotArea>
    </format>
    <format dxfId="1480">
      <pivotArea dataOnly="0" labelOnly="1" outline="0" fieldPosition="0">
        <references count="6">
          <reference field="0" count="1" selected="0">
            <x v="221"/>
          </reference>
          <reference field="1" count="1" selected="0">
            <x v="12"/>
          </reference>
          <reference field="2" count="1" selected="0">
            <x v="4"/>
          </reference>
          <reference field="3" count="1" selected="0">
            <x v="2"/>
          </reference>
          <reference field="4" count="1" selected="0">
            <x v="1"/>
          </reference>
          <reference field="16" count="1">
            <x v="0"/>
          </reference>
        </references>
      </pivotArea>
    </format>
    <format dxfId="1479">
      <pivotArea dataOnly="0" labelOnly="1" outline="0" fieldPosition="0">
        <references count="6">
          <reference field="0" count="1" selected="0">
            <x v="222"/>
          </reference>
          <reference field="1" count="1" selected="0">
            <x v="36"/>
          </reference>
          <reference field="2" count="1" selected="0">
            <x v="1"/>
          </reference>
          <reference field="3" count="1" selected="0">
            <x v="1"/>
          </reference>
          <reference field="4" count="1" selected="0">
            <x v="4"/>
          </reference>
          <reference field="16" count="1">
            <x v="1"/>
          </reference>
        </references>
      </pivotArea>
    </format>
    <format dxfId="1478">
      <pivotArea dataOnly="0" labelOnly="1" outline="0" fieldPosition="0">
        <references count="6">
          <reference field="0" count="1" selected="0">
            <x v="223"/>
          </reference>
          <reference field="1" count="1" selected="0">
            <x v="15"/>
          </reference>
          <reference field="2" count="1" selected="0">
            <x v="2"/>
          </reference>
          <reference field="3" count="1" selected="0">
            <x v="7"/>
          </reference>
          <reference field="4" count="1" selected="0">
            <x v="1"/>
          </reference>
          <reference field="16" count="1">
            <x v="0"/>
          </reference>
        </references>
      </pivotArea>
    </format>
    <format dxfId="1477">
      <pivotArea dataOnly="0" labelOnly="1" outline="0" fieldPosition="0">
        <references count="6">
          <reference field="0" count="1" selected="0">
            <x v="224"/>
          </reference>
          <reference field="1" count="1" selected="0">
            <x v="59"/>
          </reference>
          <reference field="2" count="1" selected="0">
            <x v="2"/>
          </reference>
          <reference field="3" count="1" selected="0">
            <x v="0"/>
          </reference>
          <reference field="4" count="1" selected="0">
            <x v="0"/>
          </reference>
          <reference field="16" count="1">
            <x v="0"/>
          </reference>
        </references>
      </pivotArea>
    </format>
    <format dxfId="1476">
      <pivotArea dataOnly="0" labelOnly="1" outline="0" fieldPosition="0">
        <references count="6">
          <reference field="0" count="1" selected="0">
            <x v="225"/>
          </reference>
          <reference field="1" count="1" selected="0">
            <x v="26"/>
          </reference>
          <reference field="2" count="1" selected="0">
            <x v="5"/>
          </reference>
          <reference field="3" count="1" selected="0">
            <x v="2"/>
          </reference>
          <reference field="4" count="1" selected="0">
            <x v="2"/>
          </reference>
          <reference field="16" count="1">
            <x v="0"/>
          </reference>
        </references>
      </pivotArea>
    </format>
    <format dxfId="1475">
      <pivotArea dataOnly="0" labelOnly="1" outline="0" fieldPosition="0">
        <references count="6">
          <reference field="0" count="1" selected="0">
            <x v="226"/>
          </reference>
          <reference field="1" count="1" selected="0">
            <x v="42"/>
          </reference>
          <reference field="2" count="1" selected="0">
            <x v="2"/>
          </reference>
          <reference field="3" count="1" selected="0">
            <x v="7"/>
          </reference>
          <reference field="4" count="1" selected="0">
            <x v="3"/>
          </reference>
          <reference field="16" count="1">
            <x v="1"/>
          </reference>
        </references>
      </pivotArea>
    </format>
    <format dxfId="1474">
      <pivotArea dataOnly="0" labelOnly="1" outline="0" fieldPosition="0">
        <references count="6">
          <reference field="0" count="1" selected="0">
            <x v="227"/>
          </reference>
          <reference field="1" count="1" selected="0">
            <x v="52"/>
          </reference>
          <reference field="2" count="1" selected="0">
            <x v="1"/>
          </reference>
          <reference field="3" count="1" selected="0">
            <x v="4"/>
          </reference>
          <reference field="4" count="1" selected="0">
            <x v="4"/>
          </reference>
          <reference field="16" count="1">
            <x v="0"/>
          </reference>
        </references>
      </pivotArea>
    </format>
    <format dxfId="1473">
      <pivotArea dataOnly="0" labelOnly="1" outline="0" fieldPosition="0">
        <references count="6">
          <reference field="0" count="1" selected="0">
            <x v="228"/>
          </reference>
          <reference field="1" count="1" selected="0">
            <x v="54"/>
          </reference>
          <reference field="2" count="1" selected="0">
            <x v="2"/>
          </reference>
          <reference field="3" count="1" selected="0">
            <x v="2"/>
          </reference>
          <reference field="4" count="1" selected="0">
            <x v="3"/>
          </reference>
          <reference field="16" count="1">
            <x v="0"/>
          </reference>
        </references>
      </pivotArea>
    </format>
    <format dxfId="1472">
      <pivotArea dataOnly="0" labelOnly="1" outline="0" fieldPosition="0">
        <references count="6">
          <reference field="0" count="1" selected="0">
            <x v="229"/>
          </reference>
          <reference field="1" count="1" selected="0">
            <x v="53"/>
          </reference>
          <reference field="2" count="1" selected="0">
            <x v="1"/>
          </reference>
          <reference field="3" count="1" selected="0">
            <x v="7"/>
          </reference>
          <reference field="4" count="1" selected="0">
            <x v="0"/>
          </reference>
          <reference field="16" count="1">
            <x v="0"/>
          </reference>
        </references>
      </pivotArea>
    </format>
    <format dxfId="1471">
      <pivotArea dataOnly="0" labelOnly="1" outline="0" fieldPosition="0">
        <references count="6">
          <reference field="0" count="1" selected="0">
            <x v="230"/>
          </reference>
          <reference field="1" count="1" selected="0">
            <x v="21"/>
          </reference>
          <reference field="2" count="1" selected="0">
            <x v="2"/>
          </reference>
          <reference field="3" count="1" selected="0">
            <x v="1"/>
          </reference>
          <reference field="4" count="1" selected="0">
            <x v="3"/>
          </reference>
          <reference field="16" count="1">
            <x v="0"/>
          </reference>
        </references>
      </pivotArea>
    </format>
    <format dxfId="1470">
      <pivotArea dataOnly="0" labelOnly="1" outline="0" fieldPosition="0">
        <references count="6">
          <reference field="0" count="1" selected="0">
            <x v="231"/>
          </reference>
          <reference field="1" count="1" selected="0">
            <x v="52"/>
          </reference>
          <reference field="2" count="1" selected="0">
            <x v="1"/>
          </reference>
          <reference field="3" count="1" selected="0">
            <x v="1"/>
          </reference>
          <reference field="4" count="1" selected="0">
            <x v="4"/>
          </reference>
          <reference field="16" count="1">
            <x v="0"/>
          </reference>
        </references>
      </pivotArea>
    </format>
    <format dxfId="1469">
      <pivotArea dataOnly="0" labelOnly="1" outline="0" fieldPosition="0">
        <references count="6">
          <reference field="0" count="1" selected="0">
            <x v="232"/>
          </reference>
          <reference field="1" count="1" selected="0">
            <x v="47"/>
          </reference>
          <reference field="2" count="1" selected="0">
            <x v="0"/>
          </reference>
          <reference field="3" count="1" selected="0">
            <x v="0"/>
          </reference>
          <reference field="4" count="1" selected="0">
            <x v="1"/>
          </reference>
          <reference field="16" count="1">
            <x v="0"/>
          </reference>
        </references>
      </pivotArea>
    </format>
    <format dxfId="1468">
      <pivotArea dataOnly="0" labelOnly="1" outline="0" fieldPosition="0">
        <references count="6">
          <reference field="0" count="1" selected="0">
            <x v="233"/>
          </reference>
          <reference field="1" count="1" selected="0">
            <x v="33"/>
          </reference>
          <reference field="2" count="1" selected="0">
            <x v="4"/>
          </reference>
          <reference field="3" count="1" selected="0">
            <x v="3"/>
          </reference>
          <reference field="4" count="1" selected="0">
            <x v="0"/>
          </reference>
          <reference field="16" count="1">
            <x v="0"/>
          </reference>
        </references>
      </pivotArea>
    </format>
    <format dxfId="1467">
      <pivotArea dataOnly="0" labelOnly="1" outline="0" fieldPosition="0">
        <references count="6">
          <reference field="0" count="1" selected="0">
            <x v="234"/>
          </reference>
          <reference field="1" count="1" selected="0">
            <x v="34"/>
          </reference>
          <reference field="2" count="1" selected="0">
            <x v="5"/>
          </reference>
          <reference field="3" count="1" selected="0">
            <x v="1"/>
          </reference>
          <reference field="4" count="1" selected="0">
            <x v="0"/>
          </reference>
          <reference field="16" count="1">
            <x v="0"/>
          </reference>
        </references>
      </pivotArea>
    </format>
    <format dxfId="1466">
      <pivotArea dataOnly="0" labelOnly="1" outline="0" fieldPosition="0">
        <references count="6">
          <reference field="0" count="1" selected="0">
            <x v="235"/>
          </reference>
          <reference field="1" count="1" selected="0">
            <x v="38"/>
          </reference>
          <reference field="2" count="1" selected="0">
            <x v="5"/>
          </reference>
          <reference field="3" count="1" selected="0">
            <x v="2"/>
          </reference>
          <reference field="4" count="1" selected="0">
            <x v="4"/>
          </reference>
          <reference field="16" count="1">
            <x v="0"/>
          </reference>
        </references>
      </pivotArea>
    </format>
    <format dxfId="1465">
      <pivotArea dataOnly="0" labelOnly="1" outline="0" fieldPosition="0">
        <references count="6">
          <reference field="0" count="1" selected="0">
            <x v="236"/>
          </reference>
          <reference field="1" count="1" selected="0">
            <x v="7"/>
          </reference>
          <reference field="2" count="1" selected="0">
            <x v="3"/>
          </reference>
          <reference field="3" count="1" selected="0">
            <x v="1"/>
          </reference>
          <reference field="4" count="1" selected="0">
            <x v="0"/>
          </reference>
          <reference field="16" count="1">
            <x v="1"/>
          </reference>
        </references>
      </pivotArea>
    </format>
    <format dxfId="1464">
      <pivotArea dataOnly="0" labelOnly="1" outline="0" fieldPosition="0">
        <references count="6">
          <reference field="0" count="1" selected="0">
            <x v="237"/>
          </reference>
          <reference field="1" count="1" selected="0">
            <x v="55"/>
          </reference>
          <reference field="2" count="1" selected="0">
            <x v="1"/>
          </reference>
          <reference field="3" count="1" selected="0">
            <x v="2"/>
          </reference>
          <reference field="4" count="1" selected="0">
            <x v="4"/>
          </reference>
          <reference field="16" count="1">
            <x v="0"/>
          </reference>
        </references>
      </pivotArea>
    </format>
    <format dxfId="1463">
      <pivotArea dataOnly="0" labelOnly="1" outline="0" fieldPosition="0">
        <references count="6">
          <reference field="0" count="1" selected="0">
            <x v="238"/>
          </reference>
          <reference field="1" count="1" selected="0">
            <x v="9"/>
          </reference>
          <reference field="2" count="1" selected="0">
            <x v="3"/>
          </reference>
          <reference field="3" count="1" selected="0">
            <x v="2"/>
          </reference>
          <reference field="4" count="1" selected="0">
            <x v="0"/>
          </reference>
          <reference field="16" count="1">
            <x v="0"/>
          </reference>
        </references>
      </pivotArea>
    </format>
    <format dxfId="1462">
      <pivotArea dataOnly="0" labelOnly="1" outline="0" fieldPosition="0">
        <references count="6">
          <reference field="0" count="1" selected="0">
            <x v="239"/>
          </reference>
          <reference field="1" count="1" selected="0">
            <x v="3"/>
          </reference>
          <reference field="2" count="1" selected="0">
            <x v="4"/>
          </reference>
          <reference field="3" count="1" selected="0">
            <x v="1"/>
          </reference>
          <reference field="4" count="1" selected="0">
            <x v="2"/>
          </reference>
          <reference field="16" count="1">
            <x v="0"/>
          </reference>
        </references>
      </pivotArea>
    </format>
    <format dxfId="1461">
      <pivotArea dataOnly="0" labelOnly="1" outline="0" fieldPosition="0">
        <references count="6">
          <reference field="0" count="1" selected="0">
            <x v="240"/>
          </reference>
          <reference field="1" count="1" selected="0">
            <x v="27"/>
          </reference>
          <reference field="2" count="1" selected="0">
            <x v="0"/>
          </reference>
          <reference field="3" count="1" selected="0">
            <x v="0"/>
          </reference>
          <reference field="4" count="1" selected="0">
            <x v="2"/>
          </reference>
          <reference field="16" count="1">
            <x v="0"/>
          </reference>
        </references>
      </pivotArea>
    </format>
    <format dxfId="1460">
      <pivotArea dataOnly="0" labelOnly="1" outline="0" fieldPosition="0">
        <references count="6">
          <reference field="0" count="1" selected="0">
            <x v="241"/>
          </reference>
          <reference field="1" count="1" selected="0">
            <x v="58"/>
          </reference>
          <reference field="2" count="1" selected="0">
            <x v="1"/>
          </reference>
          <reference field="3" count="1" selected="0">
            <x v="5"/>
          </reference>
          <reference field="4" count="1" selected="0">
            <x v="0"/>
          </reference>
          <reference field="16" count="1">
            <x v="0"/>
          </reference>
        </references>
      </pivotArea>
    </format>
    <format dxfId="1459">
      <pivotArea dataOnly="0" labelOnly="1" outline="0" fieldPosition="0">
        <references count="6">
          <reference field="0" count="1" selected="0">
            <x v="242"/>
          </reference>
          <reference field="1" count="1" selected="0">
            <x v="12"/>
          </reference>
          <reference field="2" count="1" selected="0">
            <x v="4"/>
          </reference>
          <reference field="3" count="1" selected="0">
            <x v="0"/>
          </reference>
          <reference field="4" count="1" selected="0">
            <x v="0"/>
          </reference>
          <reference field="16" count="1">
            <x v="0"/>
          </reference>
        </references>
      </pivotArea>
    </format>
    <format dxfId="1458">
      <pivotArea dataOnly="0" labelOnly="1" outline="0" fieldPosition="0">
        <references count="6">
          <reference field="0" count="1" selected="0">
            <x v="243"/>
          </reference>
          <reference field="1" count="1" selected="0">
            <x v="19"/>
          </reference>
          <reference field="2" count="1" selected="0">
            <x v="5"/>
          </reference>
          <reference field="3" count="1" selected="0">
            <x v="3"/>
          </reference>
          <reference field="4" count="1" selected="0">
            <x v="4"/>
          </reference>
          <reference field="16" count="1">
            <x v="0"/>
          </reference>
        </references>
      </pivotArea>
    </format>
    <format dxfId="1457">
      <pivotArea dataOnly="0" labelOnly="1" outline="0" fieldPosition="0">
        <references count="6">
          <reference field="0" count="1" selected="0">
            <x v="244"/>
          </reference>
          <reference field="1" count="1" selected="0">
            <x v="34"/>
          </reference>
          <reference field="2" count="1" selected="0">
            <x v="5"/>
          </reference>
          <reference field="3" count="1" selected="0">
            <x v="5"/>
          </reference>
          <reference field="4" count="1" selected="0">
            <x v="3"/>
          </reference>
          <reference field="16" count="1">
            <x v="0"/>
          </reference>
        </references>
      </pivotArea>
    </format>
    <format dxfId="1456">
      <pivotArea dataOnly="0" labelOnly="1" outline="0" fieldPosition="0">
        <references count="6">
          <reference field="0" count="1" selected="0">
            <x v="245"/>
          </reference>
          <reference field="1" count="1" selected="0">
            <x v="40"/>
          </reference>
          <reference field="2" count="1" selected="0">
            <x v="2"/>
          </reference>
          <reference field="3" count="1" selected="0">
            <x v="3"/>
          </reference>
          <reference field="4" count="1" selected="0">
            <x v="2"/>
          </reference>
          <reference field="16" count="1">
            <x v="0"/>
          </reference>
        </references>
      </pivotArea>
    </format>
    <format dxfId="1455">
      <pivotArea dataOnly="0" labelOnly="1" outline="0" fieldPosition="0">
        <references count="6">
          <reference field="0" count="1" selected="0">
            <x v="246"/>
          </reference>
          <reference field="1" count="1" selected="0">
            <x v="37"/>
          </reference>
          <reference field="2" count="1" selected="0">
            <x v="1"/>
          </reference>
          <reference field="3" count="1" selected="0">
            <x v="2"/>
          </reference>
          <reference field="4" count="1" selected="0">
            <x v="4"/>
          </reference>
          <reference field="16" count="1">
            <x v="1"/>
          </reference>
        </references>
      </pivotArea>
    </format>
    <format dxfId="1454">
      <pivotArea dataOnly="0" labelOnly="1" outline="0" fieldPosition="0">
        <references count="6">
          <reference field="0" count="1" selected="0">
            <x v="247"/>
          </reference>
          <reference field="1" count="1" selected="0">
            <x v="40"/>
          </reference>
          <reference field="2" count="1" selected="0">
            <x v="2"/>
          </reference>
          <reference field="3" count="1" selected="0">
            <x v="3"/>
          </reference>
          <reference field="4" count="1" selected="0">
            <x v="0"/>
          </reference>
          <reference field="16" count="1">
            <x v="1"/>
          </reference>
        </references>
      </pivotArea>
    </format>
    <format dxfId="1453">
      <pivotArea dataOnly="0" labelOnly="1" outline="0" fieldPosition="0">
        <references count="6">
          <reference field="0" count="1" selected="0">
            <x v="248"/>
          </reference>
          <reference field="1" count="1" selected="0">
            <x v="39"/>
          </reference>
          <reference field="2" count="1" selected="0">
            <x v="2"/>
          </reference>
          <reference field="3" count="1" selected="0">
            <x v="5"/>
          </reference>
          <reference field="4" count="1" selected="0">
            <x v="0"/>
          </reference>
          <reference field="16" count="1">
            <x v="0"/>
          </reference>
        </references>
      </pivotArea>
    </format>
    <format dxfId="1452">
      <pivotArea dataOnly="0" labelOnly="1" outline="0" fieldPosition="0">
        <references count="6">
          <reference field="0" count="1" selected="0">
            <x v="249"/>
          </reference>
          <reference field="1" count="1" selected="0">
            <x v="43"/>
          </reference>
          <reference field="2" count="1" selected="0">
            <x v="0"/>
          </reference>
          <reference field="3" count="1" selected="0">
            <x v="3"/>
          </reference>
          <reference field="4" count="1" selected="0">
            <x v="3"/>
          </reference>
          <reference field="16" count="1">
            <x v="1"/>
          </reference>
        </references>
      </pivotArea>
    </format>
    <format dxfId="1451">
      <pivotArea dataOnly="0" labelOnly="1" outline="0" fieldPosition="0">
        <references count="6">
          <reference field="0" count="1" selected="0">
            <x v="250"/>
          </reference>
          <reference field="1" count="1" selected="0">
            <x v="39"/>
          </reference>
          <reference field="2" count="1" selected="0">
            <x v="2"/>
          </reference>
          <reference field="3" count="1" selected="0">
            <x v="1"/>
          </reference>
          <reference field="4" count="1" selected="0">
            <x v="1"/>
          </reference>
          <reference field="16" count="1">
            <x v="0"/>
          </reference>
        </references>
      </pivotArea>
    </format>
    <format dxfId="1450">
      <pivotArea dataOnly="0" labelOnly="1" outline="0" fieldPosition="0">
        <references count="6">
          <reference field="0" count="1" selected="0">
            <x v="251"/>
          </reference>
          <reference field="1" count="1" selected="0">
            <x v="35"/>
          </reference>
          <reference field="2" count="1" selected="0">
            <x v="4"/>
          </reference>
          <reference field="3" count="1" selected="0">
            <x v="7"/>
          </reference>
          <reference field="4" count="1" selected="0">
            <x v="0"/>
          </reference>
          <reference field="16" count="1">
            <x v="1"/>
          </reference>
        </references>
      </pivotArea>
    </format>
    <format dxfId="1449">
      <pivotArea dataOnly="0" labelOnly="1" outline="0" fieldPosition="0">
        <references count="6">
          <reference field="0" count="1" selected="0">
            <x v="252"/>
          </reference>
          <reference field="1" count="1" selected="0">
            <x v="12"/>
          </reference>
          <reference field="2" count="1" selected="0">
            <x v="4"/>
          </reference>
          <reference field="3" count="1" selected="0">
            <x v="1"/>
          </reference>
          <reference field="4" count="1" selected="0">
            <x v="4"/>
          </reference>
          <reference field="16" count="1">
            <x v="0"/>
          </reference>
        </references>
      </pivotArea>
    </format>
    <format dxfId="1448">
      <pivotArea dataOnly="0" labelOnly="1" outline="0" fieldPosition="0">
        <references count="6">
          <reference field="0" count="1" selected="0">
            <x v="253"/>
          </reference>
          <reference field="1" count="1" selected="0">
            <x v="28"/>
          </reference>
          <reference field="2" count="1" selected="0">
            <x v="3"/>
          </reference>
          <reference field="3" count="1" selected="0">
            <x v="6"/>
          </reference>
          <reference field="4" count="1" selected="0">
            <x v="1"/>
          </reference>
          <reference field="16" count="1">
            <x v="0"/>
          </reference>
        </references>
      </pivotArea>
    </format>
    <format dxfId="1447">
      <pivotArea dataOnly="0" labelOnly="1" outline="0" fieldPosition="0">
        <references count="6">
          <reference field="0" count="1" selected="0">
            <x v="254"/>
          </reference>
          <reference field="1" count="1" selected="0">
            <x v="48"/>
          </reference>
          <reference field="2" count="1" selected="0">
            <x v="5"/>
          </reference>
          <reference field="3" count="1" selected="0">
            <x v="7"/>
          </reference>
          <reference field="4" count="1" selected="0">
            <x v="4"/>
          </reference>
          <reference field="16" count="1">
            <x v="0"/>
          </reference>
        </references>
      </pivotArea>
    </format>
    <format dxfId="1446">
      <pivotArea dataOnly="0" labelOnly="1" outline="0" fieldPosition="0">
        <references count="6">
          <reference field="0" count="1" selected="0">
            <x v="255"/>
          </reference>
          <reference field="1" count="1" selected="0">
            <x v="20"/>
          </reference>
          <reference field="2" count="1" selected="0">
            <x v="4"/>
          </reference>
          <reference field="3" count="1" selected="0">
            <x v="3"/>
          </reference>
          <reference field="4" count="1" selected="0">
            <x v="3"/>
          </reference>
          <reference field="16" count="1">
            <x v="0"/>
          </reference>
        </references>
      </pivotArea>
    </format>
    <format dxfId="1445">
      <pivotArea dataOnly="0" labelOnly="1" outline="0" fieldPosition="0">
        <references count="6">
          <reference field="0" count="1" selected="0">
            <x v="256"/>
          </reference>
          <reference field="1" count="1" selected="0">
            <x v="24"/>
          </reference>
          <reference field="2" count="1" selected="0">
            <x v="0"/>
          </reference>
          <reference field="3" count="1" selected="0">
            <x v="1"/>
          </reference>
          <reference field="4" count="1" selected="0">
            <x v="1"/>
          </reference>
          <reference field="16" count="1">
            <x v="0"/>
          </reference>
        </references>
      </pivotArea>
    </format>
    <format dxfId="1444">
      <pivotArea dataOnly="0" labelOnly="1" outline="0" fieldPosition="0">
        <references count="6">
          <reference field="0" count="1" selected="0">
            <x v="257"/>
          </reference>
          <reference field="1" count="1" selected="0">
            <x v="8"/>
          </reference>
          <reference field="2" count="1" selected="0">
            <x v="5"/>
          </reference>
          <reference field="3" count="1" selected="0">
            <x v="0"/>
          </reference>
          <reference field="4" count="1" selected="0">
            <x v="0"/>
          </reference>
          <reference field="16" count="1">
            <x v="0"/>
          </reference>
        </references>
      </pivotArea>
    </format>
    <format dxfId="1443">
      <pivotArea dataOnly="0" labelOnly="1" outline="0" fieldPosition="0">
        <references count="6">
          <reference field="0" count="1" selected="0">
            <x v="258"/>
          </reference>
          <reference field="1" count="1" selected="0">
            <x v="52"/>
          </reference>
          <reference field="2" count="1" selected="0">
            <x v="1"/>
          </reference>
          <reference field="3" count="1" selected="0">
            <x v="0"/>
          </reference>
          <reference field="4" count="1" selected="0">
            <x v="1"/>
          </reference>
          <reference field="16" count="1">
            <x v="0"/>
          </reference>
        </references>
      </pivotArea>
    </format>
    <format dxfId="1442">
      <pivotArea dataOnly="0" labelOnly="1" outline="0" fieldPosition="0">
        <references count="6">
          <reference field="0" count="1" selected="0">
            <x v="259"/>
          </reference>
          <reference field="1" count="1" selected="0">
            <x v="54"/>
          </reference>
          <reference field="2" count="1" selected="0">
            <x v="2"/>
          </reference>
          <reference field="3" count="1" selected="0">
            <x v="1"/>
          </reference>
          <reference field="4" count="1" selected="0">
            <x v="4"/>
          </reference>
          <reference field="16" count="1">
            <x v="1"/>
          </reference>
        </references>
      </pivotArea>
    </format>
    <format dxfId="1441">
      <pivotArea dataOnly="0" labelOnly="1" outline="0" fieldPosition="0">
        <references count="6">
          <reference field="0" count="1" selected="0">
            <x v="260"/>
          </reference>
          <reference field="1" count="1" selected="0">
            <x v="8"/>
          </reference>
          <reference field="2" count="1" selected="0">
            <x v="5"/>
          </reference>
          <reference field="3" count="1" selected="0">
            <x v="7"/>
          </reference>
          <reference field="4" count="1" selected="0">
            <x v="3"/>
          </reference>
          <reference field="16" count="1">
            <x v="0"/>
          </reference>
        </references>
      </pivotArea>
    </format>
    <format dxfId="1440">
      <pivotArea dataOnly="0" labelOnly="1" outline="0" fieldPosition="0">
        <references count="6">
          <reference field="0" count="1" selected="0">
            <x v="261"/>
          </reference>
          <reference field="1" count="1" selected="0">
            <x v="11"/>
          </reference>
          <reference field="2" count="1" selected="0">
            <x v="4"/>
          </reference>
          <reference field="3" count="1" selected="0">
            <x v="4"/>
          </reference>
          <reference field="4" count="1" selected="0">
            <x v="0"/>
          </reference>
          <reference field="16" count="1">
            <x v="0"/>
          </reference>
        </references>
      </pivotArea>
    </format>
    <format dxfId="1439">
      <pivotArea dataOnly="0" labelOnly="1" outline="0" fieldPosition="0">
        <references count="6">
          <reference field="0" count="1" selected="0">
            <x v="262"/>
          </reference>
          <reference field="1" count="1" selected="0">
            <x v="51"/>
          </reference>
          <reference field="2" count="1" selected="0">
            <x v="0"/>
          </reference>
          <reference field="3" count="1" selected="0">
            <x v="7"/>
          </reference>
          <reference field="4" count="1" selected="0">
            <x v="3"/>
          </reference>
          <reference field="16" count="1">
            <x v="1"/>
          </reference>
        </references>
      </pivotArea>
    </format>
    <format dxfId="1438">
      <pivotArea dataOnly="0" labelOnly="1" outline="0" fieldPosition="0">
        <references count="6">
          <reference field="0" count="1" selected="0">
            <x v="263"/>
          </reference>
          <reference field="1" count="1" selected="0">
            <x v="50"/>
          </reference>
          <reference field="2" count="1" selected="0">
            <x v="3"/>
          </reference>
          <reference field="3" count="1" selected="0">
            <x v="6"/>
          </reference>
          <reference field="4" count="1" selected="0">
            <x v="1"/>
          </reference>
          <reference field="16" count="1">
            <x v="1"/>
          </reference>
        </references>
      </pivotArea>
    </format>
    <format dxfId="1437">
      <pivotArea dataOnly="0" labelOnly="1" outline="0" fieldPosition="0">
        <references count="6">
          <reference field="0" count="1" selected="0">
            <x v="264"/>
          </reference>
          <reference field="1" count="1" selected="0">
            <x v="36"/>
          </reference>
          <reference field="2" count="1" selected="0">
            <x v="1"/>
          </reference>
          <reference field="3" count="1" selected="0">
            <x v="6"/>
          </reference>
          <reference field="4" count="1" selected="0">
            <x v="1"/>
          </reference>
          <reference field="16" count="1">
            <x v="0"/>
          </reference>
        </references>
      </pivotArea>
    </format>
    <format dxfId="1436">
      <pivotArea dataOnly="0" labelOnly="1" outline="0" fieldPosition="0">
        <references count="6">
          <reference field="0" count="1" selected="0">
            <x v="265"/>
          </reference>
          <reference field="1" count="1" selected="0">
            <x v="18"/>
          </reference>
          <reference field="2" count="1" selected="0">
            <x v="2"/>
          </reference>
          <reference field="3" count="1" selected="0">
            <x v="7"/>
          </reference>
          <reference field="4" count="1" selected="0">
            <x v="3"/>
          </reference>
          <reference field="16" count="1">
            <x v="0"/>
          </reference>
        </references>
      </pivotArea>
    </format>
    <format dxfId="1435">
      <pivotArea dataOnly="0" labelOnly="1" outline="0" fieldPosition="0">
        <references count="6">
          <reference field="0" count="1" selected="0">
            <x v="266"/>
          </reference>
          <reference field="1" count="1" selected="0">
            <x v="49"/>
          </reference>
          <reference field="2" count="1" selected="0">
            <x v="3"/>
          </reference>
          <reference field="3" count="1" selected="0">
            <x v="5"/>
          </reference>
          <reference field="4" count="1" selected="0">
            <x v="3"/>
          </reference>
          <reference field="16" count="1">
            <x v="0"/>
          </reference>
        </references>
      </pivotArea>
    </format>
    <format dxfId="1434">
      <pivotArea dataOnly="0" labelOnly="1" outline="0" fieldPosition="0">
        <references count="6">
          <reference field="0" count="1" selected="0">
            <x v="267"/>
          </reference>
          <reference field="1" count="1" selected="0">
            <x v="32"/>
          </reference>
          <reference field="2" count="1" selected="0">
            <x v="1"/>
          </reference>
          <reference field="3" count="1" selected="0">
            <x v="7"/>
          </reference>
          <reference field="4" count="1" selected="0">
            <x v="2"/>
          </reference>
          <reference field="16" count="1">
            <x v="0"/>
          </reference>
        </references>
      </pivotArea>
    </format>
    <format dxfId="1433">
      <pivotArea dataOnly="0" labelOnly="1" outline="0" fieldPosition="0">
        <references count="6">
          <reference field="0" count="1" selected="0">
            <x v="268"/>
          </reference>
          <reference field="1" count="1" selected="0">
            <x v="18"/>
          </reference>
          <reference field="2" count="1" selected="0">
            <x v="2"/>
          </reference>
          <reference field="3" count="1" selected="0">
            <x v="2"/>
          </reference>
          <reference field="4" count="1" selected="0">
            <x v="3"/>
          </reference>
          <reference field="16" count="1">
            <x v="0"/>
          </reference>
        </references>
      </pivotArea>
    </format>
    <format dxfId="1432">
      <pivotArea dataOnly="0" labelOnly="1" outline="0" fieldPosition="0">
        <references count="6">
          <reference field="0" count="1" selected="0">
            <x v="269"/>
          </reference>
          <reference field="1" count="1" selected="0">
            <x v="26"/>
          </reference>
          <reference field="2" count="1" selected="0">
            <x v="5"/>
          </reference>
          <reference field="3" count="1" selected="0">
            <x v="2"/>
          </reference>
          <reference field="4" count="1" selected="0">
            <x v="0"/>
          </reference>
          <reference field="16" count="1">
            <x v="0"/>
          </reference>
        </references>
      </pivotArea>
    </format>
    <format dxfId="1431">
      <pivotArea dataOnly="0" labelOnly="1" outline="0" fieldPosition="0">
        <references count="6">
          <reference field="0" count="1" selected="0">
            <x v="270"/>
          </reference>
          <reference field="1" count="1" selected="0">
            <x v="5"/>
          </reference>
          <reference field="2" count="1" selected="0">
            <x v="0"/>
          </reference>
          <reference field="3" count="1" selected="0">
            <x v="2"/>
          </reference>
          <reference field="4" count="1" selected="0">
            <x v="2"/>
          </reference>
          <reference field="16" count="1">
            <x v="0"/>
          </reference>
        </references>
      </pivotArea>
    </format>
    <format dxfId="1430">
      <pivotArea dataOnly="0" labelOnly="1" outline="0" fieldPosition="0">
        <references count="6">
          <reference field="0" count="1" selected="0">
            <x v="271"/>
          </reference>
          <reference field="1" count="1" selected="0">
            <x v="30"/>
          </reference>
          <reference field="2" count="1" selected="0">
            <x v="1"/>
          </reference>
          <reference field="3" count="1" selected="0">
            <x v="4"/>
          </reference>
          <reference field="4" count="1" selected="0">
            <x v="2"/>
          </reference>
          <reference field="16" count="1">
            <x v="1"/>
          </reference>
        </references>
      </pivotArea>
    </format>
    <format dxfId="1429">
      <pivotArea dataOnly="0" labelOnly="1" outline="0" fieldPosition="0">
        <references count="6">
          <reference field="0" count="1" selected="0">
            <x v="272"/>
          </reference>
          <reference field="1" count="1" selected="0">
            <x v="40"/>
          </reference>
          <reference field="2" count="1" selected="0">
            <x v="2"/>
          </reference>
          <reference field="3" count="1" selected="0">
            <x v="4"/>
          </reference>
          <reference field="4" count="1" selected="0">
            <x v="3"/>
          </reference>
          <reference field="16" count="1">
            <x v="1"/>
          </reference>
        </references>
      </pivotArea>
    </format>
    <format dxfId="1428">
      <pivotArea dataOnly="0" labelOnly="1" outline="0" fieldPosition="0">
        <references count="6">
          <reference field="0" count="1" selected="0">
            <x v="273"/>
          </reference>
          <reference field="1" count="1" selected="0">
            <x v="54"/>
          </reference>
          <reference field="2" count="1" selected="0">
            <x v="2"/>
          </reference>
          <reference field="3" count="1" selected="0">
            <x v="1"/>
          </reference>
          <reference field="4" count="1" selected="0">
            <x v="4"/>
          </reference>
          <reference field="16" count="1">
            <x v="0"/>
          </reference>
        </references>
      </pivotArea>
    </format>
    <format dxfId="1427">
      <pivotArea dataOnly="0" labelOnly="1" outline="0" fieldPosition="0">
        <references count="6">
          <reference field="0" count="1" selected="0">
            <x v="274"/>
          </reference>
          <reference field="1" count="1" selected="0">
            <x v="32"/>
          </reference>
          <reference field="2" count="1" selected="0">
            <x v="1"/>
          </reference>
          <reference field="3" count="1" selected="0">
            <x v="2"/>
          </reference>
          <reference field="4" count="1" selected="0">
            <x v="1"/>
          </reference>
          <reference field="16" count="1">
            <x v="0"/>
          </reference>
        </references>
      </pivotArea>
    </format>
    <format dxfId="1426">
      <pivotArea dataOnly="0" labelOnly="1" outline="0" fieldPosition="0">
        <references count="6">
          <reference field="0" count="1" selected="0">
            <x v="275"/>
          </reference>
          <reference field="1" count="1" selected="0">
            <x v="47"/>
          </reference>
          <reference field="2" count="1" selected="0">
            <x v="0"/>
          </reference>
          <reference field="3" count="1" selected="0">
            <x v="2"/>
          </reference>
          <reference field="4" count="1" selected="0">
            <x v="3"/>
          </reference>
          <reference field="16" count="1">
            <x v="0"/>
          </reference>
        </references>
      </pivotArea>
    </format>
    <format dxfId="1425">
      <pivotArea dataOnly="0" labelOnly="1" outline="0" fieldPosition="0">
        <references count="6">
          <reference field="0" count="1" selected="0">
            <x v="276"/>
          </reference>
          <reference field="1" count="1" selected="0">
            <x v="58"/>
          </reference>
          <reference field="2" count="1" selected="0">
            <x v="1"/>
          </reference>
          <reference field="3" count="1" selected="0">
            <x v="0"/>
          </reference>
          <reference field="4" count="1" selected="0">
            <x v="3"/>
          </reference>
          <reference field="16" count="1">
            <x v="0"/>
          </reference>
        </references>
      </pivotArea>
    </format>
    <format dxfId="1424">
      <pivotArea dataOnly="0" labelOnly="1" outline="0" fieldPosition="0">
        <references count="6">
          <reference field="0" count="1" selected="0">
            <x v="277"/>
          </reference>
          <reference field="1" count="1" selected="0">
            <x v="9"/>
          </reference>
          <reference field="2" count="1" selected="0">
            <x v="3"/>
          </reference>
          <reference field="3" count="1" selected="0">
            <x v="5"/>
          </reference>
          <reference field="4" count="1" selected="0">
            <x v="3"/>
          </reference>
          <reference field="16" count="1">
            <x v="0"/>
          </reference>
        </references>
      </pivotArea>
    </format>
    <format dxfId="1423">
      <pivotArea dataOnly="0" labelOnly="1" outline="0" fieldPosition="0">
        <references count="6">
          <reference field="0" count="1" selected="0">
            <x v="278"/>
          </reference>
          <reference field="1" count="1" selected="0">
            <x v="12"/>
          </reference>
          <reference field="2" count="1" selected="0">
            <x v="4"/>
          </reference>
          <reference field="3" count="1" selected="0">
            <x v="3"/>
          </reference>
          <reference field="4" count="1" selected="0">
            <x v="3"/>
          </reference>
          <reference field="16" count="1">
            <x v="0"/>
          </reference>
        </references>
      </pivotArea>
    </format>
    <format dxfId="1422">
      <pivotArea dataOnly="0" labelOnly="1" outline="0" fieldPosition="0">
        <references count="6">
          <reference field="0" count="1" selected="0">
            <x v="279"/>
          </reference>
          <reference field="1" count="1" selected="0">
            <x v="28"/>
          </reference>
          <reference field="2" count="1" selected="0">
            <x v="3"/>
          </reference>
          <reference field="3" count="1" selected="0">
            <x v="7"/>
          </reference>
          <reference field="4" count="1" selected="0">
            <x v="3"/>
          </reference>
          <reference field="16" count="1">
            <x v="1"/>
          </reference>
        </references>
      </pivotArea>
    </format>
    <format dxfId="1421">
      <pivotArea dataOnly="0" labelOnly="1" outline="0" fieldPosition="0">
        <references count="6">
          <reference field="0" count="1" selected="0">
            <x v="280"/>
          </reference>
          <reference field="1" count="1" selected="0">
            <x v="39"/>
          </reference>
          <reference field="2" count="1" selected="0">
            <x v="2"/>
          </reference>
          <reference field="3" count="1" selected="0">
            <x v="2"/>
          </reference>
          <reference field="4" count="1" selected="0">
            <x v="0"/>
          </reference>
          <reference field="16" count="1">
            <x v="0"/>
          </reference>
        </references>
      </pivotArea>
    </format>
    <format dxfId="1420">
      <pivotArea dataOnly="0" labelOnly="1" outline="0" fieldPosition="0">
        <references count="6">
          <reference field="0" count="1" selected="0">
            <x v="281"/>
          </reference>
          <reference field="1" count="1" selected="0">
            <x v="51"/>
          </reference>
          <reference field="2" count="1" selected="0">
            <x v="0"/>
          </reference>
          <reference field="3" count="1" selected="0">
            <x v="0"/>
          </reference>
          <reference field="4" count="1" selected="0">
            <x v="1"/>
          </reference>
          <reference field="16" count="1">
            <x v="1"/>
          </reference>
        </references>
      </pivotArea>
    </format>
    <format dxfId="1419">
      <pivotArea dataOnly="0" labelOnly="1" outline="0" fieldPosition="0">
        <references count="6">
          <reference field="0" count="1" selected="0">
            <x v="282"/>
          </reference>
          <reference field="1" count="1" selected="0">
            <x v="1"/>
          </reference>
          <reference field="2" count="1" selected="0">
            <x v="5"/>
          </reference>
          <reference field="3" count="1" selected="0">
            <x v="4"/>
          </reference>
          <reference field="4" count="1" selected="0">
            <x v="3"/>
          </reference>
          <reference field="16" count="1">
            <x v="0"/>
          </reference>
        </references>
      </pivotArea>
    </format>
    <format dxfId="1418">
      <pivotArea dataOnly="0" labelOnly="1" outline="0" fieldPosition="0">
        <references count="6">
          <reference field="0" count="1" selected="0">
            <x v="283"/>
          </reference>
          <reference field="1" count="1" selected="0">
            <x v="18"/>
          </reference>
          <reference field="2" count="1" selected="0">
            <x v="2"/>
          </reference>
          <reference field="3" count="1" selected="0">
            <x v="2"/>
          </reference>
          <reference field="4" count="1" selected="0">
            <x v="2"/>
          </reference>
          <reference field="16" count="1">
            <x v="1"/>
          </reference>
        </references>
      </pivotArea>
    </format>
    <format dxfId="1417">
      <pivotArea dataOnly="0" labelOnly="1" outline="0" fieldPosition="0">
        <references count="6">
          <reference field="0" count="1" selected="0">
            <x v="284"/>
          </reference>
          <reference field="1" count="1" selected="0">
            <x v="34"/>
          </reference>
          <reference field="2" count="1" selected="0">
            <x v="5"/>
          </reference>
          <reference field="3" count="1" selected="0">
            <x v="1"/>
          </reference>
          <reference field="4" count="1" selected="0">
            <x v="0"/>
          </reference>
          <reference field="16" count="1">
            <x v="0"/>
          </reference>
        </references>
      </pivotArea>
    </format>
    <format dxfId="1416">
      <pivotArea dataOnly="0" labelOnly="1" outline="0" fieldPosition="0">
        <references count="6">
          <reference field="0" count="1" selected="0">
            <x v="285"/>
          </reference>
          <reference field="1" count="1" selected="0">
            <x v="58"/>
          </reference>
          <reference field="2" count="1" selected="0">
            <x v="1"/>
          </reference>
          <reference field="3" count="1" selected="0">
            <x v="2"/>
          </reference>
          <reference field="4" count="1" selected="0">
            <x v="2"/>
          </reference>
          <reference field="16" count="1">
            <x v="0"/>
          </reference>
        </references>
      </pivotArea>
    </format>
    <format dxfId="1415">
      <pivotArea dataOnly="0" labelOnly="1" outline="0" fieldPosition="0">
        <references count="6">
          <reference field="0" count="1" selected="0">
            <x v="286"/>
          </reference>
          <reference field="1" count="1" selected="0">
            <x v="47"/>
          </reference>
          <reference field="2" count="1" selected="0">
            <x v="0"/>
          </reference>
          <reference field="3" count="1" selected="0">
            <x v="5"/>
          </reference>
          <reference field="4" count="1" selected="0">
            <x v="2"/>
          </reference>
          <reference field="16" count="1">
            <x v="0"/>
          </reference>
        </references>
      </pivotArea>
    </format>
    <format dxfId="1414">
      <pivotArea dataOnly="0" labelOnly="1" outline="0" fieldPosition="0">
        <references count="6">
          <reference field="0" count="1" selected="0">
            <x v="287"/>
          </reference>
          <reference field="1" count="1" selected="0">
            <x v="27"/>
          </reference>
          <reference field="2" count="1" selected="0">
            <x v="0"/>
          </reference>
          <reference field="3" count="1" selected="0">
            <x v="3"/>
          </reference>
          <reference field="4" count="1" selected="0">
            <x v="4"/>
          </reference>
          <reference field="16" count="1">
            <x v="1"/>
          </reference>
        </references>
      </pivotArea>
    </format>
    <format dxfId="1413">
      <pivotArea dataOnly="0" labelOnly="1" outline="0" fieldPosition="0">
        <references count="6">
          <reference field="0" count="1" selected="0">
            <x v="288"/>
          </reference>
          <reference field="1" count="1" selected="0">
            <x v="46"/>
          </reference>
          <reference field="2" count="1" selected="0">
            <x v="3"/>
          </reference>
          <reference field="3" count="1" selected="0">
            <x v="4"/>
          </reference>
          <reference field="4" count="1" selected="0">
            <x v="0"/>
          </reference>
          <reference field="16" count="1">
            <x v="0"/>
          </reference>
        </references>
      </pivotArea>
    </format>
    <format dxfId="1412">
      <pivotArea dataOnly="0" labelOnly="1" outline="0" fieldPosition="0">
        <references count="6">
          <reference field="0" count="1" selected="0">
            <x v="289"/>
          </reference>
          <reference field="1" count="1" selected="0">
            <x v="53"/>
          </reference>
          <reference field="2" count="1" selected="0">
            <x v="1"/>
          </reference>
          <reference field="3" count="1" selected="0">
            <x v="0"/>
          </reference>
          <reference field="4" count="1" selected="0">
            <x v="0"/>
          </reference>
          <reference field="16" count="1">
            <x v="0"/>
          </reference>
        </references>
      </pivotArea>
    </format>
    <format dxfId="1411">
      <pivotArea dataOnly="0" labelOnly="1" outline="0" fieldPosition="0">
        <references count="6">
          <reference field="0" count="1" selected="0">
            <x v="290"/>
          </reference>
          <reference field="1" count="1" selected="0">
            <x v="41"/>
          </reference>
          <reference field="2" count="1" selected="0">
            <x v="0"/>
          </reference>
          <reference field="3" count="1" selected="0">
            <x v="3"/>
          </reference>
          <reference field="4" count="1" selected="0">
            <x v="4"/>
          </reference>
          <reference field="16" count="1">
            <x v="0"/>
          </reference>
        </references>
      </pivotArea>
    </format>
    <format dxfId="1410">
      <pivotArea dataOnly="0" labelOnly="1" outline="0" fieldPosition="0">
        <references count="6">
          <reference field="0" count="1" selected="0">
            <x v="291"/>
          </reference>
          <reference field="1" count="1" selected="0">
            <x v="3"/>
          </reference>
          <reference field="2" count="1" selected="0">
            <x v="4"/>
          </reference>
          <reference field="3" count="1" selected="0">
            <x v="2"/>
          </reference>
          <reference field="4" count="1" selected="0">
            <x v="3"/>
          </reference>
          <reference field="16" count="1">
            <x v="0"/>
          </reference>
        </references>
      </pivotArea>
    </format>
    <format dxfId="1409">
      <pivotArea dataOnly="0" labelOnly="1" outline="0" fieldPosition="0">
        <references count="6">
          <reference field="0" count="1" selected="0">
            <x v="292"/>
          </reference>
          <reference field="1" count="1" selected="0">
            <x v="56"/>
          </reference>
          <reference field="2" count="1" selected="0">
            <x v="4"/>
          </reference>
          <reference field="3" count="1" selected="0">
            <x v="5"/>
          </reference>
          <reference field="4" count="1" selected="0">
            <x v="2"/>
          </reference>
          <reference field="16" count="1">
            <x v="1"/>
          </reference>
        </references>
      </pivotArea>
    </format>
    <format dxfId="1408">
      <pivotArea dataOnly="0" labelOnly="1" outline="0" fieldPosition="0">
        <references count="6">
          <reference field="0" count="1" selected="0">
            <x v="293"/>
          </reference>
          <reference field="1" count="1" selected="0">
            <x v="25"/>
          </reference>
          <reference field="2" count="1" selected="0">
            <x v="1"/>
          </reference>
          <reference field="3" count="1" selected="0">
            <x v="5"/>
          </reference>
          <reference field="4" count="1" selected="0">
            <x v="3"/>
          </reference>
          <reference field="16" count="1">
            <x v="1"/>
          </reference>
        </references>
      </pivotArea>
    </format>
    <format dxfId="1407">
      <pivotArea dataOnly="0" labelOnly="1" outline="0" fieldPosition="0">
        <references count="6">
          <reference field="0" count="1" selected="0">
            <x v="294"/>
          </reference>
          <reference field="1" count="1" selected="0">
            <x v="14"/>
          </reference>
          <reference field="2" count="1" selected="0">
            <x v="4"/>
          </reference>
          <reference field="3" count="1" selected="0">
            <x v="0"/>
          </reference>
          <reference field="4" count="1" selected="0">
            <x v="0"/>
          </reference>
          <reference field="16" count="1">
            <x v="1"/>
          </reference>
        </references>
      </pivotArea>
    </format>
    <format dxfId="1406">
      <pivotArea dataOnly="0" labelOnly="1" outline="0" fieldPosition="0">
        <references count="6">
          <reference field="0" count="1" selected="0">
            <x v="295"/>
          </reference>
          <reference field="1" count="1" selected="0">
            <x v="5"/>
          </reference>
          <reference field="2" count="1" selected="0">
            <x v="0"/>
          </reference>
          <reference field="3" count="1" selected="0">
            <x v="4"/>
          </reference>
          <reference field="4" count="1" selected="0">
            <x v="4"/>
          </reference>
          <reference field="16" count="1">
            <x v="1"/>
          </reference>
        </references>
      </pivotArea>
    </format>
    <format dxfId="1405">
      <pivotArea dataOnly="0" labelOnly="1" outline="0" fieldPosition="0">
        <references count="6">
          <reference field="0" count="1" selected="0">
            <x v="296"/>
          </reference>
          <reference field="1" count="1" selected="0">
            <x v="28"/>
          </reference>
          <reference field="2" count="1" selected="0">
            <x v="3"/>
          </reference>
          <reference field="3" count="1" selected="0">
            <x v="7"/>
          </reference>
          <reference field="4" count="1" selected="0">
            <x v="4"/>
          </reference>
          <reference field="16" count="1">
            <x v="0"/>
          </reference>
        </references>
      </pivotArea>
    </format>
    <format dxfId="1404">
      <pivotArea dataOnly="0" labelOnly="1" outline="0" fieldPosition="0">
        <references count="6">
          <reference field="0" count="1" selected="0">
            <x v="297"/>
          </reference>
          <reference field="1" count="1" selected="0">
            <x v="20"/>
          </reference>
          <reference field="2" count="1" selected="0">
            <x v="4"/>
          </reference>
          <reference field="3" count="1" selected="0">
            <x v="0"/>
          </reference>
          <reference field="4" count="1" selected="0">
            <x v="3"/>
          </reference>
          <reference field="16" count="1">
            <x v="1"/>
          </reference>
        </references>
      </pivotArea>
    </format>
    <format dxfId="1403">
      <pivotArea dataOnly="0" labelOnly="1" outline="0" fieldPosition="0">
        <references count="6">
          <reference field="0" count="1" selected="0">
            <x v="298"/>
          </reference>
          <reference field="1" count="1" selected="0">
            <x v="42"/>
          </reference>
          <reference field="2" count="1" selected="0">
            <x v="2"/>
          </reference>
          <reference field="3" count="1" selected="0">
            <x v="2"/>
          </reference>
          <reference field="4" count="1" selected="0">
            <x v="1"/>
          </reference>
          <reference field="16" count="1">
            <x v="0"/>
          </reference>
        </references>
      </pivotArea>
    </format>
    <format dxfId="1402">
      <pivotArea dataOnly="0" labelOnly="1" outline="0" fieldPosition="0">
        <references count="6">
          <reference field="0" count="1" selected="0">
            <x v="299"/>
          </reference>
          <reference field="1" count="1" selected="0">
            <x v="39"/>
          </reference>
          <reference field="2" count="1" selected="0">
            <x v="2"/>
          </reference>
          <reference field="3" count="1" selected="0">
            <x v="3"/>
          </reference>
          <reference field="4" count="1" selected="0">
            <x v="1"/>
          </reference>
          <reference field="16" count="1">
            <x v="0"/>
          </reference>
        </references>
      </pivotArea>
    </format>
    <format dxfId="1401">
      <pivotArea dataOnly="0" labelOnly="1" outline="0" fieldPosition="0">
        <references count="1">
          <reference field="4294967294" count="4">
            <x v="0"/>
            <x v="1"/>
            <x v="2"/>
            <x v="3"/>
          </reference>
        </references>
      </pivotArea>
    </format>
    <format dxfId="1400">
      <pivotArea type="all" dataOnly="0" outline="0" fieldPosition="0"/>
    </format>
    <format dxfId="1399">
      <pivotArea outline="0" collapsedLevelsAreSubtotals="1" fieldPosition="0"/>
    </format>
    <format dxfId="1398">
      <pivotArea field="0" type="button" dataOnly="0" labelOnly="1" outline="0" axis="axisRow" fieldPosition="0"/>
    </format>
    <format dxfId="1397">
      <pivotArea field="1" type="button" dataOnly="0" labelOnly="1" outline="0" axis="axisRow" fieldPosition="1"/>
    </format>
    <format dxfId="1396">
      <pivotArea field="2" type="button" dataOnly="0" labelOnly="1" outline="0" axis="axisRow" fieldPosition="2"/>
    </format>
    <format dxfId="1395">
      <pivotArea field="3" type="button" dataOnly="0" labelOnly="1" outline="0" axis="axisRow" fieldPosition="3"/>
    </format>
    <format dxfId="1394">
      <pivotArea field="4" type="button" dataOnly="0" labelOnly="1" outline="0" axis="axisRow" fieldPosition="4"/>
    </format>
    <format dxfId="1393">
      <pivotArea field="16" type="button" dataOnly="0" labelOnly="1" outline="0" axis="axisRow" fieldPosition="5"/>
    </format>
    <format dxfId="1392">
      <pivotArea dataOnly="0" labelOnly="1" outline="0"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391">
      <pivotArea dataOnly="0" labelOnly="1" outline="0" fieldPosition="0">
        <references count="1">
          <reference field="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1390">
      <pivotArea dataOnly="0" labelOnly="1" outline="0" fieldPosition="0">
        <references count="1">
          <reference field="0"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1389">
      <pivotArea dataOnly="0" labelOnly="1" outline="0" fieldPosition="0">
        <references count="1">
          <reference field="0"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1388">
      <pivotArea dataOnly="0" labelOnly="1" outline="0" fieldPosition="0">
        <references count="1">
          <reference field="0"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1387">
      <pivotArea dataOnly="0" labelOnly="1" outline="0" fieldPosition="0">
        <references count="1">
          <reference field="0"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1386">
      <pivotArea dataOnly="0" labelOnly="1" outline="0" fieldPosition="0">
        <references count="2">
          <reference field="0" count="1" selected="0">
            <x v="0"/>
          </reference>
          <reference field="1" count="1">
            <x v="0"/>
          </reference>
        </references>
      </pivotArea>
    </format>
    <format dxfId="1385">
      <pivotArea dataOnly="0" labelOnly="1" outline="0" fieldPosition="0">
        <references count="2">
          <reference field="0" count="1" selected="0">
            <x v="1"/>
          </reference>
          <reference field="1" count="1">
            <x v="58"/>
          </reference>
        </references>
      </pivotArea>
    </format>
    <format dxfId="1384">
      <pivotArea dataOnly="0" labelOnly="1" outline="0" fieldPosition="0">
        <references count="2">
          <reference field="0" count="1" selected="0">
            <x v="2"/>
          </reference>
          <reference field="1" count="1">
            <x v="35"/>
          </reference>
        </references>
      </pivotArea>
    </format>
    <format dxfId="1383">
      <pivotArea dataOnly="0" labelOnly="1" outline="0" fieldPosition="0">
        <references count="2">
          <reference field="0" count="1" selected="0">
            <x v="3"/>
          </reference>
          <reference field="1" count="1">
            <x v="33"/>
          </reference>
        </references>
      </pivotArea>
    </format>
    <format dxfId="1382">
      <pivotArea dataOnly="0" labelOnly="1" outline="0" fieldPosition="0">
        <references count="2">
          <reference field="0" count="1" selected="0">
            <x v="4"/>
          </reference>
          <reference field="1" count="1">
            <x v="8"/>
          </reference>
        </references>
      </pivotArea>
    </format>
    <format dxfId="1381">
      <pivotArea dataOnly="0" labelOnly="1" outline="0" fieldPosition="0">
        <references count="2">
          <reference field="0" count="1" selected="0">
            <x v="5"/>
          </reference>
          <reference field="1" count="1">
            <x v="36"/>
          </reference>
        </references>
      </pivotArea>
    </format>
    <format dxfId="1380">
      <pivotArea dataOnly="0" labelOnly="1" outline="0" fieldPosition="0">
        <references count="2">
          <reference field="0" count="1" selected="0">
            <x v="6"/>
          </reference>
          <reference field="1" count="1">
            <x v="23"/>
          </reference>
        </references>
      </pivotArea>
    </format>
    <format dxfId="1379">
      <pivotArea dataOnly="0" labelOnly="1" outline="0" fieldPosition="0">
        <references count="2">
          <reference field="0" count="1" selected="0">
            <x v="7"/>
          </reference>
          <reference field="1" count="1">
            <x v="16"/>
          </reference>
        </references>
      </pivotArea>
    </format>
    <format dxfId="1378">
      <pivotArea dataOnly="0" labelOnly="1" outline="0" fieldPosition="0">
        <references count="2">
          <reference field="0" count="1" selected="0">
            <x v="8"/>
          </reference>
          <reference field="1" count="1">
            <x v="9"/>
          </reference>
        </references>
      </pivotArea>
    </format>
    <format dxfId="1377">
      <pivotArea dataOnly="0" labelOnly="1" outline="0" fieldPosition="0">
        <references count="2">
          <reference field="0" count="1" selected="0">
            <x v="9"/>
          </reference>
          <reference field="1" count="1">
            <x v="50"/>
          </reference>
        </references>
      </pivotArea>
    </format>
    <format dxfId="1376">
      <pivotArea dataOnly="0" labelOnly="1" outline="0" fieldPosition="0">
        <references count="2">
          <reference field="0" count="1" selected="0">
            <x v="10"/>
          </reference>
          <reference field="1" count="1">
            <x v="14"/>
          </reference>
        </references>
      </pivotArea>
    </format>
    <format dxfId="1375">
      <pivotArea dataOnly="0" labelOnly="1" outline="0" fieldPosition="0">
        <references count="2">
          <reference field="0" count="1" selected="0">
            <x v="11"/>
          </reference>
          <reference field="1" count="1">
            <x v="27"/>
          </reference>
        </references>
      </pivotArea>
    </format>
    <format dxfId="1374">
      <pivotArea dataOnly="0" labelOnly="1" outline="0" fieldPosition="0">
        <references count="2">
          <reference field="0" count="1" selected="0">
            <x v="12"/>
          </reference>
          <reference field="1" count="1">
            <x v="28"/>
          </reference>
        </references>
      </pivotArea>
    </format>
    <format dxfId="1373">
      <pivotArea dataOnly="0" labelOnly="1" outline="0" fieldPosition="0">
        <references count="2">
          <reference field="0" count="1" selected="0">
            <x v="13"/>
          </reference>
          <reference field="1" count="1">
            <x v="37"/>
          </reference>
        </references>
      </pivotArea>
    </format>
    <format dxfId="1372">
      <pivotArea dataOnly="0" labelOnly="1" outline="0" fieldPosition="0">
        <references count="2">
          <reference field="0" count="1" selected="0">
            <x v="14"/>
          </reference>
          <reference field="1" count="1">
            <x v="15"/>
          </reference>
        </references>
      </pivotArea>
    </format>
    <format dxfId="1371">
      <pivotArea dataOnly="0" labelOnly="1" outline="0" fieldPosition="0">
        <references count="2">
          <reference field="0" count="1" selected="0">
            <x v="15"/>
          </reference>
          <reference field="1" count="1">
            <x v="9"/>
          </reference>
        </references>
      </pivotArea>
    </format>
    <format dxfId="1370">
      <pivotArea dataOnly="0" labelOnly="1" outline="0" fieldPosition="0">
        <references count="2">
          <reference field="0" count="1" selected="0">
            <x v="16"/>
          </reference>
          <reference field="1" count="1">
            <x v="3"/>
          </reference>
        </references>
      </pivotArea>
    </format>
    <format dxfId="1369">
      <pivotArea dataOnly="0" labelOnly="1" outline="0" fieldPosition="0">
        <references count="2">
          <reference field="0" count="1" selected="0">
            <x v="17"/>
          </reference>
          <reference field="1" count="1">
            <x v="58"/>
          </reference>
        </references>
      </pivotArea>
    </format>
    <format dxfId="1368">
      <pivotArea dataOnly="0" labelOnly="1" outline="0" fieldPosition="0">
        <references count="2">
          <reference field="0" count="1" selected="0">
            <x v="18"/>
          </reference>
          <reference field="1" count="1">
            <x v="40"/>
          </reference>
        </references>
      </pivotArea>
    </format>
    <format dxfId="1367">
      <pivotArea dataOnly="0" labelOnly="1" outline="0" fieldPosition="0">
        <references count="2">
          <reference field="0" count="1" selected="0">
            <x v="19"/>
          </reference>
          <reference field="1" count="1">
            <x v="12"/>
          </reference>
        </references>
      </pivotArea>
    </format>
    <format dxfId="1366">
      <pivotArea dataOnly="0" labelOnly="1" outline="0" fieldPosition="0">
        <references count="2">
          <reference field="0" count="1" selected="0">
            <x v="20"/>
          </reference>
          <reference field="1" count="1">
            <x v="17"/>
          </reference>
        </references>
      </pivotArea>
    </format>
    <format dxfId="1365">
      <pivotArea dataOnly="0" labelOnly="1" outline="0" fieldPosition="0">
        <references count="2">
          <reference field="0" count="1" selected="0">
            <x v="21"/>
          </reference>
          <reference field="1" count="1">
            <x v="4"/>
          </reference>
        </references>
      </pivotArea>
    </format>
    <format dxfId="1364">
      <pivotArea dataOnly="0" labelOnly="1" outline="0" fieldPosition="0">
        <references count="2">
          <reference field="0" count="1" selected="0">
            <x v="22"/>
          </reference>
          <reference field="1" count="1">
            <x v="49"/>
          </reference>
        </references>
      </pivotArea>
    </format>
    <format dxfId="1363">
      <pivotArea dataOnly="0" labelOnly="1" outline="0" fieldPosition="0">
        <references count="2">
          <reference field="0" count="1" selected="0">
            <x v="23"/>
          </reference>
          <reference field="1" count="1">
            <x v="31"/>
          </reference>
        </references>
      </pivotArea>
    </format>
    <format dxfId="1362">
      <pivotArea dataOnly="0" labelOnly="1" outline="0" fieldPosition="0">
        <references count="2">
          <reference field="0" count="1" selected="0">
            <x v="24"/>
          </reference>
          <reference field="1" count="1">
            <x v="21"/>
          </reference>
        </references>
      </pivotArea>
    </format>
    <format dxfId="1361">
      <pivotArea dataOnly="0" labelOnly="1" outline="0" fieldPosition="0">
        <references count="2">
          <reference field="0" count="1" selected="0">
            <x v="25"/>
          </reference>
          <reference field="1" count="1">
            <x v="23"/>
          </reference>
        </references>
      </pivotArea>
    </format>
    <format dxfId="1360">
      <pivotArea dataOnly="0" labelOnly="1" outline="0" fieldPosition="0">
        <references count="2">
          <reference field="0" count="1" selected="0">
            <x v="26"/>
          </reference>
          <reference field="1" count="1">
            <x v="9"/>
          </reference>
        </references>
      </pivotArea>
    </format>
    <format dxfId="1359">
      <pivotArea dataOnly="0" labelOnly="1" outline="0" fieldPosition="0">
        <references count="2">
          <reference field="0" count="1" selected="0">
            <x v="27"/>
          </reference>
          <reference field="1" count="1">
            <x v="22"/>
          </reference>
        </references>
      </pivotArea>
    </format>
    <format dxfId="1358">
      <pivotArea dataOnly="0" labelOnly="1" outline="0" fieldPosition="0">
        <references count="2">
          <reference field="0" count="1" selected="0">
            <x v="28"/>
          </reference>
          <reference field="1" count="1">
            <x v="19"/>
          </reference>
        </references>
      </pivotArea>
    </format>
    <format dxfId="1357">
      <pivotArea dataOnly="0" labelOnly="1" outline="0" fieldPosition="0">
        <references count="2">
          <reference field="0" count="1" selected="0">
            <x v="29"/>
          </reference>
          <reference field="1" count="1">
            <x v="4"/>
          </reference>
        </references>
      </pivotArea>
    </format>
    <format dxfId="1356">
      <pivotArea dataOnly="0" labelOnly="1" outline="0" fieldPosition="0">
        <references count="2">
          <reference field="0" count="1" selected="0">
            <x v="30"/>
          </reference>
          <reference field="1" count="1">
            <x v="23"/>
          </reference>
        </references>
      </pivotArea>
    </format>
    <format dxfId="1355">
      <pivotArea dataOnly="0" labelOnly="1" outline="0" fieldPosition="0">
        <references count="2">
          <reference field="0" count="1" selected="0">
            <x v="31"/>
          </reference>
          <reference field="1" count="1">
            <x v="34"/>
          </reference>
        </references>
      </pivotArea>
    </format>
    <format dxfId="1354">
      <pivotArea dataOnly="0" labelOnly="1" outline="0" fieldPosition="0">
        <references count="2">
          <reference field="0" count="1" selected="0">
            <x v="32"/>
          </reference>
          <reference field="1" count="1">
            <x v="53"/>
          </reference>
        </references>
      </pivotArea>
    </format>
    <format dxfId="1353">
      <pivotArea dataOnly="0" labelOnly="1" outline="0" fieldPosition="0">
        <references count="2">
          <reference field="0" count="1" selected="0">
            <x v="33"/>
          </reference>
          <reference field="1" count="1">
            <x v="45"/>
          </reference>
        </references>
      </pivotArea>
    </format>
    <format dxfId="1352">
      <pivotArea dataOnly="0" labelOnly="1" outline="0" fieldPosition="0">
        <references count="2">
          <reference field="0" count="1" selected="0">
            <x v="34"/>
          </reference>
          <reference field="1" count="1">
            <x v="49"/>
          </reference>
        </references>
      </pivotArea>
    </format>
    <format dxfId="1351">
      <pivotArea dataOnly="0" labelOnly="1" outline="0" fieldPosition="0">
        <references count="2">
          <reference field="0" count="1" selected="0">
            <x v="35"/>
          </reference>
          <reference field="1" count="1">
            <x v="0"/>
          </reference>
        </references>
      </pivotArea>
    </format>
    <format dxfId="1350">
      <pivotArea dataOnly="0" labelOnly="1" outline="0" fieldPosition="0">
        <references count="2">
          <reference field="0" count="1" selected="0">
            <x v="36"/>
          </reference>
          <reference field="1" count="1">
            <x v="6"/>
          </reference>
        </references>
      </pivotArea>
    </format>
    <format dxfId="1349">
      <pivotArea dataOnly="0" labelOnly="1" outline="0" fieldPosition="0">
        <references count="2">
          <reference field="0" count="1" selected="0">
            <x v="37"/>
          </reference>
          <reference field="1" count="1">
            <x v="4"/>
          </reference>
        </references>
      </pivotArea>
    </format>
    <format dxfId="1348">
      <pivotArea dataOnly="0" labelOnly="1" outline="0" fieldPosition="0">
        <references count="2">
          <reference field="0" count="1" selected="0">
            <x v="38"/>
          </reference>
          <reference field="1" count="1">
            <x v="35"/>
          </reference>
        </references>
      </pivotArea>
    </format>
    <format dxfId="1347">
      <pivotArea dataOnly="0" labelOnly="1" outline="0" fieldPosition="0">
        <references count="2">
          <reference field="0" count="1" selected="0">
            <x v="39"/>
          </reference>
          <reference field="1" count="1">
            <x v="41"/>
          </reference>
        </references>
      </pivotArea>
    </format>
    <format dxfId="1346">
      <pivotArea dataOnly="0" labelOnly="1" outline="0" fieldPosition="0">
        <references count="2">
          <reference field="0" count="1" selected="0">
            <x v="40"/>
          </reference>
          <reference field="1" count="1">
            <x v="47"/>
          </reference>
        </references>
      </pivotArea>
    </format>
    <format dxfId="1345">
      <pivotArea dataOnly="0" labelOnly="1" outline="0" fieldPosition="0">
        <references count="2">
          <reference field="0" count="1" selected="0">
            <x v="41"/>
          </reference>
          <reference field="1" count="1">
            <x v="22"/>
          </reference>
        </references>
      </pivotArea>
    </format>
    <format dxfId="1344">
      <pivotArea dataOnly="0" labelOnly="1" outline="0" fieldPosition="0">
        <references count="2">
          <reference field="0" count="1" selected="0">
            <x v="42"/>
          </reference>
          <reference field="1" count="1">
            <x v="12"/>
          </reference>
        </references>
      </pivotArea>
    </format>
    <format dxfId="1343">
      <pivotArea dataOnly="0" labelOnly="1" outline="0" fieldPosition="0">
        <references count="2">
          <reference field="0" count="1" selected="0">
            <x v="43"/>
          </reference>
          <reference field="1" count="1">
            <x v="30"/>
          </reference>
        </references>
      </pivotArea>
    </format>
    <format dxfId="1342">
      <pivotArea dataOnly="0" labelOnly="1" outline="0" fieldPosition="0">
        <references count="2">
          <reference field="0" count="1" selected="0">
            <x v="44"/>
          </reference>
          <reference field="1" count="1">
            <x v="14"/>
          </reference>
        </references>
      </pivotArea>
    </format>
    <format dxfId="1341">
      <pivotArea dataOnly="0" labelOnly="1" outline="0" fieldPosition="0">
        <references count="2">
          <reference field="0" count="1" selected="0">
            <x v="45"/>
          </reference>
          <reference field="1" count="1">
            <x v="50"/>
          </reference>
        </references>
      </pivotArea>
    </format>
    <format dxfId="1340">
      <pivotArea dataOnly="0" labelOnly="1" outline="0" fieldPosition="0">
        <references count="2">
          <reference field="0" count="1" selected="0">
            <x v="46"/>
          </reference>
          <reference field="1" count="1">
            <x v="42"/>
          </reference>
        </references>
      </pivotArea>
    </format>
    <format dxfId="1339">
      <pivotArea dataOnly="0" labelOnly="1" outline="0" fieldPosition="0">
        <references count="2">
          <reference field="0" count="1" selected="0">
            <x v="47"/>
          </reference>
          <reference field="1" count="1">
            <x v="9"/>
          </reference>
        </references>
      </pivotArea>
    </format>
    <format dxfId="1338">
      <pivotArea dataOnly="0" labelOnly="1" outline="0" fieldPosition="0">
        <references count="2">
          <reference field="0" count="1" selected="0">
            <x v="48"/>
          </reference>
          <reference field="1" count="1">
            <x v="31"/>
          </reference>
        </references>
      </pivotArea>
    </format>
    <format dxfId="1337">
      <pivotArea dataOnly="0" labelOnly="1" outline="0" fieldPosition="0">
        <references count="2">
          <reference field="0" count="1" selected="0">
            <x v="49"/>
          </reference>
          <reference field="1" count="1">
            <x v="14"/>
          </reference>
        </references>
      </pivotArea>
    </format>
    <format dxfId="1336">
      <pivotArea dataOnly="0" labelOnly="1" outline="0" fieldPosition="0">
        <references count="2">
          <reference field="0" count="1" selected="0">
            <x v="50"/>
          </reference>
          <reference field="1" count="1">
            <x v="23"/>
          </reference>
        </references>
      </pivotArea>
    </format>
    <format dxfId="1335">
      <pivotArea dataOnly="0" labelOnly="1" outline="0" fieldPosition="0">
        <references count="2">
          <reference field="0" count="1" selected="0">
            <x v="51"/>
          </reference>
          <reference field="1" count="1">
            <x v="17"/>
          </reference>
        </references>
      </pivotArea>
    </format>
    <format dxfId="1334">
      <pivotArea dataOnly="0" labelOnly="1" outline="0" fieldPosition="0">
        <references count="2">
          <reference field="0" count="1" selected="0">
            <x v="52"/>
          </reference>
          <reference field="1" count="1">
            <x v="16"/>
          </reference>
        </references>
      </pivotArea>
    </format>
    <format dxfId="1333">
      <pivotArea dataOnly="0" labelOnly="1" outline="0" fieldPosition="0">
        <references count="2">
          <reference field="0" count="1" selected="0">
            <x v="53"/>
          </reference>
          <reference field="1" count="1">
            <x v="10"/>
          </reference>
        </references>
      </pivotArea>
    </format>
    <format dxfId="1332">
      <pivotArea dataOnly="0" labelOnly="1" outline="0" fieldPosition="0">
        <references count="2">
          <reference field="0" count="1" selected="0">
            <x v="54"/>
          </reference>
          <reference field="1" count="1">
            <x v="40"/>
          </reference>
        </references>
      </pivotArea>
    </format>
    <format dxfId="1331">
      <pivotArea dataOnly="0" labelOnly="1" outline="0" fieldPosition="0">
        <references count="2">
          <reference field="0" count="1" selected="0">
            <x v="55"/>
          </reference>
          <reference field="1" count="1">
            <x v="13"/>
          </reference>
        </references>
      </pivotArea>
    </format>
    <format dxfId="1330">
      <pivotArea dataOnly="0" labelOnly="1" outline="0" fieldPosition="0">
        <references count="2">
          <reference field="0" count="1" selected="0">
            <x v="56"/>
          </reference>
          <reference field="1" count="1">
            <x v="37"/>
          </reference>
        </references>
      </pivotArea>
    </format>
    <format dxfId="1329">
      <pivotArea dataOnly="0" labelOnly="1" outline="0" fieldPosition="0">
        <references count="2">
          <reference field="0" count="1" selected="0">
            <x v="57"/>
          </reference>
          <reference field="1" count="1">
            <x v="48"/>
          </reference>
        </references>
      </pivotArea>
    </format>
    <format dxfId="1328">
      <pivotArea dataOnly="0" labelOnly="1" outline="0" fieldPosition="0">
        <references count="2">
          <reference field="0" count="1" selected="0">
            <x v="58"/>
          </reference>
          <reference field="1" count="1">
            <x v="44"/>
          </reference>
        </references>
      </pivotArea>
    </format>
    <format dxfId="1327">
      <pivotArea dataOnly="0" labelOnly="1" outline="0" fieldPosition="0">
        <references count="2">
          <reference field="0" count="1" selected="0">
            <x v="59"/>
          </reference>
          <reference field="1" count="1">
            <x v="24"/>
          </reference>
        </references>
      </pivotArea>
    </format>
    <format dxfId="1326">
      <pivotArea dataOnly="0" labelOnly="1" outline="0" fieldPosition="0">
        <references count="2">
          <reference field="0" count="1" selected="0">
            <x v="60"/>
          </reference>
          <reference field="1" count="1">
            <x v="34"/>
          </reference>
        </references>
      </pivotArea>
    </format>
    <format dxfId="1325">
      <pivotArea dataOnly="0" labelOnly="1" outline="0" fieldPosition="0">
        <references count="2">
          <reference field="0" count="1" selected="0">
            <x v="61"/>
          </reference>
          <reference field="1" count="1">
            <x v="59"/>
          </reference>
        </references>
      </pivotArea>
    </format>
    <format dxfId="1324">
      <pivotArea dataOnly="0" labelOnly="1" outline="0" fieldPosition="0">
        <references count="2">
          <reference field="0" count="1" selected="0">
            <x v="62"/>
          </reference>
          <reference field="1" count="1">
            <x v="10"/>
          </reference>
        </references>
      </pivotArea>
    </format>
    <format dxfId="1323">
      <pivotArea dataOnly="0" labelOnly="1" outline="0" fieldPosition="0">
        <references count="2">
          <reference field="0" count="1" selected="0">
            <x v="63"/>
          </reference>
          <reference field="1" count="1">
            <x v="16"/>
          </reference>
        </references>
      </pivotArea>
    </format>
    <format dxfId="1322">
      <pivotArea dataOnly="0" labelOnly="1" outline="0" fieldPosition="0">
        <references count="2">
          <reference field="0" count="1" selected="0">
            <x v="64"/>
          </reference>
          <reference field="1" count="1">
            <x v="4"/>
          </reference>
        </references>
      </pivotArea>
    </format>
    <format dxfId="1321">
      <pivotArea dataOnly="0" labelOnly="1" outline="0" fieldPosition="0">
        <references count="2">
          <reference field="0" count="1" selected="0">
            <x v="65"/>
          </reference>
          <reference field="1" count="1">
            <x v="9"/>
          </reference>
        </references>
      </pivotArea>
    </format>
    <format dxfId="1320">
      <pivotArea dataOnly="0" labelOnly="1" outline="0" fieldPosition="0">
        <references count="2">
          <reference field="0" count="1" selected="0">
            <x v="66"/>
          </reference>
          <reference field="1" count="1">
            <x v="43"/>
          </reference>
        </references>
      </pivotArea>
    </format>
    <format dxfId="1319">
      <pivotArea dataOnly="0" labelOnly="1" outline="0" fieldPosition="0">
        <references count="2">
          <reference field="0" count="1" selected="0">
            <x v="67"/>
          </reference>
          <reference field="1" count="1">
            <x v="44"/>
          </reference>
        </references>
      </pivotArea>
    </format>
    <format dxfId="1318">
      <pivotArea dataOnly="0" labelOnly="1" outline="0" fieldPosition="0">
        <references count="2">
          <reference field="0" count="1" selected="0">
            <x v="68"/>
          </reference>
          <reference field="1" count="1">
            <x v="1"/>
          </reference>
        </references>
      </pivotArea>
    </format>
    <format dxfId="1317">
      <pivotArea dataOnly="0" labelOnly="1" outline="0" fieldPosition="0">
        <references count="2">
          <reference field="0" count="1" selected="0">
            <x v="69"/>
          </reference>
          <reference field="1" count="1">
            <x v="20"/>
          </reference>
        </references>
      </pivotArea>
    </format>
    <format dxfId="1316">
      <pivotArea dataOnly="0" labelOnly="1" outline="0" fieldPosition="0">
        <references count="2">
          <reference field="0" count="1" selected="0">
            <x v="70"/>
          </reference>
          <reference field="1" count="1">
            <x v="1"/>
          </reference>
        </references>
      </pivotArea>
    </format>
    <format dxfId="1315">
      <pivotArea dataOnly="0" labelOnly="1" outline="0" fieldPosition="0">
        <references count="2">
          <reference field="0" count="1" selected="0">
            <x v="71"/>
          </reference>
          <reference field="1" count="1">
            <x v="30"/>
          </reference>
        </references>
      </pivotArea>
    </format>
    <format dxfId="1314">
      <pivotArea dataOnly="0" labelOnly="1" outline="0" fieldPosition="0">
        <references count="2">
          <reference field="0" count="1" selected="0">
            <x v="72"/>
          </reference>
          <reference field="1" count="1">
            <x v="33"/>
          </reference>
        </references>
      </pivotArea>
    </format>
    <format dxfId="1313">
      <pivotArea dataOnly="0" labelOnly="1" outline="0" fieldPosition="0">
        <references count="2">
          <reference field="0" count="1" selected="0">
            <x v="73"/>
          </reference>
          <reference field="1" count="1">
            <x v="44"/>
          </reference>
        </references>
      </pivotArea>
    </format>
    <format dxfId="1312">
      <pivotArea dataOnly="0" labelOnly="1" outline="0" fieldPosition="0">
        <references count="2">
          <reference field="0" count="1" selected="0">
            <x v="74"/>
          </reference>
          <reference field="1" count="1">
            <x v="59"/>
          </reference>
        </references>
      </pivotArea>
    </format>
    <format dxfId="1311">
      <pivotArea dataOnly="0" labelOnly="1" outline="0" fieldPosition="0">
        <references count="2">
          <reference field="0" count="1" selected="0">
            <x v="75"/>
          </reference>
          <reference field="1" count="1">
            <x v="5"/>
          </reference>
        </references>
      </pivotArea>
    </format>
    <format dxfId="1310">
      <pivotArea dataOnly="0" labelOnly="1" outline="0" fieldPosition="0">
        <references count="2">
          <reference field="0" count="1" selected="0">
            <x v="76"/>
          </reference>
          <reference field="1" count="1">
            <x v="55"/>
          </reference>
        </references>
      </pivotArea>
    </format>
    <format dxfId="1309">
      <pivotArea dataOnly="0" labelOnly="1" outline="0" fieldPosition="0">
        <references count="2">
          <reference field="0" count="1" selected="0">
            <x v="77"/>
          </reference>
          <reference field="1" count="1">
            <x v="59"/>
          </reference>
        </references>
      </pivotArea>
    </format>
    <format dxfId="1308">
      <pivotArea dataOnly="0" labelOnly="1" outline="0" fieldPosition="0">
        <references count="2">
          <reference field="0" count="1" selected="0">
            <x v="78"/>
          </reference>
          <reference field="1" count="1">
            <x v="4"/>
          </reference>
        </references>
      </pivotArea>
    </format>
    <format dxfId="1307">
      <pivotArea dataOnly="0" labelOnly="1" outline="0" fieldPosition="0">
        <references count="2">
          <reference field="0" count="1" selected="0">
            <x v="79"/>
          </reference>
          <reference field="1" count="1">
            <x v="9"/>
          </reference>
        </references>
      </pivotArea>
    </format>
    <format dxfId="1306">
      <pivotArea dataOnly="0" labelOnly="1" outline="0" fieldPosition="0">
        <references count="2">
          <reference field="0" count="1" selected="0">
            <x v="80"/>
          </reference>
          <reference field="1" count="1">
            <x v="48"/>
          </reference>
        </references>
      </pivotArea>
    </format>
    <format dxfId="1305">
      <pivotArea dataOnly="0" labelOnly="1" outline="0" fieldPosition="0">
        <references count="2">
          <reference field="0" count="1" selected="0">
            <x v="81"/>
          </reference>
          <reference field="1" count="1">
            <x v="54"/>
          </reference>
        </references>
      </pivotArea>
    </format>
    <format dxfId="1304">
      <pivotArea dataOnly="0" labelOnly="1" outline="0" fieldPosition="0">
        <references count="2">
          <reference field="0" count="1" selected="0">
            <x v="82"/>
          </reference>
          <reference field="1" count="1">
            <x v="52"/>
          </reference>
        </references>
      </pivotArea>
    </format>
    <format dxfId="1303">
      <pivotArea dataOnly="0" labelOnly="1" outline="0" fieldPosition="0">
        <references count="2">
          <reference field="0" count="1" selected="0">
            <x v="83"/>
          </reference>
          <reference field="1" count="1">
            <x v="46"/>
          </reference>
        </references>
      </pivotArea>
    </format>
    <format dxfId="1302">
      <pivotArea dataOnly="0" labelOnly="1" outline="0" fieldPosition="0">
        <references count="2">
          <reference field="0" count="1" selected="0">
            <x v="84"/>
          </reference>
          <reference field="1" count="1">
            <x v="39"/>
          </reference>
        </references>
      </pivotArea>
    </format>
    <format dxfId="1301">
      <pivotArea dataOnly="0" labelOnly="1" outline="0" fieldPosition="0">
        <references count="2">
          <reference field="0" count="1" selected="0">
            <x v="85"/>
          </reference>
          <reference field="1" count="1">
            <x v="10"/>
          </reference>
        </references>
      </pivotArea>
    </format>
    <format dxfId="1300">
      <pivotArea dataOnly="0" labelOnly="1" outline="0" fieldPosition="0">
        <references count="2">
          <reference field="0" count="1" selected="0">
            <x v="86"/>
          </reference>
          <reference field="1" count="1">
            <x v="29"/>
          </reference>
        </references>
      </pivotArea>
    </format>
    <format dxfId="1299">
      <pivotArea dataOnly="0" labelOnly="1" outline="0" fieldPosition="0">
        <references count="2">
          <reference field="0" count="1" selected="0">
            <x v="87"/>
          </reference>
          <reference field="1" count="1">
            <x v="4"/>
          </reference>
        </references>
      </pivotArea>
    </format>
    <format dxfId="1298">
      <pivotArea dataOnly="0" labelOnly="1" outline="0" fieldPosition="0">
        <references count="2">
          <reference field="0" count="1" selected="0">
            <x v="88"/>
          </reference>
          <reference field="1" count="1">
            <x v="2"/>
          </reference>
        </references>
      </pivotArea>
    </format>
    <format dxfId="1297">
      <pivotArea dataOnly="0" labelOnly="1" outline="0" fieldPosition="0">
        <references count="2">
          <reference field="0" count="1" selected="0">
            <x v="89"/>
          </reference>
          <reference field="1" count="1">
            <x v="52"/>
          </reference>
        </references>
      </pivotArea>
    </format>
    <format dxfId="1296">
      <pivotArea dataOnly="0" labelOnly="1" outline="0" fieldPosition="0">
        <references count="2">
          <reference field="0" count="1" selected="0">
            <x v="90"/>
          </reference>
          <reference field="1" count="1">
            <x v="37"/>
          </reference>
        </references>
      </pivotArea>
    </format>
    <format dxfId="1295">
      <pivotArea dataOnly="0" labelOnly="1" outline="0" fieldPosition="0">
        <references count="2">
          <reference field="0" count="1" selected="0">
            <x v="91"/>
          </reference>
          <reference field="1" count="1">
            <x v="51"/>
          </reference>
        </references>
      </pivotArea>
    </format>
    <format dxfId="1294">
      <pivotArea dataOnly="0" labelOnly="1" outline="0" fieldPosition="0">
        <references count="2">
          <reference field="0" count="1" selected="0">
            <x v="92"/>
          </reference>
          <reference field="1" count="1">
            <x v="5"/>
          </reference>
        </references>
      </pivotArea>
    </format>
    <format dxfId="1293">
      <pivotArea dataOnly="0" labelOnly="1" outline="0" fieldPosition="0">
        <references count="2">
          <reference field="0" count="1" selected="0">
            <x v="94"/>
          </reference>
          <reference field="1" count="1">
            <x v="42"/>
          </reference>
        </references>
      </pivotArea>
    </format>
    <format dxfId="1292">
      <pivotArea dataOnly="0" labelOnly="1" outline="0" fieldPosition="0">
        <references count="2">
          <reference field="0" count="1" selected="0">
            <x v="95"/>
          </reference>
          <reference field="1" count="1">
            <x v="51"/>
          </reference>
        </references>
      </pivotArea>
    </format>
    <format dxfId="1291">
      <pivotArea dataOnly="0" labelOnly="1" outline="0" fieldPosition="0">
        <references count="2">
          <reference field="0" count="1" selected="0">
            <x v="96"/>
          </reference>
          <reference field="1" count="1">
            <x v="31"/>
          </reference>
        </references>
      </pivotArea>
    </format>
    <format dxfId="1290">
      <pivotArea dataOnly="0" labelOnly="1" outline="0" fieldPosition="0">
        <references count="2">
          <reference field="0" count="1" selected="0">
            <x v="97"/>
          </reference>
          <reference field="1" count="1">
            <x v="38"/>
          </reference>
        </references>
      </pivotArea>
    </format>
    <format dxfId="1289">
      <pivotArea dataOnly="0" labelOnly="1" outline="0" fieldPosition="0">
        <references count="2">
          <reference field="0" count="1" selected="0">
            <x v="98"/>
          </reference>
          <reference field="1" count="1">
            <x v="1"/>
          </reference>
        </references>
      </pivotArea>
    </format>
    <format dxfId="1288">
      <pivotArea dataOnly="0" labelOnly="1" outline="0" fieldPosition="0">
        <references count="2">
          <reference field="0" count="1" selected="0">
            <x v="99"/>
          </reference>
          <reference field="1" count="1">
            <x v="27"/>
          </reference>
        </references>
      </pivotArea>
    </format>
    <format dxfId="1287">
      <pivotArea dataOnly="0" labelOnly="1" outline="0" fieldPosition="0">
        <references count="2">
          <reference field="0" count="1" selected="0">
            <x v="100"/>
          </reference>
          <reference field="1" count="1">
            <x v="5"/>
          </reference>
        </references>
      </pivotArea>
    </format>
    <format dxfId="1286">
      <pivotArea dataOnly="0" labelOnly="1" outline="0" fieldPosition="0">
        <references count="2">
          <reference field="0" count="1" selected="0">
            <x v="101"/>
          </reference>
          <reference field="1" count="1">
            <x v="49"/>
          </reference>
        </references>
      </pivotArea>
    </format>
    <format dxfId="1285">
      <pivotArea dataOnly="0" labelOnly="1" outline="0" fieldPosition="0">
        <references count="2">
          <reference field="0" count="1" selected="0">
            <x v="102"/>
          </reference>
          <reference field="1" count="1">
            <x v="35"/>
          </reference>
        </references>
      </pivotArea>
    </format>
    <format dxfId="1284">
      <pivotArea dataOnly="0" labelOnly="1" outline="0" fieldPosition="0">
        <references count="2">
          <reference field="0" count="1" selected="0">
            <x v="103"/>
          </reference>
          <reference field="1" count="1">
            <x v="42"/>
          </reference>
        </references>
      </pivotArea>
    </format>
    <format dxfId="1283">
      <pivotArea dataOnly="0" labelOnly="1" outline="0" fieldPosition="0">
        <references count="2">
          <reference field="0" count="1" selected="0">
            <x v="104"/>
          </reference>
          <reference field="1" count="1">
            <x v="25"/>
          </reference>
        </references>
      </pivotArea>
    </format>
    <format dxfId="1282">
      <pivotArea dataOnly="0" labelOnly="1" outline="0" fieldPosition="0">
        <references count="2">
          <reference field="0" count="1" selected="0">
            <x v="105"/>
          </reference>
          <reference field="1" count="1">
            <x v="26"/>
          </reference>
        </references>
      </pivotArea>
    </format>
    <format dxfId="1281">
      <pivotArea dataOnly="0" labelOnly="1" outline="0" fieldPosition="0">
        <references count="2">
          <reference field="0" count="1" selected="0">
            <x v="106"/>
          </reference>
          <reference field="1" count="1">
            <x v="6"/>
          </reference>
        </references>
      </pivotArea>
    </format>
    <format dxfId="1280">
      <pivotArea dataOnly="0" labelOnly="1" outline="0" fieldPosition="0">
        <references count="2">
          <reference field="0" count="1" selected="0">
            <x v="107"/>
          </reference>
          <reference field="1" count="1">
            <x v="0"/>
          </reference>
        </references>
      </pivotArea>
    </format>
    <format dxfId="1279">
      <pivotArea dataOnly="0" labelOnly="1" outline="0" fieldPosition="0">
        <references count="2">
          <reference field="0" count="1" selected="0">
            <x v="108"/>
          </reference>
          <reference field="1" count="1">
            <x v="44"/>
          </reference>
        </references>
      </pivotArea>
    </format>
    <format dxfId="1278">
      <pivotArea dataOnly="0" labelOnly="1" outline="0" fieldPosition="0">
        <references count="2">
          <reference field="0" count="1" selected="0">
            <x v="109"/>
          </reference>
          <reference field="1" count="1">
            <x v="8"/>
          </reference>
        </references>
      </pivotArea>
    </format>
    <format dxfId="1277">
      <pivotArea dataOnly="0" labelOnly="1" outline="0" fieldPosition="0">
        <references count="2">
          <reference field="0" count="1" selected="0">
            <x v="110"/>
          </reference>
          <reference field="1" count="1">
            <x v="44"/>
          </reference>
        </references>
      </pivotArea>
    </format>
    <format dxfId="1276">
      <pivotArea dataOnly="0" labelOnly="1" outline="0" fieldPosition="0">
        <references count="2">
          <reference field="0" count="1" selected="0">
            <x v="111"/>
          </reference>
          <reference field="1" count="1">
            <x v="49"/>
          </reference>
        </references>
      </pivotArea>
    </format>
    <format dxfId="1275">
      <pivotArea dataOnly="0" labelOnly="1" outline="0" fieldPosition="0">
        <references count="2">
          <reference field="0" count="1" selected="0">
            <x v="112"/>
          </reference>
          <reference field="1" count="1">
            <x v="57"/>
          </reference>
        </references>
      </pivotArea>
    </format>
    <format dxfId="1274">
      <pivotArea dataOnly="0" labelOnly="1" outline="0" fieldPosition="0">
        <references count="2">
          <reference field="0" count="1" selected="0">
            <x v="113"/>
          </reference>
          <reference field="1" count="1">
            <x v="21"/>
          </reference>
        </references>
      </pivotArea>
    </format>
    <format dxfId="1273">
      <pivotArea dataOnly="0" labelOnly="1" outline="0" fieldPosition="0">
        <references count="2">
          <reference field="0" count="1" selected="0">
            <x v="114"/>
          </reference>
          <reference field="1" count="1">
            <x v="54"/>
          </reference>
        </references>
      </pivotArea>
    </format>
    <format dxfId="1272">
      <pivotArea dataOnly="0" labelOnly="1" outline="0" fieldPosition="0">
        <references count="2">
          <reference field="0" count="1" selected="0">
            <x v="115"/>
          </reference>
          <reference field="1" count="1">
            <x v="1"/>
          </reference>
        </references>
      </pivotArea>
    </format>
    <format dxfId="1271">
      <pivotArea dataOnly="0" labelOnly="1" outline="0" fieldPosition="0">
        <references count="2">
          <reference field="0" count="1" selected="0">
            <x v="116"/>
          </reference>
          <reference field="1" count="1">
            <x v="37"/>
          </reference>
        </references>
      </pivotArea>
    </format>
    <format dxfId="1270">
      <pivotArea dataOnly="0" labelOnly="1" outline="0" fieldPosition="0">
        <references count="2">
          <reference field="0" count="1" selected="0">
            <x v="117"/>
          </reference>
          <reference field="1" count="1">
            <x v="39"/>
          </reference>
        </references>
      </pivotArea>
    </format>
    <format dxfId="1269">
      <pivotArea dataOnly="0" labelOnly="1" outline="0" fieldPosition="0">
        <references count="2">
          <reference field="0" count="1" selected="0">
            <x v="118"/>
          </reference>
          <reference field="1" count="1">
            <x v="7"/>
          </reference>
        </references>
      </pivotArea>
    </format>
    <format dxfId="1268">
      <pivotArea dataOnly="0" labelOnly="1" outline="0" fieldPosition="0">
        <references count="2">
          <reference field="0" count="1" selected="0">
            <x v="119"/>
          </reference>
          <reference field="1" count="1">
            <x v="44"/>
          </reference>
        </references>
      </pivotArea>
    </format>
    <format dxfId="1267">
      <pivotArea dataOnly="0" labelOnly="1" outline="0" fieldPosition="0">
        <references count="2">
          <reference field="0" count="1" selected="0">
            <x v="120"/>
          </reference>
          <reference field="1" count="1">
            <x v="8"/>
          </reference>
        </references>
      </pivotArea>
    </format>
    <format dxfId="1266">
      <pivotArea dataOnly="0" labelOnly="1" outline="0" fieldPosition="0">
        <references count="2">
          <reference field="0" count="1" selected="0">
            <x v="121"/>
          </reference>
          <reference field="1" count="1">
            <x v="50"/>
          </reference>
        </references>
      </pivotArea>
    </format>
    <format dxfId="1265">
      <pivotArea dataOnly="0" labelOnly="1" outline="0" fieldPosition="0">
        <references count="2">
          <reference field="0" count="1" selected="0">
            <x v="122"/>
          </reference>
          <reference field="1" count="1">
            <x v="21"/>
          </reference>
        </references>
      </pivotArea>
    </format>
    <format dxfId="1264">
      <pivotArea dataOnly="0" labelOnly="1" outline="0" fieldPosition="0">
        <references count="2">
          <reference field="0" count="1" selected="0">
            <x v="123"/>
          </reference>
          <reference field="1" count="1">
            <x v="39"/>
          </reference>
        </references>
      </pivotArea>
    </format>
    <format dxfId="1263">
      <pivotArea dataOnly="0" labelOnly="1" outline="0" fieldPosition="0">
        <references count="2">
          <reference field="0" count="1" selected="0">
            <x v="124"/>
          </reference>
          <reference field="1" count="1">
            <x v="36"/>
          </reference>
        </references>
      </pivotArea>
    </format>
    <format dxfId="1262">
      <pivotArea dataOnly="0" labelOnly="1" outline="0" fieldPosition="0">
        <references count="2">
          <reference field="0" count="1" selected="0">
            <x v="125"/>
          </reference>
          <reference field="1" count="1">
            <x v="2"/>
          </reference>
        </references>
      </pivotArea>
    </format>
    <format dxfId="1261">
      <pivotArea dataOnly="0" labelOnly="1" outline="0" fieldPosition="0">
        <references count="2">
          <reference field="0" count="1" selected="0">
            <x v="127"/>
          </reference>
          <reference field="1" count="1">
            <x v="35"/>
          </reference>
        </references>
      </pivotArea>
    </format>
    <format dxfId="1260">
      <pivotArea dataOnly="0" labelOnly="1" outline="0" fieldPosition="0">
        <references count="2">
          <reference field="0" count="1" selected="0">
            <x v="128"/>
          </reference>
          <reference field="1" count="1">
            <x v="12"/>
          </reference>
        </references>
      </pivotArea>
    </format>
    <format dxfId="1259">
      <pivotArea dataOnly="0" labelOnly="1" outline="0" fieldPosition="0">
        <references count="2">
          <reference field="0" count="1" selected="0">
            <x v="129"/>
          </reference>
          <reference field="1" count="1">
            <x v="1"/>
          </reference>
        </references>
      </pivotArea>
    </format>
    <format dxfId="1258">
      <pivotArea dataOnly="0" labelOnly="1" outline="0" fieldPosition="0">
        <references count="2">
          <reference field="0" count="1" selected="0">
            <x v="130"/>
          </reference>
          <reference field="1" count="1">
            <x v="41"/>
          </reference>
        </references>
      </pivotArea>
    </format>
    <format dxfId="1257">
      <pivotArea dataOnly="0" labelOnly="1" outline="0" fieldPosition="0">
        <references count="2">
          <reference field="0" count="1" selected="0">
            <x v="131"/>
          </reference>
          <reference field="1" count="1">
            <x v="40"/>
          </reference>
        </references>
      </pivotArea>
    </format>
    <format dxfId="1256">
      <pivotArea dataOnly="0" labelOnly="1" outline="0" fieldPosition="0">
        <references count="2">
          <reference field="0" count="1" selected="0">
            <x v="132"/>
          </reference>
          <reference field="1" count="1">
            <x v="14"/>
          </reference>
        </references>
      </pivotArea>
    </format>
    <format dxfId="1255">
      <pivotArea dataOnly="0" labelOnly="1" outline="0" fieldPosition="0">
        <references count="2">
          <reference field="0" count="1" selected="0">
            <x v="133"/>
          </reference>
          <reference field="1" count="1">
            <x v="24"/>
          </reference>
        </references>
      </pivotArea>
    </format>
    <format dxfId="1254">
      <pivotArea dataOnly="0" labelOnly="1" outline="0" fieldPosition="0">
        <references count="2">
          <reference field="0" count="1" selected="0">
            <x v="134"/>
          </reference>
          <reference field="1" count="1">
            <x v="13"/>
          </reference>
        </references>
      </pivotArea>
    </format>
    <format dxfId="1253">
      <pivotArea dataOnly="0" labelOnly="1" outline="0" fieldPosition="0">
        <references count="2">
          <reference field="0" count="1" selected="0">
            <x v="135"/>
          </reference>
          <reference field="1" count="1">
            <x v="42"/>
          </reference>
        </references>
      </pivotArea>
    </format>
    <format dxfId="1252">
      <pivotArea dataOnly="0" labelOnly="1" outline="0" fieldPosition="0">
        <references count="2">
          <reference field="0" count="1" selected="0">
            <x v="136"/>
          </reference>
          <reference field="1" count="1">
            <x v="52"/>
          </reference>
        </references>
      </pivotArea>
    </format>
    <format dxfId="1251">
      <pivotArea dataOnly="0" labelOnly="1" outline="0" fieldPosition="0">
        <references count="2">
          <reference field="0" count="1" selected="0">
            <x v="137"/>
          </reference>
          <reference field="1" count="1">
            <x v="39"/>
          </reference>
        </references>
      </pivotArea>
    </format>
    <format dxfId="1250">
      <pivotArea dataOnly="0" labelOnly="1" outline="0" fieldPosition="0">
        <references count="2">
          <reference field="0" count="1" selected="0">
            <x v="138"/>
          </reference>
          <reference field="1" count="1">
            <x v="45"/>
          </reference>
        </references>
      </pivotArea>
    </format>
    <format dxfId="1249">
      <pivotArea dataOnly="0" labelOnly="1" outline="0" fieldPosition="0">
        <references count="2">
          <reference field="0" count="1" selected="0">
            <x v="139"/>
          </reference>
          <reference field="1" count="1">
            <x v="8"/>
          </reference>
        </references>
      </pivotArea>
    </format>
    <format dxfId="1248">
      <pivotArea dataOnly="0" labelOnly="1" outline="0" fieldPosition="0">
        <references count="2">
          <reference field="0" count="1" selected="0">
            <x v="140"/>
          </reference>
          <reference field="1" count="1">
            <x v="40"/>
          </reference>
        </references>
      </pivotArea>
    </format>
    <format dxfId="1247">
      <pivotArea dataOnly="0" labelOnly="1" outline="0" fieldPosition="0">
        <references count="2">
          <reference field="0" count="1" selected="0">
            <x v="141"/>
          </reference>
          <reference field="1" count="1">
            <x v="1"/>
          </reference>
        </references>
      </pivotArea>
    </format>
    <format dxfId="1246">
      <pivotArea dataOnly="0" labelOnly="1" outline="0" fieldPosition="0">
        <references count="2">
          <reference field="0" count="1" selected="0">
            <x v="142"/>
          </reference>
          <reference field="1" count="1">
            <x v="34"/>
          </reference>
        </references>
      </pivotArea>
    </format>
    <format dxfId="1245">
      <pivotArea dataOnly="0" labelOnly="1" outline="0" fieldPosition="0">
        <references count="2">
          <reference field="0" count="1" selected="0">
            <x v="143"/>
          </reference>
          <reference field="1" count="1">
            <x v="25"/>
          </reference>
        </references>
      </pivotArea>
    </format>
    <format dxfId="1244">
      <pivotArea dataOnly="0" labelOnly="1" outline="0" fieldPosition="0">
        <references count="2">
          <reference field="0" count="1" selected="0">
            <x v="144"/>
          </reference>
          <reference field="1" count="1">
            <x v="58"/>
          </reference>
        </references>
      </pivotArea>
    </format>
    <format dxfId="1243">
      <pivotArea dataOnly="0" labelOnly="1" outline="0" fieldPosition="0">
        <references count="2">
          <reference field="0" count="1" selected="0">
            <x v="146"/>
          </reference>
          <reference field="1" count="1">
            <x v="4"/>
          </reference>
        </references>
      </pivotArea>
    </format>
    <format dxfId="1242">
      <pivotArea dataOnly="0" labelOnly="1" outline="0" fieldPosition="0">
        <references count="2">
          <reference field="0" count="1" selected="0">
            <x v="147"/>
          </reference>
          <reference field="1" count="1">
            <x v="42"/>
          </reference>
        </references>
      </pivotArea>
    </format>
    <format dxfId="1241">
      <pivotArea dataOnly="0" labelOnly="1" outline="0" fieldPosition="0">
        <references count="2">
          <reference field="0" count="1" selected="0">
            <x v="148"/>
          </reference>
          <reference field="1" count="1">
            <x v="19"/>
          </reference>
        </references>
      </pivotArea>
    </format>
    <format dxfId="1240">
      <pivotArea dataOnly="0" labelOnly="1" outline="0" fieldPosition="0">
        <references count="2">
          <reference field="0" count="1" selected="0">
            <x v="149"/>
          </reference>
          <reference field="1" count="1">
            <x v="6"/>
          </reference>
        </references>
      </pivotArea>
    </format>
    <format dxfId="1239">
      <pivotArea dataOnly="0" labelOnly="1" outline="0" fieldPosition="0">
        <references count="2">
          <reference field="0" count="1" selected="0">
            <x v="150"/>
          </reference>
          <reference field="1" count="1">
            <x v="55"/>
          </reference>
        </references>
      </pivotArea>
    </format>
    <format dxfId="1238">
      <pivotArea dataOnly="0" labelOnly="1" outline="0" fieldPosition="0">
        <references count="2">
          <reference field="0" count="1" selected="0">
            <x v="151"/>
          </reference>
          <reference field="1" count="1">
            <x v="18"/>
          </reference>
        </references>
      </pivotArea>
    </format>
    <format dxfId="1237">
      <pivotArea dataOnly="0" labelOnly="1" outline="0" fieldPosition="0">
        <references count="2">
          <reference field="0" count="1" selected="0">
            <x v="152"/>
          </reference>
          <reference field="1" count="1">
            <x v="25"/>
          </reference>
        </references>
      </pivotArea>
    </format>
    <format dxfId="1236">
      <pivotArea dataOnly="0" labelOnly="1" outline="0" fieldPosition="0">
        <references count="2">
          <reference field="0" count="1" selected="0">
            <x v="153"/>
          </reference>
          <reference field="1" count="1">
            <x v="1"/>
          </reference>
        </references>
      </pivotArea>
    </format>
    <format dxfId="1235">
      <pivotArea dataOnly="0" labelOnly="1" outline="0" fieldPosition="0">
        <references count="2">
          <reference field="0" count="1" selected="0">
            <x v="154"/>
          </reference>
          <reference field="1" count="1">
            <x v="44"/>
          </reference>
        </references>
      </pivotArea>
    </format>
    <format dxfId="1234">
      <pivotArea dataOnly="0" labelOnly="1" outline="0" fieldPosition="0">
        <references count="2">
          <reference field="0" count="1" selected="0">
            <x v="155"/>
          </reference>
          <reference field="1" count="1">
            <x v="34"/>
          </reference>
        </references>
      </pivotArea>
    </format>
    <format dxfId="1233">
      <pivotArea dataOnly="0" labelOnly="1" outline="0" fieldPosition="0">
        <references count="2">
          <reference field="0" count="1" selected="0">
            <x v="156"/>
          </reference>
          <reference field="1" count="1">
            <x v="29"/>
          </reference>
        </references>
      </pivotArea>
    </format>
    <format dxfId="1232">
      <pivotArea dataOnly="0" labelOnly="1" outline="0" fieldPosition="0">
        <references count="2">
          <reference field="0" count="1" selected="0">
            <x v="157"/>
          </reference>
          <reference field="1" count="1">
            <x v="38"/>
          </reference>
        </references>
      </pivotArea>
    </format>
    <format dxfId="1231">
      <pivotArea dataOnly="0" labelOnly="1" outline="0" fieldPosition="0">
        <references count="2">
          <reference field="0" count="1" selected="0">
            <x v="158"/>
          </reference>
          <reference field="1" count="1">
            <x v="29"/>
          </reference>
        </references>
      </pivotArea>
    </format>
    <format dxfId="1230">
      <pivotArea dataOnly="0" labelOnly="1" outline="0" fieldPosition="0">
        <references count="2">
          <reference field="0" count="1" selected="0">
            <x v="159"/>
          </reference>
          <reference field="1" count="1">
            <x v="57"/>
          </reference>
        </references>
      </pivotArea>
    </format>
    <format dxfId="1229">
      <pivotArea dataOnly="0" labelOnly="1" outline="0" fieldPosition="0">
        <references count="2">
          <reference field="0" count="1" selected="0">
            <x v="160"/>
          </reference>
          <reference field="1" count="1">
            <x v="27"/>
          </reference>
        </references>
      </pivotArea>
    </format>
    <format dxfId="1228">
      <pivotArea dataOnly="0" labelOnly="1" outline="0" fieldPosition="0">
        <references count="2">
          <reference field="0" count="1" selected="0">
            <x v="161"/>
          </reference>
          <reference field="1" count="1">
            <x v="23"/>
          </reference>
        </references>
      </pivotArea>
    </format>
    <format dxfId="1227">
      <pivotArea dataOnly="0" labelOnly="1" outline="0" fieldPosition="0">
        <references count="2">
          <reference field="0" count="1" selected="0">
            <x v="162"/>
          </reference>
          <reference field="1" count="1">
            <x v="13"/>
          </reference>
        </references>
      </pivotArea>
    </format>
    <format dxfId="1226">
      <pivotArea dataOnly="0" labelOnly="1" outline="0" fieldPosition="0">
        <references count="2">
          <reference field="0" count="1" selected="0">
            <x v="163"/>
          </reference>
          <reference field="1" count="1">
            <x v="29"/>
          </reference>
        </references>
      </pivotArea>
    </format>
    <format dxfId="1225">
      <pivotArea dataOnly="0" labelOnly="1" outline="0" fieldPosition="0">
        <references count="2">
          <reference field="0" count="1" selected="0">
            <x v="164"/>
          </reference>
          <reference field="1" count="1">
            <x v="50"/>
          </reference>
        </references>
      </pivotArea>
    </format>
    <format dxfId="1224">
      <pivotArea dataOnly="0" labelOnly="1" outline="0" fieldPosition="0">
        <references count="2">
          <reference field="0" count="1" selected="0">
            <x v="165"/>
          </reference>
          <reference field="1" count="1">
            <x v="48"/>
          </reference>
        </references>
      </pivotArea>
    </format>
    <format dxfId="1223">
      <pivotArea dataOnly="0" labelOnly="1" outline="0" fieldPosition="0">
        <references count="2">
          <reference field="0" count="1" selected="0">
            <x v="166"/>
          </reference>
          <reference field="1" count="1">
            <x v="40"/>
          </reference>
        </references>
      </pivotArea>
    </format>
    <format dxfId="1222">
      <pivotArea dataOnly="0" labelOnly="1" outline="0" fieldPosition="0">
        <references count="2">
          <reference field="0" count="1" selected="0">
            <x v="167"/>
          </reference>
          <reference field="1" count="1">
            <x v="58"/>
          </reference>
        </references>
      </pivotArea>
    </format>
    <format dxfId="1221">
      <pivotArea dataOnly="0" labelOnly="1" outline="0" fieldPosition="0">
        <references count="2">
          <reference field="0" count="1" selected="0">
            <x v="168"/>
          </reference>
          <reference field="1" count="1">
            <x v="11"/>
          </reference>
        </references>
      </pivotArea>
    </format>
    <format dxfId="1220">
      <pivotArea dataOnly="0" labelOnly="1" outline="0" fieldPosition="0">
        <references count="2">
          <reference field="0" count="1" selected="0">
            <x v="169"/>
          </reference>
          <reference field="1" count="1">
            <x v="40"/>
          </reference>
        </references>
      </pivotArea>
    </format>
    <format dxfId="1219">
      <pivotArea dataOnly="0" labelOnly="1" outline="0" fieldPosition="0">
        <references count="2">
          <reference field="0" count="1" selected="0">
            <x v="170"/>
          </reference>
          <reference field="1" count="1">
            <x v="33"/>
          </reference>
        </references>
      </pivotArea>
    </format>
    <format dxfId="1218">
      <pivotArea dataOnly="0" labelOnly="1" outline="0" fieldPosition="0">
        <references count="2">
          <reference field="0" count="1" selected="0">
            <x v="171"/>
          </reference>
          <reference field="1" count="1">
            <x v="7"/>
          </reference>
        </references>
      </pivotArea>
    </format>
    <format dxfId="1217">
      <pivotArea dataOnly="0" labelOnly="1" outline="0" fieldPosition="0">
        <references count="2">
          <reference field="0" count="1" selected="0">
            <x v="172"/>
          </reference>
          <reference field="1" count="1">
            <x v="3"/>
          </reference>
        </references>
      </pivotArea>
    </format>
    <format dxfId="1216">
      <pivotArea dataOnly="0" labelOnly="1" outline="0" fieldPosition="0">
        <references count="2">
          <reference field="0" count="1" selected="0">
            <x v="173"/>
          </reference>
          <reference field="1" count="1">
            <x v="48"/>
          </reference>
        </references>
      </pivotArea>
    </format>
    <format dxfId="1215">
      <pivotArea dataOnly="0" labelOnly="1" outline="0" fieldPosition="0">
        <references count="2">
          <reference field="0" count="1" selected="0">
            <x v="174"/>
          </reference>
          <reference field="1" count="1">
            <x v="23"/>
          </reference>
        </references>
      </pivotArea>
    </format>
    <format dxfId="1214">
      <pivotArea dataOnly="0" labelOnly="1" outline="0" fieldPosition="0">
        <references count="2">
          <reference field="0" count="1" selected="0">
            <x v="175"/>
          </reference>
          <reference field="1" count="1">
            <x v="2"/>
          </reference>
        </references>
      </pivotArea>
    </format>
    <format dxfId="1213">
      <pivotArea dataOnly="0" labelOnly="1" outline="0" fieldPosition="0">
        <references count="2">
          <reference field="0" count="1" selected="0">
            <x v="176"/>
          </reference>
          <reference field="1" count="1">
            <x v="58"/>
          </reference>
        </references>
      </pivotArea>
    </format>
    <format dxfId="1212">
      <pivotArea dataOnly="0" labelOnly="1" outline="0" fieldPosition="0">
        <references count="2">
          <reference field="0" count="1" selected="0">
            <x v="177"/>
          </reference>
          <reference field="1" count="1">
            <x v="42"/>
          </reference>
        </references>
      </pivotArea>
    </format>
    <format dxfId="1211">
      <pivotArea dataOnly="0" labelOnly="1" outline="0" fieldPosition="0">
        <references count="2">
          <reference field="0" count="1" selected="0">
            <x v="178"/>
          </reference>
          <reference field="1" count="1">
            <x v="44"/>
          </reference>
        </references>
      </pivotArea>
    </format>
    <format dxfId="1210">
      <pivotArea dataOnly="0" labelOnly="1" outline="0" fieldPosition="0">
        <references count="2">
          <reference field="0" count="1" selected="0">
            <x v="179"/>
          </reference>
          <reference field="1" count="1">
            <x v="8"/>
          </reference>
        </references>
      </pivotArea>
    </format>
    <format dxfId="1209">
      <pivotArea dataOnly="0" labelOnly="1" outline="0" fieldPosition="0">
        <references count="2">
          <reference field="0" count="1" selected="0">
            <x v="180"/>
          </reference>
          <reference field="1" count="1">
            <x v="37"/>
          </reference>
        </references>
      </pivotArea>
    </format>
    <format dxfId="1208">
      <pivotArea dataOnly="0" labelOnly="1" outline="0" fieldPosition="0">
        <references count="2">
          <reference field="0" count="1" selected="0">
            <x v="181"/>
          </reference>
          <reference field="1" count="1">
            <x v="51"/>
          </reference>
        </references>
      </pivotArea>
    </format>
    <format dxfId="1207">
      <pivotArea dataOnly="0" labelOnly="1" outline="0" fieldPosition="0">
        <references count="2">
          <reference field="0" count="1" selected="0">
            <x v="182"/>
          </reference>
          <reference field="1" count="1">
            <x v="48"/>
          </reference>
        </references>
      </pivotArea>
    </format>
    <format dxfId="1206">
      <pivotArea dataOnly="0" labelOnly="1" outline="0" fieldPosition="0">
        <references count="2">
          <reference field="0" count="1" selected="0">
            <x v="183"/>
          </reference>
          <reference field="1" count="1">
            <x v="41"/>
          </reference>
        </references>
      </pivotArea>
    </format>
    <format dxfId="1205">
      <pivotArea dataOnly="0" labelOnly="1" outline="0" fieldPosition="0">
        <references count="2">
          <reference field="0" count="1" selected="0">
            <x v="184"/>
          </reference>
          <reference field="1" count="1">
            <x v="26"/>
          </reference>
        </references>
      </pivotArea>
    </format>
    <format dxfId="1204">
      <pivotArea dataOnly="0" labelOnly="1" outline="0" fieldPosition="0">
        <references count="2">
          <reference field="0" count="1" selected="0">
            <x v="185"/>
          </reference>
          <reference field="1" count="1">
            <x v="54"/>
          </reference>
        </references>
      </pivotArea>
    </format>
    <format dxfId="1203">
      <pivotArea dataOnly="0" labelOnly="1" outline="0" fieldPosition="0">
        <references count="2">
          <reference field="0" count="1" selected="0">
            <x v="186"/>
          </reference>
          <reference field="1" count="1">
            <x v="53"/>
          </reference>
        </references>
      </pivotArea>
    </format>
    <format dxfId="1202">
      <pivotArea dataOnly="0" labelOnly="1" outline="0" fieldPosition="0">
        <references count="2">
          <reference field="0" count="1" selected="0">
            <x v="187"/>
          </reference>
          <reference field="1" count="1">
            <x v="12"/>
          </reference>
        </references>
      </pivotArea>
    </format>
    <format dxfId="1201">
      <pivotArea dataOnly="0" labelOnly="1" outline="0" fieldPosition="0">
        <references count="2">
          <reference field="0" count="1" selected="0">
            <x v="188"/>
          </reference>
          <reference field="1" count="1">
            <x v="28"/>
          </reference>
        </references>
      </pivotArea>
    </format>
    <format dxfId="1200">
      <pivotArea dataOnly="0" labelOnly="1" outline="0" fieldPosition="0">
        <references count="2">
          <reference field="0" count="1" selected="0">
            <x v="189"/>
          </reference>
          <reference field="1" count="1">
            <x v="52"/>
          </reference>
        </references>
      </pivotArea>
    </format>
    <format dxfId="1199">
      <pivotArea dataOnly="0" labelOnly="1" outline="0" fieldPosition="0">
        <references count="2">
          <reference field="0" count="1" selected="0">
            <x v="190"/>
          </reference>
          <reference field="1" count="1">
            <x v="20"/>
          </reference>
        </references>
      </pivotArea>
    </format>
    <format dxfId="1198">
      <pivotArea dataOnly="0" labelOnly="1" outline="0" fieldPosition="0">
        <references count="2">
          <reference field="0" count="1" selected="0">
            <x v="191"/>
          </reference>
          <reference field="1" count="1">
            <x v="8"/>
          </reference>
        </references>
      </pivotArea>
    </format>
    <format dxfId="1197">
      <pivotArea dataOnly="0" labelOnly="1" outline="0" fieldPosition="0">
        <references count="2">
          <reference field="0" count="1" selected="0">
            <x v="192"/>
          </reference>
          <reference field="1" count="1">
            <x v="46"/>
          </reference>
        </references>
      </pivotArea>
    </format>
    <format dxfId="1196">
      <pivotArea dataOnly="0" labelOnly="1" outline="0" fieldPosition="0">
        <references count="2">
          <reference field="0" count="1" selected="0">
            <x v="193"/>
          </reference>
          <reference field="1" count="1">
            <x v="24"/>
          </reference>
        </references>
      </pivotArea>
    </format>
    <format dxfId="1195">
      <pivotArea dataOnly="0" labelOnly="1" outline="0" fieldPosition="0">
        <references count="2">
          <reference field="0" count="1" selected="0">
            <x v="194"/>
          </reference>
          <reference field="1" count="1">
            <x v="4"/>
          </reference>
        </references>
      </pivotArea>
    </format>
    <format dxfId="1194">
      <pivotArea dataOnly="0" labelOnly="1" outline="0" fieldPosition="0">
        <references count="2">
          <reference field="0" count="1" selected="0">
            <x v="195"/>
          </reference>
          <reference field="1" count="1">
            <x v="24"/>
          </reference>
        </references>
      </pivotArea>
    </format>
    <format dxfId="1193">
      <pivotArea dataOnly="0" labelOnly="1" outline="0" fieldPosition="0">
        <references count="2">
          <reference field="0" count="1" selected="0">
            <x v="196"/>
          </reference>
          <reference field="1" count="1">
            <x v="18"/>
          </reference>
        </references>
      </pivotArea>
    </format>
    <format dxfId="1192">
      <pivotArea dataOnly="0" labelOnly="1" outline="0" fieldPosition="0">
        <references count="2">
          <reference field="0" count="1" selected="0">
            <x v="197"/>
          </reference>
          <reference field="1" count="1">
            <x v="50"/>
          </reference>
        </references>
      </pivotArea>
    </format>
    <format dxfId="1191">
      <pivotArea dataOnly="0" labelOnly="1" outline="0" fieldPosition="0">
        <references count="2">
          <reference field="0" count="1" selected="0">
            <x v="198"/>
          </reference>
          <reference field="1" count="1">
            <x v="17"/>
          </reference>
        </references>
      </pivotArea>
    </format>
    <format dxfId="1190">
      <pivotArea dataOnly="0" labelOnly="1" outline="0" fieldPosition="0">
        <references count="2">
          <reference field="0" count="1" selected="0">
            <x v="199"/>
          </reference>
          <reference field="1" count="1">
            <x v="30"/>
          </reference>
        </references>
      </pivotArea>
    </format>
    <format dxfId="1189">
      <pivotArea dataOnly="0" labelOnly="1" outline="0" fieldPosition="0">
        <references count="2">
          <reference field="0" count="1" selected="0">
            <x v="200"/>
          </reference>
          <reference field="1" count="1">
            <x v="52"/>
          </reference>
        </references>
      </pivotArea>
    </format>
    <format dxfId="1188">
      <pivotArea dataOnly="0" labelOnly="1" outline="0" fieldPosition="0">
        <references count="2">
          <reference field="0" count="1" selected="0">
            <x v="201"/>
          </reference>
          <reference field="1" count="1">
            <x v="14"/>
          </reference>
        </references>
      </pivotArea>
    </format>
    <format dxfId="1187">
      <pivotArea dataOnly="0" labelOnly="1" outline="0" fieldPosition="0">
        <references count="2">
          <reference field="0" count="1" selected="0">
            <x v="202"/>
          </reference>
          <reference field="1" count="1">
            <x v="3"/>
          </reference>
        </references>
      </pivotArea>
    </format>
    <format dxfId="1186">
      <pivotArea dataOnly="0" labelOnly="1" outline="0" fieldPosition="0">
        <references count="2">
          <reference field="0" count="1" selected="0">
            <x v="203"/>
          </reference>
          <reference field="1" count="1">
            <x v="11"/>
          </reference>
        </references>
      </pivotArea>
    </format>
    <format dxfId="1185">
      <pivotArea dataOnly="0" labelOnly="1" outline="0" fieldPosition="0">
        <references count="2">
          <reference field="0" count="1" selected="0">
            <x v="204"/>
          </reference>
          <reference field="1" count="1">
            <x v="59"/>
          </reference>
        </references>
      </pivotArea>
    </format>
    <format dxfId="1184">
      <pivotArea dataOnly="0" labelOnly="1" outline="0" fieldPosition="0">
        <references count="2">
          <reference field="0" count="1" selected="0">
            <x v="205"/>
          </reference>
          <reference field="1" count="1">
            <x v="12"/>
          </reference>
        </references>
      </pivotArea>
    </format>
    <format dxfId="1183">
      <pivotArea dataOnly="0" labelOnly="1" outline="0" fieldPosition="0">
        <references count="2">
          <reference field="0" count="1" selected="0">
            <x v="206"/>
          </reference>
          <reference field="1" count="1">
            <x v="42"/>
          </reference>
        </references>
      </pivotArea>
    </format>
    <format dxfId="1182">
      <pivotArea dataOnly="0" labelOnly="1" outline="0" fieldPosition="0">
        <references count="2">
          <reference field="0" count="1" selected="0">
            <x v="207"/>
          </reference>
          <reference field="1" count="1">
            <x v="47"/>
          </reference>
        </references>
      </pivotArea>
    </format>
    <format dxfId="1181">
      <pivotArea dataOnly="0" labelOnly="1" outline="0" fieldPosition="0">
        <references count="2">
          <reference field="0" count="1" selected="0">
            <x v="208"/>
          </reference>
          <reference field="1" count="1">
            <x v="16"/>
          </reference>
        </references>
      </pivotArea>
    </format>
    <format dxfId="1180">
      <pivotArea dataOnly="0" labelOnly="1" outline="0" fieldPosition="0">
        <references count="2">
          <reference field="0" count="1" selected="0">
            <x v="209"/>
          </reference>
          <reference field="1" count="1">
            <x v="39"/>
          </reference>
        </references>
      </pivotArea>
    </format>
    <format dxfId="1179">
      <pivotArea dataOnly="0" labelOnly="1" outline="0" fieldPosition="0">
        <references count="2">
          <reference field="0" count="1" selected="0">
            <x v="210"/>
          </reference>
          <reference field="1" count="1">
            <x v="1"/>
          </reference>
        </references>
      </pivotArea>
    </format>
    <format dxfId="1178">
      <pivotArea dataOnly="0" labelOnly="1" outline="0" fieldPosition="0">
        <references count="2">
          <reference field="0" count="1" selected="0">
            <x v="211"/>
          </reference>
          <reference field="1" count="1">
            <x v="4"/>
          </reference>
        </references>
      </pivotArea>
    </format>
    <format dxfId="1177">
      <pivotArea dataOnly="0" labelOnly="1" outline="0" fieldPosition="0">
        <references count="2">
          <reference field="0" count="1" selected="0">
            <x v="212"/>
          </reference>
          <reference field="1" count="1">
            <x v="13"/>
          </reference>
        </references>
      </pivotArea>
    </format>
    <format dxfId="1176">
      <pivotArea dataOnly="0" labelOnly="1" outline="0" fieldPosition="0">
        <references count="2">
          <reference field="0" count="1" selected="0">
            <x v="213"/>
          </reference>
          <reference field="1" count="1">
            <x v="19"/>
          </reference>
        </references>
      </pivotArea>
    </format>
    <format dxfId="1175">
      <pivotArea dataOnly="0" labelOnly="1" outline="0" fieldPosition="0">
        <references count="2">
          <reference field="0" count="1" selected="0">
            <x v="214"/>
          </reference>
          <reference field="1" count="1">
            <x v="38"/>
          </reference>
        </references>
      </pivotArea>
    </format>
    <format dxfId="1174">
      <pivotArea dataOnly="0" labelOnly="1" outline="0" fieldPosition="0">
        <references count="2">
          <reference field="0" count="1" selected="0">
            <x v="215"/>
          </reference>
          <reference field="1" count="1">
            <x v="26"/>
          </reference>
        </references>
      </pivotArea>
    </format>
    <format dxfId="1173">
      <pivotArea dataOnly="0" labelOnly="1" outline="0" fieldPosition="0">
        <references count="2">
          <reference field="0" count="1" selected="0">
            <x v="216"/>
          </reference>
          <reference field="1" count="1">
            <x v="57"/>
          </reference>
        </references>
      </pivotArea>
    </format>
    <format dxfId="1172">
      <pivotArea dataOnly="0" labelOnly="1" outline="0" fieldPosition="0">
        <references count="2">
          <reference field="0" count="1" selected="0">
            <x v="217"/>
          </reference>
          <reference field="1" count="1">
            <x v="59"/>
          </reference>
        </references>
      </pivotArea>
    </format>
    <format dxfId="1171">
      <pivotArea dataOnly="0" labelOnly="1" outline="0" fieldPosition="0">
        <references count="2">
          <reference field="0" count="1" selected="0">
            <x v="218"/>
          </reference>
          <reference field="1" count="1">
            <x v="18"/>
          </reference>
        </references>
      </pivotArea>
    </format>
    <format dxfId="1170">
      <pivotArea dataOnly="0" labelOnly="1" outline="0" fieldPosition="0">
        <references count="2">
          <reference field="0" count="1" selected="0">
            <x v="219"/>
          </reference>
          <reference field="1" count="1">
            <x v="39"/>
          </reference>
        </references>
      </pivotArea>
    </format>
    <format dxfId="1169">
      <pivotArea dataOnly="0" labelOnly="1" outline="0" fieldPosition="0">
        <references count="2">
          <reference field="0" count="1" selected="0">
            <x v="220"/>
          </reference>
          <reference field="1" count="1">
            <x v="53"/>
          </reference>
        </references>
      </pivotArea>
    </format>
    <format dxfId="1168">
      <pivotArea dataOnly="0" labelOnly="1" outline="0" fieldPosition="0">
        <references count="2">
          <reference field="0" count="1" selected="0">
            <x v="221"/>
          </reference>
          <reference field="1" count="1">
            <x v="12"/>
          </reference>
        </references>
      </pivotArea>
    </format>
    <format dxfId="1167">
      <pivotArea dataOnly="0" labelOnly="1" outline="0" fieldPosition="0">
        <references count="2">
          <reference field="0" count="1" selected="0">
            <x v="222"/>
          </reference>
          <reference field="1" count="1">
            <x v="36"/>
          </reference>
        </references>
      </pivotArea>
    </format>
    <format dxfId="1166">
      <pivotArea dataOnly="0" labelOnly="1" outline="0" fieldPosition="0">
        <references count="2">
          <reference field="0" count="1" selected="0">
            <x v="223"/>
          </reference>
          <reference field="1" count="1">
            <x v="15"/>
          </reference>
        </references>
      </pivotArea>
    </format>
    <format dxfId="1165">
      <pivotArea dataOnly="0" labelOnly="1" outline="0" fieldPosition="0">
        <references count="2">
          <reference field="0" count="1" selected="0">
            <x v="224"/>
          </reference>
          <reference field="1" count="1">
            <x v="59"/>
          </reference>
        </references>
      </pivotArea>
    </format>
    <format dxfId="1164">
      <pivotArea dataOnly="0" labelOnly="1" outline="0" fieldPosition="0">
        <references count="2">
          <reference field="0" count="1" selected="0">
            <x v="225"/>
          </reference>
          <reference field="1" count="1">
            <x v="26"/>
          </reference>
        </references>
      </pivotArea>
    </format>
    <format dxfId="1163">
      <pivotArea dataOnly="0" labelOnly="1" outline="0" fieldPosition="0">
        <references count="2">
          <reference field="0" count="1" selected="0">
            <x v="226"/>
          </reference>
          <reference field="1" count="1">
            <x v="42"/>
          </reference>
        </references>
      </pivotArea>
    </format>
    <format dxfId="1162">
      <pivotArea dataOnly="0" labelOnly="1" outline="0" fieldPosition="0">
        <references count="2">
          <reference field="0" count="1" selected="0">
            <x v="227"/>
          </reference>
          <reference field="1" count="1">
            <x v="52"/>
          </reference>
        </references>
      </pivotArea>
    </format>
    <format dxfId="1161">
      <pivotArea dataOnly="0" labelOnly="1" outline="0" fieldPosition="0">
        <references count="2">
          <reference field="0" count="1" selected="0">
            <x v="228"/>
          </reference>
          <reference field="1" count="1">
            <x v="54"/>
          </reference>
        </references>
      </pivotArea>
    </format>
    <format dxfId="1160">
      <pivotArea dataOnly="0" labelOnly="1" outline="0" fieldPosition="0">
        <references count="2">
          <reference field="0" count="1" selected="0">
            <x v="229"/>
          </reference>
          <reference field="1" count="1">
            <x v="53"/>
          </reference>
        </references>
      </pivotArea>
    </format>
    <format dxfId="1159">
      <pivotArea dataOnly="0" labelOnly="1" outline="0" fieldPosition="0">
        <references count="2">
          <reference field="0" count="1" selected="0">
            <x v="230"/>
          </reference>
          <reference field="1" count="1">
            <x v="21"/>
          </reference>
        </references>
      </pivotArea>
    </format>
    <format dxfId="1158">
      <pivotArea dataOnly="0" labelOnly="1" outline="0" fieldPosition="0">
        <references count="2">
          <reference field="0" count="1" selected="0">
            <x v="231"/>
          </reference>
          <reference field="1" count="1">
            <x v="52"/>
          </reference>
        </references>
      </pivotArea>
    </format>
    <format dxfId="1157">
      <pivotArea dataOnly="0" labelOnly="1" outline="0" fieldPosition="0">
        <references count="2">
          <reference field="0" count="1" selected="0">
            <x v="232"/>
          </reference>
          <reference field="1" count="1">
            <x v="47"/>
          </reference>
        </references>
      </pivotArea>
    </format>
    <format dxfId="1156">
      <pivotArea dataOnly="0" labelOnly="1" outline="0" fieldPosition="0">
        <references count="2">
          <reference field="0" count="1" selected="0">
            <x v="233"/>
          </reference>
          <reference field="1" count="1">
            <x v="33"/>
          </reference>
        </references>
      </pivotArea>
    </format>
    <format dxfId="1155">
      <pivotArea dataOnly="0" labelOnly="1" outline="0" fieldPosition="0">
        <references count="2">
          <reference field="0" count="1" selected="0">
            <x v="234"/>
          </reference>
          <reference field="1" count="1">
            <x v="34"/>
          </reference>
        </references>
      </pivotArea>
    </format>
    <format dxfId="1154">
      <pivotArea dataOnly="0" labelOnly="1" outline="0" fieldPosition="0">
        <references count="2">
          <reference field="0" count="1" selected="0">
            <x v="235"/>
          </reference>
          <reference field="1" count="1">
            <x v="38"/>
          </reference>
        </references>
      </pivotArea>
    </format>
    <format dxfId="1153">
      <pivotArea dataOnly="0" labelOnly="1" outline="0" fieldPosition="0">
        <references count="2">
          <reference field="0" count="1" selected="0">
            <x v="236"/>
          </reference>
          <reference field="1" count="1">
            <x v="7"/>
          </reference>
        </references>
      </pivotArea>
    </format>
    <format dxfId="1152">
      <pivotArea dataOnly="0" labelOnly="1" outline="0" fieldPosition="0">
        <references count="2">
          <reference field="0" count="1" selected="0">
            <x v="237"/>
          </reference>
          <reference field="1" count="1">
            <x v="55"/>
          </reference>
        </references>
      </pivotArea>
    </format>
    <format dxfId="1151">
      <pivotArea dataOnly="0" labelOnly="1" outline="0" fieldPosition="0">
        <references count="2">
          <reference field="0" count="1" selected="0">
            <x v="238"/>
          </reference>
          <reference field="1" count="1">
            <x v="9"/>
          </reference>
        </references>
      </pivotArea>
    </format>
    <format dxfId="1150">
      <pivotArea dataOnly="0" labelOnly="1" outline="0" fieldPosition="0">
        <references count="2">
          <reference field="0" count="1" selected="0">
            <x v="239"/>
          </reference>
          <reference field="1" count="1">
            <x v="3"/>
          </reference>
        </references>
      </pivotArea>
    </format>
    <format dxfId="1149">
      <pivotArea dataOnly="0" labelOnly="1" outline="0" fieldPosition="0">
        <references count="2">
          <reference field="0" count="1" selected="0">
            <x v="240"/>
          </reference>
          <reference field="1" count="1">
            <x v="27"/>
          </reference>
        </references>
      </pivotArea>
    </format>
    <format dxfId="1148">
      <pivotArea dataOnly="0" labelOnly="1" outline="0" fieldPosition="0">
        <references count="2">
          <reference field="0" count="1" selected="0">
            <x v="241"/>
          </reference>
          <reference field="1" count="1">
            <x v="58"/>
          </reference>
        </references>
      </pivotArea>
    </format>
    <format dxfId="1147">
      <pivotArea dataOnly="0" labelOnly="1" outline="0" fieldPosition="0">
        <references count="2">
          <reference field="0" count="1" selected="0">
            <x v="242"/>
          </reference>
          <reference field="1" count="1">
            <x v="12"/>
          </reference>
        </references>
      </pivotArea>
    </format>
    <format dxfId="1146">
      <pivotArea dataOnly="0" labelOnly="1" outline="0" fieldPosition="0">
        <references count="2">
          <reference field="0" count="1" selected="0">
            <x v="243"/>
          </reference>
          <reference field="1" count="1">
            <x v="19"/>
          </reference>
        </references>
      </pivotArea>
    </format>
    <format dxfId="1145">
      <pivotArea dataOnly="0" labelOnly="1" outline="0" fieldPosition="0">
        <references count="2">
          <reference field="0" count="1" selected="0">
            <x v="244"/>
          </reference>
          <reference field="1" count="1">
            <x v="34"/>
          </reference>
        </references>
      </pivotArea>
    </format>
    <format dxfId="1144">
      <pivotArea dataOnly="0" labelOnly="1" outline="0" fieldPosition="0">
        <references count="2">
          <reference field="0" count="1" selected="0">
            <x v="245"/>
          </reference>
          <reference field="1" count="1">
            <x v="40"/>
          </reference>
        </references>
      </pivotArea>
    </format>
    <format dxfId="1143">
      <pivotArea dataOnly="0" labelOnly="1" outline="0" fieldPosition="0">
        <references count="2">
          <reference field="0" count="1" selected="0">
            <x v="246"/>
          </reference>
          <reference field="1" count="1">
            <x v="37"/>
          </reference>
        </references>
      </pivotArea>
    </format>
    <format dxfId="1142">
      <pivotArea dataOnly="0" labelOnly="1" outline="0" fieldPosition="0">
        <references count="2">
          <reference field="0" count="1" selected="0">
            <x v="247"/>
          </reference>
          <reference field="1" count="1">
            <x v="40"/>
          </reference>
        </references>
      </pivotArea>
    </format>
    <format dxfId="1141">
      <pivotArea dataOnly="0" labelOnly="1" outline="0" fieldPosition="0">
        <references count="2">
          <reference field="0" count="1" selected="0">
            <x v="248"/>
          </reference>
          <reference field="1" count="1">
            <x v="39"/>
          </reference>
        </references>
      </pivotArea>
    </format>
    <format dxfId="1140">
      <pivotArea dataOnly="0" labelOnly="1" outline="0" fieldPosition="0">
        <references count="2">
          <reference field="0" count="1" selected="0">
            <x v="249"/>
          </reference>
          <reference field="1" count="1">
            <x v="43"/>
          </reference>
        </references>
      </pivotArea>
    </format>
    <format dxfId="1139">
      <pivotArea dataOnly="0" labelOnly="1" outline="0" fieldPosition="0">
        <references count="2">
          <reference field="0" count="1" selected="0">
            <x v="250"/>
          </reference>
          <reference field="1" count="1">
            <x v="39"/>
          </reference>
        </references>
      </pivotArea>
    </format>
    <format dxfId="1138">
      <pivotArea dataOnly="0" labelOnly="1" outline="0" fieldPosition="0">
        <references count="2">
          <reference field="0" count="1" selected="0">
            <x v="251"/>
          </reference>
          <reference field="1" count="1">
            <x v="35"/>
          </reference>
        </references>
      </pivotArea>
    </format>
    <format dxfId="1137">
      <pivotArea dataOnly="0" labelOnly="1" outline="0" fieldPosition="0">
        <references count="2">
          <reference field="0" count="1" selected="0">
            <x v="252"/>
          </reference>
          <reference field="1" count="1">
            <x v="12"/>
          </reference>
        </references>
      </pivotArea>
    </format>
    <format dxfId="1136">
      <pivotArea dataOnly="0" labelOnly="1" outline="0" fieldPosition="0">
        <references count="2">
          <reference field="0" count="1" selected="0">
            <x v="253"/>
          </reference>
          <reference field="1" count="1">
            <x v="28"/>
          </reference>
        </references>
      </pivotArea>
    </format>
    <format dxfId="1135">
      <pivotArea dataOnly="0" labelOnly="1" outline="0" fieldPosition="0">
        <references count="2">
          <reference field="0" count="1" selected="0">
            <x v="254"/>
          </reference>
          <reference field="1" count="1">
            <x v="48"/>
          </reference>
        </references>
      </pivotArea>
    </format>
    <format dxfId="1134">
      <pivotArea dataOnly="0" labelOnly="1" outline="0" fieldPosition="0">
        <references count="2">
          <reference field="0" count="1" selected="0">
            <x v="255"/>
          </reference>
          <reference field="1" count="1">
            <x v="20"/>
          </reference>
        </references>
      </pivotArea>
    </format>
    <format dxfId="1133">
      <pivotArea dataOnly="0" labelOnly="1" outline="0" fieldPosition="0">
        <references count="2">
          <reference field="0" count="1" selected="0">
            <x v="256"/>
          </reference>
          <reference field="1" count="1">
            <x v="24"/>
          </reference>
        </references>
      </pivotArea>
    </format>
    <format dxfId="1132">
      <pivotArea dataOnly="0" labelOnly="1" outline="0" fieldPosition="0">
        <references count="2">
          <reference field="0" count="1" selected="0">
            <x v="257"/>
          </reference>
          <reference field="1" count="1">
            <x v="8"/>
          </reference>
        </references>
      </pivotArea>
    </format>
    <format dxfId="1131">
      <pivotArea dataOnly="0" labelOnly="1" outline="0" fieldPosition="0">
        <references count="2">
          <reference field="0" count="1" selected="0">
            <x v="258"/>
          </reference>
          <reference field="1" count="1">
            <x v="52"/>
          </reference>
        </references>
      </pivotArea>
    </format>
    <format dxfId="1130">
      <pivotArea dataOnly="0" labelOnly="1" outline="0" fieldPosition="0">
        <references count="2">
          <reference field="0" count="1" selected="0">
            <x v="259"/>
          </reference>
          <reference field="1" count="1">
            <x v="54"/>
          </reference>
        </references>
      </pivotArea>
    </format>
    <format dxfId="1129">
      <pivotArea dataOnly="0" labelOnly="1" outline="0" fieldPosition="0">
        <references count="2">
          <reference field="0" count="1" selected="0">
            <x v="260"/>
          </reference>
          <reference field="1" count="1">
            <x v="8"/>
          </reference>
        </references>
      </pivotArea>
    </format>
    <format dxfId="1128">
      <pivotArea dataOnly="0" labelOnly="1" outline="0" fieldPosition="0">
        <references count="2">
          <reference field="0" count="1" selected="0">
            <x v="261"/>
          </reference>
          <reference field="1" count="1">
            <x v="11"/>
          </reference>
        </references>
      </pivotArea>
    </format>
    <format dxfId="1127">
      <pivotArea dataOnly="0" labelOnly="1" outline="0" fieldPosition="0">
        <references count="2">
          <reference field="0" count="1" selected="0">
            <x v="262"/>
          </reference>
          <reference field="1" count="1">
            <x v="51"/>
          </reference>
        </references>
      </pivotArea>
    </format>
    <format dxfId="1126">
      <pivotArea dataOnly="0" labelOnly="1" outline="0" fieldPosition="0">
        <references count="2">
          <reference field="0" count="1" selected="0">
            <x v="263"/>
          </reference>
          <reference field="1" count="1">
            <x v="50"/>
          </reference>
        </references>
      </pivotArea>
    </format>
    <format dxfId="1125">
      <pivotArea dataOnly="0" labelOnly="1" outline="0" fieldPosition="0">
        <references count="2">
          <reference field="0" count="1" selected="0">
            <x v="264"/>
          </reference>
          <reference field="1" count="1">
            <x v="36"/>
          </reference>
        </references>
      </pivotArea>
    </format>
    <format dxfId="1124">
      <pivotArea dataOnly="0" labelOnly="1" outline="0" fieldPosition="0">
        <references count="2">
          <reference field="0" count="1" selected="0">
            <x v="265"/>
          </reference>
          <reference field="1" count="1">
            <x v="18"/>
          </reference>
        </references>
      </pivotArea>
    </format>
    <format dxfId="1123">
      <pivotArea dataOnly="0" labelOnly="1" outline="0" fieldPosition="0">
        <references count="2">
          <reference field="0" count="1" selected="0">
            <x v="266"/>
          </reference>
          <reference field="1" count="1">
            <x v="49"/>
          </reference>
        </references>
      </pivotArea>
    </format>
    <format dxfId="1122">
      <pivotArea dataOnly="0" labelOnly="1" outline="0" fieldPosition="0">
        <references count="2">
          <reference field="0" count="1" selected="0">
            <x v="267"/>
          </reference>
          <reference field="1" count="1">
            <x v="32"/>
          </reference>
        </references>
      </pivotArea>
    </format>
    <format dxfId="1121">
      <pivotArea dataOnly="0" labelOnly="1" outline="0" fieldPosition="0">
        <references count="2">
          <reference field="0" count="1" selected="0">
            <x v="268"/>
          </reference>
          <reference field="1" count="1">
            <x v="18"/>
          </reference>
        </references>
      </pivotArea>
    </format>
    <format dxfId="1120">
      <pivotArea dataOnly="0" labelOnly="1" outline="0" fieldPosition="0">
        <references count="2">
          <reference field="0" count="1" selected="0">
            <x v="269"/>
          </reference>
          <reference field="1" count="1">
            <x v="26"/>
          </reference>
        </references>
      </pivotArea>
    </format>
    <format dxfId="1119">
      <pivotArea dataOnly="0" labelOnly="1" outline="0" fieldPosition="0">
        <references count="2">
          <reference field="0" count="1" selected="0">
            <x v="270"/>
          </reference>
          <reference field="1" count="1">
            <x v="5"/>
          </reference>
        </references>
      </pivotArea>
    </format>
    <format dxfId="1118">
      <pivotArea dataOnly="0" labelOnly="1" outline="0" fieldPosition="0">
        <references count="2">
          <reference field="0" count="1" selected="0">
            <x v="271"/>
          </reference>
          <reference field="1" count="1">
            <x v="30"/>
          </reference>
        </references>
      </pivotArea>
    </format>
    <format dxfId="1117">
      <pivotArea dataOnly="0" labelOnly="1" outline="0" fieldPosition="0">
        <references count="2">
          <reference field="0" count="1" selected="0">
            <x v="272"/>
          </reference>
          <reference field="1" count="1">
            <x v="40"/>
          </reference>
        </references>
      </pivotArea>
    </format>
    <format dxfId="1116">
      <pivotArea dataOnly="0" labelOnly="1" outline="0" fieldPosition="0">
        <references count="2">
          <reference field="0" count="1" selected="0">
            <x v="273"/>
          </reference>
          <reference field="1" count="1">
            <x v="54"/>
          </reference>
        </references>
      </pivotArea>
    </format>
    <format dxfId="1115">
      <pivotArea dataOnly="0" labelOnly="1" outline="0" fieldPosition="0">
        <references count="2">
          <reference field="0" count="1" selected="0">
            <x v="274"/>
          </reference>
          <reference field="1" count="1">
            <x v="32"/>
          </reference>
        </references>
      </pivotArea>
    </format>
    <format dxfId="1114">
      <pivotArea dataOnly="0" labelOnly="1" outline="0" fieldPosition="0">
        <references count="2">
          <reference field="0" count="1" selected="0">
            <x v="275"/>
          </reference>
          <reference field="1" count="1">
            <x v="47"/>
          </reference>
        </references>
      </pivotArea>
    </format>
    <format dxfId="1113">
      <pivotArea dataOnly="0" labelOnly="1" outline="0" fieldPosition="0">
        <references count="2">
          <reference field="0" count="1" selected="0">
            <x v="276"/>
          </reference>
          <reference field="1" count="1">
            <x v="58"/>
          </reference>
        </references>
      </pivotArea>
    </format>
    <format dxfId="1112">
      <pivotArea dataOnly="0" labelOnly="1" outline="0" fieldPosition="0">
        <references count="2">
          <reference field="0" count="1" selected="0">
            <x v="277"/>
          </reference>
          <reference field="1" count="1">
            <x v="9"/>
          </reference>
        </references>
      </pivotArea>
    </format>
    <format dxfId="1111">
      <pivotArea dataOnly="0" labelOnly="1" outline="0" fieldPosition="0">
        <references count="2">
          <reference field="0" count="1" selected="0">
            <x v="278"/>
          </reference>
          <reference field="1" count="1">
            <x v="12"/>
          </reference>
        </references>
      </pivotArea>
    </format>
    <format dxfId="1110">
      <pivotArea dataOnly="0" labelOnly="1" outline="0" fieldPosition="0">
        <references count="2">
          <reference field="0" count="1" selected="0">
            <x v="279"/>
          </reference>
          <reference field="1" count="1">
            <x v="28"/>
          </reference>
        </references>
      </pivotArea>
    </format>
    <format dxfId="1109">
      <pivotArea dataOnly="0" labelOnly="1" outline="0" fieldPosition="0">
        <references count="2">
          <reference field="0" count="1" selected="0">
            <x v="280"/>
          </reference>
          <reference field="1" count="1">
            <x v="39"/>
          </reference>
        </references>
      </pivotArea>
    </format>
    <format dxfId="1108">
      <pivotArea dataOnly="0" labelOnly="1" outline="0" fieldPosition="0">
        <references count="2">
          <reference field="0" count="1" selected="0">
            <x v="281"/>
          </reference>
          <reference field="1" count="1">
            <x v="51"/>
          </reference>
        </references>
      </pivotArea>
    </format>
    <format dxfId="1107">
      <pivotArea dataOnly="0" labelOnly="1" outline="0" fieldPosition="0">
        <references count="2">
          <reference field="0" count="1" selected="0">
            <x v="282"/>
          </reference>
          <reference field="1" count="1">
            <x v="1"/>
          </reference>
        </references>
      </pivotArea>
    </format>
    <format dxfId="1106">
      <pivotArea dataOnly="0" labelOnly="1" outline="0" fieldPosition="0">
        <references count="2">
          <reference field="0" count="1" selected="0">
            <x v="283"/>
          </reference>
          <reference field="1" count="1">
            <x v="18"/>
          </reference>
        </references>
      </pivotArea>
    </format>
    <format dxfId="1105">
      <pivotArea dataOnly="0" labelOnly="1" outline="0" fieldPosition="0">
        <references count="2">
          <reference field="0" count="1" selected="0">
            <x v="284"/>
          </reference>
          <reference field="1" count="1">
            <x v="34"/>
          </reference>
        </references>
      </pivotArea>
    </format>
    <format dxfId="1104">
      <pivotArea dataOnly="0" labelOnly="1" outline="0" fieldPosition="0">
        <references count="2">
          <reference field="0" count="1" selected="0">
            <x v="285"/>
          </reference>
          <reference field="1" count="1">
            <x v="58"/>
          </reference>
        </references>
      </pivotArea>
    </format>
    <format dxfId="1103">
      <pivotArea dataOnly="0" labelOnly="1" outline="0" fieldPosition="0">
        <references count="2">
          <reference field="0" count="1" selected="0">
            <x v="286"/>
          </reference>
          <reference field="1" count="1">
            <x v="47"/>
          </reference>
        </references>
      </pivotArea>
    </format>
    <format dxfId="1102">
      <pivotArea dataOnly="0" labelOnly="1" outline="0" fieldPosition="0">
        <references count="2">
          <reference field="0" count="1" selected="0">
            <x v="287"/>
          </reference>
          <reference field="1" count="1">
            <x v="27"/>
          </reference>
        </references>
      </pivotArea>
    </format>
    <format dxfId="1101">
      <pivotArea dataOnly="0" labelOnly="1" outline="0" fieldPosition="0">
        <references count="2">
          <reference field="0" count="1" selected="0">
            <x v="288"/>
          </reference>
          <reference field="1" count="1">
            <x v="46"/>
          </reference>
        </references>
      </pivotArea>
    </format>
    <format dxfId="1100">
      <pivotArea dataOnly="0" labelOnly="1" outline="0" fieldPosition="0">
        <references count="2">
          <reference field="0" count="1" selected="0">
            <x v="289"/>
          </reference>
          <reference field="1" count="1">
            <x v="53"/>
          </reference>
        </references>
      </pivotArea>
    </format>
    <format dxfId="1099">
      <pivotArea dataOnly="0" labelOnly="1" outline="0" fieldPosition="0">
        <references count="2">
          <reference field="0" count="1" selected="0">
            <x v="290"/>
          </reference>
          <reference field="1" count="1">
            <x v="41"/>
          </reference>
        </references>
      </pivotArea>
    </format>
    <format dxfId="1098">
      <pivotArea dataOnly="0" labelOnly="1" outline="0" fieldPosition="0">
        <references count="2">
          <reference field="0" count="1" selected="0">
            <x v="291"/>
          </reference>
          <reference field="1" count="1">
            <x v="3"/>
          </reference>
        </references>
      </pivotArea>
    </format>
    <format dxfId="1097">
      <pivotArea dataOnly="0" labelOnly="1" outline="0" fieldPosition="0">
        <references count="2">
          <reference field="0" count="1" selected="0">
            <x v="292"/>
          </reference>
          <reference field="1" count="1">
            <x v="56"/>
          </reference>
        </references>
      </pivotArea>
    </format>
    <format dxfId="1096">
      <pivotArea dataOnly="0" labelOnly="1" outline="0" fieldPosition="0">
        <references count="2">
          <reference field="0" count="1" selected="0">
            <x v="293"/>
          </reference>
          <reference field="1" count="1">
            <x v="25"/>
          </reference>
        </references>
      </pivotArea>
    </format>
    <format dxfId="1095">
      <pivotArea dataOnly="0" labelOnly="1" outline="0" fieldPosition="0">
        <references count="2">
          <reference field="0" count="1" selected="0">
            <x v="294"/>
          </reference>
          <reference field="1" count="1">
            <x v="14"/>
          </reference>
        </references>
      </pivotArea>
    </format>
    <format dxfId="1094">
      <pivotArea dataOnly="0" labelOnly="1" outline="0" fieldPosition="0">
        <references count="2">
          <reference field="0" count="1" selected="0">
            <x v="295"/>
          </reference>
          <reference field="1" count="1">
            <x v="5"/>
          </reference>
        </references>
      </pivotArea>
    </format>
    <format dxfId="1093">
      <pivotArea dataOnly="0" labelOnly="1" outline="0" fieldPosition="0">
        <references count="2">
          <reference field="0" count="1" selected="0">
            <x v="296"/>
          </reference>
          <reference field="1" count="1">
            <x v="28"/>
          </reference>
        </references>
      </pivotArea>
    </format>
    <format dxfId="1092">
      <pivotArea dataOnly="0" labelOnly="1" outline="0" fieldPosition="0">
        <references count="2">
          <reference field="0" count="1" selected="0">
            <x v="297"/>
          </reference>
          <reference field="1" count="1">
            <x v="20"/>
          </reference>
        </references>
      </pivotArea>
    </format>
    <format dxfId="1091">
      <pivotArea dataOnly="0" labelOnly="1" outline="0" fieldPosition="0">
        <references count="2">
          <reference field="0" count="1" selected="0">
            <x v="298"/>
          </reference>
          <reference field="1" count="1">
            <x v="42"/>
          </reference>
        </references>
      </pivotArea>
    </format>
    <format dxfId="1090">
      <pivotArea dataOnly="0" labelOnly="1" outline="0" fieldPosition="0">
        <references count="2">
          <reference field="0" count="1" selected="0">
            <x v="299"/>
          </reference>
          <reference field="1" count="1">
            <x v="39"/>
          </reference>
        </references>
      </pivotArea>
    </format>
    <format dxfId="1089">
      <pivotArea dataOnly="0" labelOnly="1" outline="0" fieldPosition="0">
        <references count="3">
          <reference field="0" count="1" selected="0">
            <x v="0"/>
          </reference>
          <reference field="1" count="1" selected="0">
            <x v="0"/>
          </reference>
          <reference field="2" count="1">
            <x v="0"/>
          </reference>
        </references>
      </pivotArea>
    </format>
    <format dxfId="1088">
      <pivotArea dataOnly="0" labelOnly="1" outline="0" fieldPosition="0">
        <references count="3">
          <reference field="0" count="1" selected="0">
            <x v="1"/>
          </reference>
          <reference field="1" count="1" selected="0">
            <x v="58"/>
          </reference>
          <reference field="2" count="1">
            <x v="1"/>
          </reference>
        </references>
      </pivotArea>
    </format>
    <format dxfId="1087">
      <pivotArea dataOnly="0" labelOnly="1" outline="0" fieldPosition="0">
        <references count="3">
          <reference field="0" count="1" selected="0">
            <x v="2"/>
          </reference>
          <reference field="1" count="1" selected="0">
            <x v="35"/>
          </reference>
          <reference field="2" count="1">
            <x v="4"/>
          </reference>
        </references>
      </pivotArea>
    </format>
    <format dxfId="1086">
      <pivotArea dataOnly="0" labelOnly="1" outline="0" fieldPosition="0">
        <references count="3">
          <reference field="0" count="1" selected="0">
            <x v="4"/>
          </reference>
          <reference field="1" count="1" selected="0">
            <x v="8"/>
          </reference>
          <reference field="2" count="1">
            <x v="5"/>
          </reference>
        </references>
      </pivotArea>
    </format>
    <format dxfId="1085">
      <pivotArea dataOnly="0" labelOnly="1" outline="0" fieldPosition="0">
        <references count="3">
          <reference field="0" count="1" selected="0">
            <x v="5"/>
          </reference>
          <reference field="1" count="1" selected="0">
            <x v="36"/>
          </reference>
          <reference field="2" count="1">
            <x v="1"/>
          </reference>
        </references>
      </pivotArea>
    </format>
    <format dxfId="1084">
      <pivotArea dataOnly="0" labelOnly="1" outline="0" fieldPosition="0">
        <references count="3">
          <reference field="0" count="1" selected="0">
            <x v="6"/>
          </reference>
          <reference field="1" count="1" selected="0">
            <x v="23"/>
          </reference>
          <reference field="2" count="1">
            <x v="2"/>
          </reference>
        </references>
      </pivotArea>
    </format>
    <format dxfId="1083">
      <pivotArea dataOnly="0" labelOnly="1" outline="0" fieldPosition="0">
        <references count="3">
          <reference field="0" count="1" selected="0">
            <x v="7"/>
          </reference>
          <reference field="1" count="1" selected="0">
            <x v="16"/>
          </reference>
          <reference field="2" count="1">
            <x v="5"/>
          </reference>
        </references>
      </pivotArea>
    </format>
    <format dxfId="1082">
      <pivotArea dataOnly="0" labelOnly="1" outline="0" fieldPosition="0">
        <references count="3">
          <reference field="0" count="1" selected="0">
            <x v="8"/>
          </reference>
          <reference field="1" count="1" selected="0">
            <x v="9"/>
          </reference>
          <reference field="2" count="1">
            <x v="3"/>
          </reference>
        </references>
      </pivotArea>
    </format>
    <format dxfId="1081">
      <pivotArea dataOnly="0" labelOnly="1" outline="0" fieldPosition="0">
        <references count="3">
          <reference field="0" count="1" selected="0">
            <x v="10"/>
          </reference>
          <reference field="1" count="1" selected="0">
            <x v="14"/>
          </reference>
          <reference field="2" count="1">
            <x v="4"/>
          </reference>
        </references>
      </pivotArea>
    </format>
    <format dxfId="1080">
      <pivotArea dataOnly="0" labelOnly="1" outline="0" fieldPosition="0">
        <references count="3">
          <reference field="0" count="1" selected="0">
            <x v="11"/>
          </reference>
          <reference field="1" count="1" selected="0">
            <x v="27"/>
          </reference>
          <reference field="2" count="1">
            <x v="0"/>
          </reference>
        </references>
      </pivotArea>
    </format>
    <format dxfId="1079">
      <pivotArea dataOnly="0" labelOnly="1" outline="0" fieldPosition="0">
        <references count="3">
          <reference field="0" count="1" selected="0">
            <x v="12"/>
          </reference>
          <reference field="1" count="1" selected="0">
            <x v="28"/>
          </reference>
          <reference field="2" count="1">
            <x v="3"/>
          </reference>
        </references>
      </pivotArea>
    </format>
    <format dxfId="1078">
      <pivotArea dataOnly="0" labelOnly="1" outline="0" fieldPosition="0">
        <references count="3">
          <reference field="0" count="1" selected="0">
            <x v="13"/>
          </reference>
          <reference field="1" count="1" selected="0">
            <x v="37"/>
          </reference>
          <reference field="2" count="1">
            <x v="1"/>
          </reference>
        </references>
      </pivotArea>
    </format>
    <format dxfId="1077">
      <pivotArea dataOnly="0" labelOnly="1" outline="0" fieldPosition="0">
        <references count="3">
          <reference field="0" count="1" selected="0">
            <x v="14"/>
          </reference>
          <reference field="1" count="1" selected="0">
            <x v="15"/>
          </reference>
          <reference field="2" count="1">
            <x v="2"/>
          </reference>
        </references>
      </pivotArea>
    </format>
    <format dxfId="1076">
      <pivotArea dataOnly="0" labelOnly="1" outline="0" fieldPosition="0">
        <references count="3">
          <reference field="0" count="1" selected="0">
            <x v="15"/>
          </reference>
          <reference field="1" count="1" selected="0">
            <x v="9"/>
          </reference>
          <reference field="2" count="1">
            <x v="3"/>
          </reference>
        </references>
      </pivotArea>
    </format>
    <format dxfId="1075">
      <pivotArea dataOnly="0" labelOnly="1" outline="0" fieldPosition="0">
        <references count="3">
          <reference field="0" count="1" selected="0">
            <x v="16"/>
          </reference>
          <reference field="1" count="1" selected="0">
            <x v="3"/>
          </reference>
          <reference field="2" count="1">
            <x v="4"/>
          </reference>
        </references>
      </pivotArea>
    </format>
    <format dxfId="1074">
      <pivotArea dataOnly="0" labelOnly="1" outline="0" fieldPosition="0">
        <references count="3">
          <reference field="0" count="1" selected="0">
            <x v="17"/>
          </reference>
          <reference field="1" count="1" selected="0">
            <x v="58"/>
          </reference>
          <reference field="2" count="1">
            <x v="1"/>
          </reference>
        </references>
      </pivotArea>
    </format>
    <format dxfId="1073">
      <pivotArea dataOnly="0" labelOnly="1" outline="0" fieldPosition="0">
        <references count="3">
          <reference field="0" count="1" selected="0">
            <x v="18"/>
          </reference>
          <reference field="1" count="1" selected="0">
            <x v="40"/>
          </reference>
          <reference field="2" count="1">
            <x v="2"/>
          </reference>
        </references>
      </pivotArea>
    </format>
    <format dxfId="1072">
      <pivotArea dataOnly="0" labelOnly="1" outline="0" fieldPosition="0">
        <references count="3">
          <reference field="0" count="1" selected="0">
            <x v="19"/>
          </reference>
          <reference field="1" count="1" selected="0">
            <x v="12"/>
          </reference>
          <reference field="2" count="1">
            <x v="4"/>
          </reference>
        </references>
      </pivotArea>
    </format>
    <format dxfId="1071">
      <pivotArea dataOnly="0" labelOnly="1" outline="0" fieldPosition="0">
        <references count="3">
          <reference field="0" count="1" selected="0">
            <x v="21"/>
          </reference>
          <reference field="1" count="1" selected="0">
            <x v="4"/>
          </reference>
          <reference field="2" count="1">
            <x v="0"/>
          </reference>
        </references>
      </pivotArea>
    </format>
    <format dxfId="1070">
      <pivotArea dataOnly="0" labelOnly="1" outline="0" fieldPosition="0">
        <references count="3">
          <reference field="0" count="1" selected="0">
            <x v="22"/>
          </reference>
          <reference field="1" count="1" selected="0">
            <x v="49"/>
          </reference>
          <reference field="2" count="1">
            <x v="3"/>
          </reference>
        </references>
      </pivotArea>
    </format>
    <format dxfId="1069">
      <pivotArea dataOnly="0" labelOnly="1" outline="0" fieldPosition="0">
        <references count="3">
          <reference field="0" count="1" selected="0">
            <x v="24"/>
          </reference>
          <reference field="1" count="1" selected="0">
            <x v="21"/>
          </reference>
          <reference field="2" count="1">
            <x v="2"/>
          </reference>
        </references>
      </pivotArea>
    </format>
    <format dxfId="1068">
      <pivotArea dataOnly="0" labelOnly="1" outline="0" fieldPosition="0">
        <references count="3">
          <reference field="0" count="1" selected="0">
            <x v="26"/>
          </reference>
          <reference field="1" count="1" selected="0">
            <x v="9"/>
          </reference>
          <reference field="2" count="1">
            <x v="3"/>
          </reference>
        </references>
      </pivotArea>
    </format>
    <format dxfId="1067">
      <pivotArea dataOnly="0" labelOnly="1" outline="0" fieldPosition="0">
        <references count="3">
          <reference field="0" count="1" selected="0">
            <x v="27"/>
          </reference>
          <reference field="1" count="1" selected="0">
            <x v="22"/>
          </reference>
          <reference field="2" count="1">
            <x v="2"/>
          </reference>
        </references>
      </pivotArea>
    </format>
    <format dxfId="1066">
      <pivotArea dataOnly="0" labelOnly="1" outline="0" fieldPosition="0">
        <references count="3">
          <reference field="0" count="1" selected="0">
            <x v="28"/>
          </reference>
          <reference field="1" count="1" selected="0">
            <x v="19"/>
          </reference>
          <reference field="2" count="1">
            <x v="5"/>
          </reference>
        </references>
      </pivotArea>
    </format>
    <format dxfId="1065">
      <pivotArea dataOnly="0" labelOnly="1" outline="0" fieldPosition="0">
        <references count="3">
          <reference field="0" count="1" selected="0">
            <x v="29"/>
          </reference>
          <reference field="1" count="1" selected="0">
            <x v="4"/>
          </reference>
          <reference field="2" count="1">
            <x v="0"/>
          </reference>
        </references>
      </pivotArea>
    </format>
    <format dxfId="1064">
      <pivotArea dataOnly="0" labelOnly="1" outline="0" fieldPosition="0">
        <references count="3">
          <reference field="0" count="1" selected="0">
            <x v="30"/>
          </reference>
          <reference field="1" count="1" selected="0">
            <x v="23"/>
          </reference>
          <reference field="2" count="1">
            <x v="2"/>
          </reference>
        </references>
      </pivotArea>
    </format>
    <format dxfId="1063">
      <pivotArea dataOnly="0" labelOnly="1" outline="0" fieldPosition="0">
        <references count="3">
          <reference field="0" count="1" selected="0">
            <x v="31"/>
          </reference>
          <reference field="1" count="1" selected="0">
            <x v="34"/>
          </reference>
          <reference field="2" count="1">
            <x v="5"/>
          </reference>
        </references>
      </pivotArea>
    </format>
    <format dxfId="1062">
      <pivotArea dataOnly="0" labelOnly="1" outline="0" fieldPosition="0">
        <references count="3">
          <reference field="0" count="1" selected="0">
            <x v="32"/>
          </reference>
          <reference field="1" count="1" selected="0">
            <x v="53"/>
          </reference>
          <reference field="2" count="1">
            <x v="1"/>
          </reference>
        </references>
      </pivotArea>
    </format>
    <format dxfId="1061">
      <pivotArea dataOnly="0" labelOnly="1" outline="0" fieldPosition="0">
        <references count="3">
          <reference field="0" count="1" selected="0">
            <x v="33"/>
          </reference>
          <reference field="1" count="1" selected="0">
            <x v="45"/>
          </reference>
          <reference field="2" count="1">
            <x v="5"/>
          </reference>
        </references>
      </pivotArea>
    </format>
    <format dxfId="1060">
      <pivotArea dataOnly="0" labelOnly="1" outline="0" fieldPosition="0">
        <references count="3">
          <reference field="0" count="1" selected="0">
            <x v="34"/>
          </reference>
          <reference field="1" count="1" selected="0">
            <x v="49"/>
          </reference>
          <reference field="2" count="1">
            <x v="3"/>
          </reference>
        </references>
      </pivotArea>
    </format>
    <format dxfId="1059">
      <pivotArea dataOnly="0" labelOnly="1" outline="0" fieldPosition="0">
        <references count="3">
          <reference field="0" count="1" selected="0">
            <x v="35"/>
          </reference>
          <reference field="1" count="1" selected="0">
            <x v="0"/>
          </reference>
          <reference field="2" count="1">
            <x v="0"/>
          </reference>
        </references>
      </pivotArea>
    </format>
    <format dxfId="1058">
      <pivotArea dataOnly="0" labelOnly="1" outline="0" fieldPosition="0">
        <references count="3">
          <reference field="0" count="1" selected="0">
            <x v="36"/>
          </reference>
          <reference field="1" count="1" selected="0">
            <x v="6"/>
          </reference>
          <reference field="2" count="1">
            <x v="3"/>
          </reference>
        </references>
      </pivotArea>
    </format>
    <format dxfId="1057">
      <pivotArea dataOnly="0" labelOnly="1" outline="0" fieldPosition="0">
        <references count="3">
          <reference field="0" count="1" selected="0">
            <x v="37"/>
          </reference>
          <reference field="1" count="1" selected="0">
            <x v="4"/>
          </reference>
          <reference field="2" count="1">
            <x v="0"/>
          </reference>
        </references>
      </pivotArea>
    </format>
    <format dxfId="1056">
      <pivotArea dataOnly="0" labelOnly="1" outline="0" fieldPosition="0">
        <references count="3">
          <reference field="0" count="1" selected="0">
            <x v="38"/>
          </reference>
          <reference field="1" count="1" selected="0">
            <x v="35"/>
          </reference>
          <reference field="2" count="1">
            <x v="4"/>
          </reference>
        </references>
      </pivotArea>
    </format>
    <format dxfId="1055">
      <pivotArea dataOnly="0" labelOnly="1" outline="0" fieldPosition="0">
        <references count="3">
          <reference field="0" count="1" selected="0">
            <x v="39"/>
          </reference>
          <reference field="1" count="1" selected="0">
            <x v="41"/>
          </reference>
          <reference field="2" count="1">
            <x v="0"/>
          </reference>
        </references>
      </pivotArea>
    </format>
    <format dxfId="1054">
      <pivotArea dataOnly="0" labelOnly="1" outline="0" fieldPosition="0">
        <references count="3">
          <reference field="0" count="1" selected="0">
            <x v="41"/>
          </reference>
          <reference field="1" count="1" selected="0">
            <x v="22"/>
          </reference>
          <reference field="2" count="1">
            <x v="2"/>
          </reference>
        </references>
      </pivotArea>
    </format>
    <format dxfId="1053">
      <pivotArea dataOnly="0" labelOnly="1" outline="0" fieldPosition="0">
        <references count="3">
          <reference field="0" count="1" selected="0">
            <x v="42"/>
          </reference>
          <reference field="1" count="1" selected="0">
            <x v="12"/>
          </reference>
          <reference field="2" count="1">
            <x v="4"/>
          </reference>
        </references>
      </pivotArea>
    </format>
    <format dxfId="1052">
      <pivotArea dataOnly="0" labelOnly="1" outline="0" fieldPosition="0">
        <references count="3">
          <reference field="0" count="1" selected="0">
            <x v="43"/>
          </reference>
          <reference field="1" count="1" selected="0">
            <x v="30"/>
          </reference>
          <reference field="2" count="1">
            <x v="1"/>
          </reference>
        </references>
      </pivotArea>
    </format>
    <format dxfId="1051">
      <pivotArea dataOnly="0" labelOnly="1" outline="0" fieldPosition="0">
        <references count="3">
          <reference field="0" count="1" selected="0">
            <x v="44"/>
          </reference>
          <reference field="1" count="1" selected="0">
            <x v="14"/>
          </reference>
          <reference field="2" count="1">
            <x v="4"/>
          </reference>
        </references>
      </pivotArea>
    </format>
    <format dxfId="1050">
      <pivotArea dataOnly="0" labelOnly="1" outline="0" fieldPosition="0">
        <references count="3">
          <reference field="0" count="1" selected="0">
            <x v="45"/>
          </reference>
          <reference field="1" count="1" selected="0">
            <x v="50"/>
          </reference>
          <reference field="2" count="1">
            <x v="3"/>
          </reference>
        </references>
      </pivotArea>
    </format>
    <format dxfId="1049">
      <pivotArea dataOnly="0" labelOnly="1" outline="0" fieldPosition="0">
        <references count="3">
          <reference field="0" count="1" selected="0">
            <x v="46"/>
          </reference>
          <reference field="1" count="1" selected="0">
            <x v="42"/>
          </reference>
          <reference field="2" count="1">
            <x v="2"/>
          </reference>
        </references>
      </pivotArea>
    </format>
    <format dxfId="1048">
      <pivotArea dataOnly="0" labelOnly="1" outline="0" fieldPosition="0">
        <references count="3">
          <reference field="0" count="1" selected="0">
            <x v="47"/>
          </reference>
          <reference field="1" count="1" selected="0">
            <x v="9"/>
          </reference>
          <reference field="2" count="1">
            <x v="3"/>
          </reference>
        </references>
      </pivotArea>
    </format>
    <format dxfId="1047">
      <pivotArea dataOnly="0" labelOnly="1" outline="0" fieldPosition="0">
        <references count="3">
          <reference field="0" count="1" selected="0">
            <x v="49"/>
          </reference>
          <reference field="1" count="1" selected="0">
            <x v="14"/>
          </reference>
          <reference field="2" count="1">
            <x v="4"/>
          </reference>
        </references>
      </pivotArea>
    </format>
    <format dxfId="1046">
      <pivotArea dataOnly="0" labelOnly="1" outline="0" fieldPosition="0">
        <references count="3">
          <reference field="0" count="1" selected="0">
            <x v="50"/>
          </reference>
          <reference field="1" count="1" selected="0">
            <x v="23"/>
          </reference>
          <reference field="2" count="1">
            <x v="2"/>
          </reference>
        </references>
      </pivotArea>
    </format>
    <format dxfId="1045">
      <pivotArea dataOnly="0" labelOnly="1" outline="0" fieldPosition="0">
        <references count="3">
          <reference field="0" count="1" selected="0">
            <x v="51"/>
          </reference>
          <reference field="1" count="1" selected="0">
            <x v="17"/>
          </reference>
          <reference field="2" count="1">
            <x v="4"/>
          </reference>
        </references>
      </pivotArea>
    </format>
    <format dxfId="1044">
      <pivotArea dataOnly="0" labelOnly="1" outline="0" fieldPosition="0">
        <references count="3">
          <reference field="0" count="1" selected="0">
            <x v="52"/>
          </reference>
          <reference field="1" count="1" selected="0">
            <x v="16"/>
          </reference>
          <reference field="2" count="1">
            <x v="5"/>
          </reference>
        </references>
      </pivotArea>
    </format>
    <format dxfId="1043">
      <pivotArea dataOnly="0" labelOnly="1" outline="0" fieldPosition="0">
        <references count="3">
          <reference field="0" count="1" selected="0">
            <x v="53"/>
          </reference>
          <reference field="1" count="1" selected="0">
            <x v="10"/>
          </reference>
          <reference field="2" count="1">
            <x v="4"/>
          </reference>
        </references>
      </pivotArea>
    </format>
    <format dxfId="1042">
      <pivotArea dataOnly="0" labelOnly="1" outline="0" fieldPosition="0">
        <references count="3">
          <reference field="0" count="1" selected="0">
            <x v="54"/>
          </reference>
          <reference field="1" count="1" selected="0">
            <x v="40"/>
          </reference>
          <reference field="2" count="1">
            <x v="2"/>
          </reference>
        </references>
      </pivotArea>
    </format>
    <format dxfId="1041">
      <pivotArea dataOnly="0" labelOnly="1" outline="0" fieldPosition="0">
        <references count="3">
          <reference field="0" count="1" selected="0">
            <x v="55"/>
          </reference>
          <reference field="1" count="1" selected="0">
            <x v="13"/>
          </reference>
          <reference field="2" count="1">
            <x v="3"/>
          </reference>
        </references>
      </pivotArea>
    </format>
    <format dxfId="1040">
      <pivotArea dataOnly="0" labelOnly="1" outline="0" fieldPosition="0">
        <references count="3">
          <reference field="0" count="1" selected="0">
            <x v="56"/>
          </reference>
          <reference field="1" count="1" selected="0">
            <x v="37"/>
          </reference>
          <reference field="2" count="1">
            <x v="1"/>
          </reference>
        </references>
      </pivotArea>
    </format>
    <format dxfId="1039">
      <pivotArea dataOnly="0" labelOnly="1" outline="0" fieldPosition="0">
        <references count="3">
          <reference field="0" count="1" selected="0">
            <x v="57"/>
          </reference>
          <reference field="1" count="1" selected="0">
            <x v="48"/>
          </reference>
          <reference field="2" count="1">
            <x v="5"/>
          </reference>
        </references>
      </pivotArea>
    </format>
    <format dxfId="1038">
      <pivotArea dataOnly="0" labelOnly="1" outline="0" fieldPosition="0">
        <references count="3">
          <reference field="0" count="1" selected="0">
            <x v="59"/>
          </reference>
          <reference field="1" count="1" selected="0">
            <x v="24"/>
          </reference>
          <reference field="2" count="1">
            <x v="0"/>
          </reference>
        </references>
      </pivotArea>
    </format>
    <format dxfId="1037">
      <pivotArea dataOnly="0" labelOnly="1" outline="0" fieldPosition="0">
        <references count="3">
          <reference field="0" count="1" selected="0">
            <x v="60"/>
          </reference>
          <reference field="1" count="1" selected="0">
            <x v="34"/>
          </reference>
          <reference field="2" count="1">
            <x v="5"/>
          </reference>
        </references>
      </pivotArea>
    </format>
    <format dxfId="1036">
      <pivotArea dataOnly="0" labelOnly="1" outline="0" fieldPosition="0">
        <references count="3">
          <reference field="0" count="1" selected="0">
            <x v="61"/>
          </reference>
          <reference field="1" count="1" selected="0">
            <x v="59"/>
          </reference>
          <reference field="2" count="1">
            <x v="2"/>
          </reference>
        </references>
      </pivotArea>
    </format>
    <format dxfId="1035">
      <pivotArea dataOnly="0" labelOnly="1" outline="0" fieldPosition="0">
        <references count="3">
          <reference field="0" count="1" selected="0">
            <x v="62"/>
          </reference>
          <reference field="1" count="1" selected="0">
            <x v="10"/>
          </reference>
          <reference field="2" count="1">
            <x v="4"/>
          </reference>
        </references>
      </pivotArea>
    </format>
    <format dxfId="1034">
      <pivotArea dataOnly="0" labelOnly="1" outline="0" fieldPosition="0">
        <references count="3">
          <reference field="0" count="1" selected="0">
            <x v="63"/>
          </reference>
          <reference field="1" count="1" selected="0">
            <x v="16"/>
          </reference>
          <reference field="2" count="1">
            <x v="5"/>
          </reference>
        </references>
      </pivotArea>
    </format>
    <format dxfId="1033">
      <pivotArea dataOnly="0" labelOnly="1" outline="0" fieldPosition="0">
        <references count="3">
          <reference field="0" count="1" selected="0">
            <x v="64"/>
          </reference>
          <reference field="1" count="1" selected="0">
            <x v="4"/>
          </reference>
          <reference field="2" count="1">
            <x v="0"/>
          </reference>
        </references>
      </pivotArea>
    </format>
    <format dxfId="1032">
      <pivotArea dataOnly="0" labelOnly="1" outline="0" fieldPosition="0">
        <references count="3">
          <reference field="0" count="1" selected="0">
            <x v="65"/>
          </reference>
          <reference field="1" count="1" selected="0">
            <x v="9"/>
          </reference>
          <reference field="2" count="1">
            <x v="3"/>
          </reference>
        </references>
      </pivotArea>
    </format>
    <format dxfId="1031">
      <pivotArea dataOnly="0" labelOnly="1" outline="0" fieldPosition="0">
        <references count="3">
          <reference field="0" count="1" selected="0">
            <x v="66"/>
          </reference>
          <reference field="1" count="1" selected="0">
            <x v="43"/>
          </reference>
          <reference field="2" count="1">
            <x v="0"/>
          </reference>
        </references>
      </pivotArea>
    </format>
    <format dxfId="1030">
      <pivotArea dataOnly="0" labelOnly="1" outline="0" fieldPosition="0">
        <references count="3">
          <reference field="0" count="1" selected="0">
            <x v="67"/>
          </reference>
          <reference field="1" count="1" selected="0">
            <x v="44"/>
          </reference>
          <reference field="2" count="1">
            <x v="5"/>
          </reference>
        </references>
      </pivotArea>
    </format>
    <format dxfId="1029">
      <pivotArea dataOnly="0" labelOnly="1" outline="0" fieldPosition="0">
        <references count="3">
          <reference field="0" count="1" selected="0">
            <x v="69"/>
          </reference>
          <reference field="1" count="1" selected="0">
            <x v="20"/>
          </reference>
          <reference field="2" count="1">
            <x v="4"/>
          </reference>
        </references>
      </pivotArea>
    </format>
    <format dxfId="1028">
      <pivotArea dataOnly="0" labelOnly="1" outline="0" fieldPosition="0">
        <references count="3">
          <reference field="0" count="1" selected="0">
            <x v="70"/>
          </reference>
          <reference field="1" count="1" selected="0">
            <x v="1"/>
          </reference>
          <reference field="2" count="1">
            <x v="5"/>
          </reference>
        </references>
      </pivotArea>
    </format>
    <format dxfId="1027">
      <pivotArea dataOnly="0" labelOnly="1" outline="0" fieldPosition="0">
        <references count="3">
          <reference field="0" count="1" selected="0">
            <x v="71"/>
          </reference>
          <reference field="1" count="1" selected="0">
            <x v="30"/>
          </reference>
          <reference field="2" count="1">
            <x v="1"/>
          </reference>
        </references>
      </pivotArea>
    </format>
    <format dxfId="1026">
      <pivotArea dataOnly="0" labelOnly="1" outline="0" fieldPosition="0">
        <references count="3">
          <reference field="0" count="1" selected="0">
            <x v="72"/>
          </reference>
          <reference field="1" count="1" selected="0">
            <x v="33"/>
          </reference>
          <reference field="2" count="1">
            <x v="4"/>
          </reference>
        </references>
      </pivotArea>
    </format>
    <format dxfId="1025">
      <pivotArea dataOnly="0" labelOnly="1" outline="0" fieldPosition="0">
        <references count="3">
          <reference field="0" count="1" selected="0">
            <x v="73"/>
          </reference>
          <reference field="1" count="1" selected="0">
            <x v="44"/>
          </reference>
          <reference field="2" count="1">
            <x v="5"/>
          </reference>
        </references>
      </pivotArea>
    </format>
    <format dxfId="1024">
      <pivotArea dataOnly="0" labelOnly="1" outline="0" fieldPosition="0">
        <references count="3">
          <reference field="0" count="1" selected="0">
            <x v="74"/>
          </reference>
          <reference field="1" count="1" selected="0">
            <x v="59"/>
          </reference>
          <reference field="2" count="1">
            <x v="2"/>
          </reference>
        </references>
      </pivotArea>
    </format>
    <format dxfId="1023">
      <pivotArea dataOnly="0" labelOnly="1" outline="0" fieldPosition="0">
        <references count="3">
          <reference field="0" count="1" selected="0">
            <x v="75"/>
          </reference>
          <reference field="1" count="1" selected="0">
            <x v="5"/>
          </reference>
          <reference field="2" count="1">
            <x v="0"/>
          </reference>
        </references>
      </pivotArea>
    </format>
    <format dxfId="1022">
      <pivotArea dataOnly="0" labelOnly="1" outline="0" fieldPosition="0">
        <references count="3">
          <reference field="0" count="1" selected="0">
            <x v="76"/>
          </reference>
          <reference field="1" count="1" selected="0">
            <x v="55"/>
          </reference>
          <reference field="2" count="1">
            <x v="1"/>
          </reference>
        </references>
      </pivotArea>
    </format>
    <format dxfId="1021">
      <pivotArea dataOnly="0" labelOnly="1" outline="0" fieldPosition="0">
        <references count="3">
          <reference field="0" count="1" selected="0">
            <x v="77"/>
          </reference>
          <reference field="1" count="1" selected="0">
            <x v="59"/>
          </reference>
          <reference field="2" count="1">
            <x v="2"/>
          </reference>
        </references>
      </pivotArea>
    </format>
    <format dxfId="1020">
      <pivotArea dataOnly="0" labelOnly="1" outline="0" fieldPosition="0">
        <references count="3">
          <reference field="0" count="1" selected="0">
            <x v="78"/>
          </reference>
          <reference field="1" count="1" selected="0">
            <x v="4"/>
          </reference>
          <reference field="2" count="1">
            <x v="0"/>
          </reference>
        </references>
      </pivotArea>
    </format>
    <format dxfId="1019">
      <pivotArea dataOnly="0" labelOnly="1" outline="0" fieldPosition="0">
        <references count="3">
          <reference field="0" count="1" selected="0">
            <x v="79"/>
          </reference>
          <reference field="1" count="1" selected="0">
            <x v="9"/>
          </reference>
          <reference field="2" count="1">
            <x v="3"/>
          </reference>
        </references>
      </pivotArea>
    </format>
    <format dxfId="1018">
      <pivotArea dataOnly="0" labelOnly="1" outline="0" fieldPosition="0">
        <references count="3">
          <reference field="0" count="1" selected="0">
            <x v="80"/>
          </reference>
          <reference field="1" count="1" selected="0">
            <x v="48"/>
          </reference>
          <reference field="2" count="1">
            <x v="5"/>
          </reference>
        </references>
      </pivotArea>
    </format>
    <format dxfId="1017">
      <pivotArea dataOnly="0" labelOnly="1" outline="0" fieldPosition="0">
        <references count="3">
          <reference field="0" count="1" selected="0">
            <x v="81"/>
          </reference>
          <reference field="1" count="1" selected="0">
            <x v="54"/>
          </reference>
          <reference field="2" count="1">
            <x v="2"/>
          </reference>
        </references>
      </pivotArea>
    </format>
    <format dxfId="1016">
      <pivotArea dataOnly="0" labelOnly="1" outline="0" fieldPosition="0">
        <references count="3">
          <reference field="0" count="1" selected="0">
            <x v="82"/>
          </reference>
          <reference field="1" count="1" selected="0">
            <x v="52"/>
          </reference>
          <reference field="2" count="1">
            <x v="1"/>
          </reference>
        </references>
      </pivotArea>
    </format>
    <format dxfId="1015">
      <pivotArea dataOnly="0" labelOnly="1" outline="0" fieldPosition="0">
        <references count="3">
          <reference field="0" count="1" selected="0">
            <x v="83"/>
          </reference>
          <reference field="1" count="1" selected="0">
            <x v="46"/>
          </reference>
          <reference field="2" count="1">
            <x v="3"/>
          </reference>
        </references>
      </pivotArea>
    </format>
    <format dxfId="1014">
      <pivotArea dataOnly="0" labelOnly="1" outline="0" fieldPosition="0">
        <references count="3">
          <reference field="0" count="1" selected="0">
            <x v="84"/>
          </reference>
          <reference field="1" count="1" selected="0">
            <x v="39"/>
          </reference>
          <reference field="2" count="1">
            <x v="2"/>
          </reference>
        </references>
      </pivotArea>
    </format>
    <format dxfId="1013">
      <pivotArea dataOnly="0" labelOnly="1" outline="0" fieldPosition="0">
        <references count="3">
          <reference field="0" count="1" selected="0">
            <x v="85"/>
          </reference>
          <reference field="1" count="1" selected="0">
            <x v="10"/>
          </reference>
          <reference field="2" count="1">
            <x v="4"/>
          </reference>
        </references>
      </pivotArea>
    </format>
    <format dxfId="1012">
      <pivotArea dataOnly="0" labelOnly="1" outline="0" fieldPosition="0">
        <references count="3">
          <reference field="0" count="1" selected="0">
            <x v="86"/>
          </reference>
          <reference field="1" count="1" selected="0">
            <x v="29"/>
          </reference>
          <reference field="2" count="1">
            <x v="1"/>
          </reference>
        </references>
      </pivotArea>
    </format>
    <format dxfId="1011">
      <pivotArea dataOnly="0" labelOnly="1" outline="0" fieldPosition="0">
        <references count="3">
          <reference field="0" count="1" selected="0">
            <x v="87"/>
          </reference>
          <reference field="1" count="1" selected="0">
            <x v="4"/>
          </reference>
          <reference field="2" count="1">
            <x v="0"/>
          </reference>
        </references>
      </pivotArea>
    </format>
    <format dxfId="1010">
      <pivotArea dataOnly="0" labelOnly="1" outline="0" fieldPosition="0">
        <references count="3">
          <reference field="0" count="1" selected="0">
            <x v="88"/>
          </reference>
          <reference field="1" count="1" selected="0">
            <x v="2"/>
          </reference>
          <reference field="2" count="1">
            <x v="3"/>
          </reference>
        </references>
      </pivotArea>
    </format>
    <format dxfId="1009">
      <pivotArea dataOnly="0" labelOnly="1" outline="0" fieldPosition="0">
        <references count="3">
          <reference field="0" count="1" selected="0">
            <x v="89"/>
          </reference>
          <reference field="1" count="1" selected="0">
            <x v="52"/>
          </reference>
          <reference field="2" count="1">
            <x v="1"/>
          </reference>
        </references>
      </pivotArea>
    </format>
    <format dxfId="1008">
      <pivotArea dataOnly="0" labelOnly="1" outline="0" fieldPosition="0">
        <references count="3">
          <reference field="0" count="1" selected="0">
            <x v="91"/>
          </reference>
          <reference field="1" count="1" selected="0">
            <x v="51"/>
          </reference>
          <reference field="2" count="1">
            <x v="0"/>
          </reference>
        </references>
      </pivotArea>
    </format>
    <format dxfId="1007">
      <pivotArea dataOnly="0" labelOnly="1" outline="0" fieldPosition="0">
        <references count="3">
          <reference field="0" count="1" selected="0">
            <x v="94"/>
          </reference>
          <reference field="1" count="1" selected="0">
            <x v="42"/>
          </reference>
          <reference field="2" count="1">
            <x v="2"/>
          </reference>
        </references>
      </pivotArea>
    </format>
    <format dxfId="1006">
      <pivotArea dataOnly="0" labelOnly="1" outline="0" fieldPosition="0">
        <references count="3">
          <reference field="0" count="1" selected="0">
            <x v="95"/>
          </reference>
          <reference field="1" count="1" selected="0">
            <x v="51"/>
          </reference>
          <reference field="2" count="1">
            <x v="0"/>
          </reference>
        </references>
      </pivotArea>
    </format>
    <format dxfId="1005">
      <pivotArea dataOnly="0" labelOnly="1" outline="0" fieldPosition="0">
        <references count="3">
          <reference field="0" count="1" selected="0">
            <x v="96"/>
          </reference>
          <reference field="1" count="1" selected="0">
            <x v="31"/>
          </reference>
          <reference field="2" count="1">
            <x v="3"/>
          </reference>
        </references>
      </pivotArea>
    </format>
    <format dxfId="1004">
      <pivotArea dataOnly="0" labelOnly="1" outline="0" fieldPosition="0">
        <references count="3">
          <reference field="0" count="1" selected="0">
            <x v="97"/>
          </reference>
          <reference field="1" count="1" selected="0">
            <x v="38"/>
          </reference>
          <reference field="2" count="1">
            <x v="5"/>
          </reference>
        </references>
      </pivotArea>
    </format>
    <format dxfId="1003">
      <pivotArea dataOnly="0" labelOnly="1" outline="0" fieldPosition="0">
        <references count="3">
          <reference field="0" count="1" selected="0">
            <x v="99"/>
          </reference>
          <reference field="1" count="1" selected="0">
            <x v="27"/>
          </reference>
          <reference field="2" count="1">
            <x v="0"/>
          </reference>
        </references>
      </pivotArea>
    </format>
    <format dxfId="1002">
      <pivotArea dataOnly="0" labelOnly="1" outline="0" fieldPosition="0">
        <references count="3">
          <reference field="0" count="1" selected="0">
            <x v="101"/>
          </reference>
          <reference field="1" count="1" selected="0">
            <x v="49"/>
          </reference>
          <reference field="2" count="1">
            <x v="3"/>
          </reference>
        </references>
      </pivotArea>
    </format>
    <format dxfId="1001">
      <pivotArea dataOnly="0" labelOnly="1" outline="0" fieldPosition="0">
        <references count="3">
          <reference field="0" count="1" selected="0">
            <x v="102"/>
          </reference>
          <reference field="1" count="1" selected="0">
            <x v="35"/>
          </reference>
          <reference field="2" count="1">
            <x v="4"/>
          </reference>
        </references>
      </pivotArea>
    </format>
    <format dxfId="1000">
      <pivotArea dataOnly="0" labelOnly="1" outline="0" fieldPosition="0">
        <references count="3">
          <reference field="0" count="1" selected="0">
            <x v="103"/>
          </reference>
          <reference field="1" count="1" selected="0">
            <x v="42"/>
          </reference>
          <reference field="2" count="1">
            <x v="2"/>
          </reference>
        </references>
      </pivotArea>
    </format>
    <format dxfId="999">
      <pivotArea dataOnly="0" labelOnly="1" outline="0" fieldPosition="0">
        <references count="3">
          <reference field="0" count="1" selected="0">
            <x v="104"/>
          </reference>
          <reference field="1" count="1" selected="0">
            <x v="25"/>
          </reference>
          <reference field="2" count="1">
            <x v="1"/>
          </reference>
        </references>
      </pivotArea>
    </format>
    <format dxfId="998">
      <pivotArea dataOnly="0" labelOnly="1" outline="0" fieldPosition="0">
        <references count="3">
          <reference field="0" count="1" selected="0">
            <x v="105"/>
          </reference>
          <reference field="1" count="1" selected="0">
            <x v="26"/>
          </reference>
          <reference field="2" count="1">
            <x v="5"/>
          </reference>
        </references>
      </pivotArea>
    </format>
    <format dxfId="997">
      <pivotArea dataOnly="0" labelOnly="1" outline="0" fieldPosition="0">
        <references count="3">
          <reference field="0" count="1" selected="0">
            <x v="106"/>
          </reference>
          <reference field="1" count="1" selected="0">
            <x v="6"/>
          </reference>
          <reference field="2" count="1">
            <x v="3"/>
          </reference>
        </references>
      </pivotArea>
    </format>
    <format dxfId="996">
      <pivotArea dataOnly="0" labelOnly="1" outline="0" fieldPosition="0">
        <references count="3">
          <reference field="0" count="1" selected="0">
            <x v="107"/>
          </reference>
          <reference field="1" count="1" selected="0">
            <x v="0"/>
          </reference>
          <reference field="2" count="1">
            <x v="0"/>
          </reference>
        </references>
      </pivotArea>
    </format>
    <format dxfId="995">
      <pivotArea dataOnly="0" labelOnly="1" outline="0" fieldPosition="0">
        <references count="3">
          <reference field="0" count="1" selected="0">
            <x v="108"/>
          </reference>
          <reference field="1" count="1" selected="0">
            <x v="44"/>
          </reference>
          <reference field="2" count="1">
            <x v="5"/>
          </reference>
        </references>
      </pivotArea>
    </format>
    <format dxfId="994">
      <pivotArea dataOnly="0" labelOnly="1" outline="0" fieldPosition="0">
        <references count="3">
          <reference field="0" count="1" selected="0">
            <x v="111"/>
          </reference>
          <reference field="1" count="1" selected="0">
            <x v="49"/>
          </reference>
          <reference field="2" count="1">
            <x v="3"/>
          </reference>
        </references>
      </pivotArea>
    </format>
    <format dxfId="993">
      <pivotArea dataOnly="0" labelOnly="1" outline="0" fieldPosition="0">
        <references count="3">
          <reference field="0" count="1" selected="0">
            <x v="112"/>
          </reference>
          <reference field="1" count="1" selected="0">
            <x v="57"/>
          </reference>
          <reference field="2" count="1">
            <x v="0"/>
          </reference>
        </references>
      </pivotArea>
    </format>
    <format dxfId="992">
      <pivotArea dataOnly="0" labelOnly="1" outline="0" fieldPosition="0">
        <references count="3">
          <reference field="0" count="1" selected="0">
            <x v="113"/>
          </reference>
          <reference field="1" count="1" selected="0">
            <x v="21"/>
          </reference>
          <reference field="2" count="1">
            <x v="2"/>
          </reference>
        </references>
      </pivotArea>
    </format>
    <format dxfId="991">
      <pivotArea dataOnly="0" labelOnly="1" outline="0" fieldPosition="0">
        <references count="3">
          <reference field="0" count="1" selected="0">
            <x v="115"/>
          </reference>
          <reference field="1" count="1" selected="0">
            <x v="1"/>
          </reference>
          <reference field="2" count="1">
            <x v="5"/>
          </reference>
        </references>
      </pivotArea>
    </format>
    <format dxfId="990">
      <pivotArea dataOnly="0" labelOnly="1" outline="0" fieldPosition="0">
        <references count="3">
          <reference field="0" count="1" selected="0">
            <x v="116"/>
          </reference>
          <reference field="1" count="1" selected="0">
            <x v="37"/>
          </reference>
          <reference field="2" count="1">
            <x v="1"/>
          </reference>
        </references>
      </pivotArea>
    </format>
    <format dxfId="989">
      <pivotArea dataOnly="0" labelOnly="1" outline="0" fieldPosition="0">
        <references count="3">
          <reference field="0" count="1" selected="0">
            <x v="117"/>
          </reference>
          <reference field="1" count="1" selected="0">
            <x v="39"/>
          </reference>
          <reference field="2" count="1">
            <x v="2"/>
          </reference>
        </references>
      </pivotArea>
    </format>
    <format dxfId="988">
      <pivotArea dataOnly="0" labelOnly="1" outline="0" fieldPosition="0">
        <references count="3">
          <reference field="0" count="1" selected="0">
            <x v="118"/>
          </reference>
          <reference field="1" count="1" selected="0">
            <x v="7"/>
          </reference>
          <reference field="2" count="1">
            <x v="3"/>
          </reference>
        </references>
      </pivotArea>
    </format>
    <format dxfId="987">
      <pivotArea dataOnly="0" labelOnly="1" outline="0" fieldPosition="0">
        <references count="3">
          <reference field="0" count="1" selected="0">
            <x v="119"/>
          </reference>
          <reference field="1" count="1" selected="0">
            <x v="44"/>
          </reference>
          <reference field="2" count="1">
            <x v="5"/>
          </reference>
        </references>
      </pivotArea>
    </format>
    <format dxfId="986">
      <pivotArea dataOnly="0" labelOnly="1" outline="0" fieldPosition="0">
        <references count="3">
          <reference field="0" count="1" selected="0">
            <x v="121"/>
          </reference>
          <reference field="1" count="1" selected="0">
            <x v="50"/>
          </reference>
          <reference field="2" count="1">
            <x v="3"/>
          </reference>
        </references>
      </pivotArea>
    </format>
    <format dxfId="985">
      <pivotArea dataOnly="0" labelOnly="1" outline="0" fieldPosition="0">
        <references count="3">
          <reference field="0" count="1" selected="0">
            <x v="122"/>
          </reference>
          <reference field="1" count="1" selected="0">
            <x v="21"/>
          </reference>
          <reference field="2" count="1">
            <x v="2"/>
          </reference>
        </references>
      </pivotArea>
    </format>
    <format dxfId="984">
      <pivotArea dataOnly="0" labelOnly="1" outline="0" fieldPosition="0">
        <references count="3">
          <reference field="0" count="1" selected="0">
            <x v="124"/>
          </reference>
          <reference field="1" count="1" selected="0">
            <x v="36"/>
          </reference>
          <reference field="2" count="1">
            <x v="1"/>
          </reference>
        </references>
      </pivotArea>
    </format>
    <format dxfId="983">
      <pivotArea dataOnly="0" labelOnly="1" outline="0" fieldPosition="0">
        <references count="3">
          <reference field="0" count="1" selected="0">
            <x v="125"/>
          </reference>
          <reference field="1" count="1" selected="0">
            <x v="2"/>
          </reference>
          <reference field="2" count="1">
            <x v="3"/>
          </reference>
        </references>
      </pivotArea>
    </format>
    <format dxfId="982">
      <pivotArea dataOnly="0" labelOnly="1" outline="0" fieldPosition="0">
        <references count="3">
          <reference field="0" count="1" selected="0">
            <x v="127"/>
          </reference>
          <reference field="1" count="1" selected="0">
            <x v="35"/>
          </reference>
          <reference field="2" count="1">
            <x v="4"/>
          </reference>
        </references>
      </pivotArea>
    </format>
    <format dxfId="981">
      <pivotArea dataOnly="0" labelOnly="1" outline="0" fieldPosition="0">
        <references count="3">
          <reference field="0" count="1" selected="0">
            <x v="129"/>
          </reference>
          <reference field="1" count="1" selected="0">
            <x v="1"/>
          </reference>
          <reference field="2" count="1">
            <x v="5"/>
          </reference>
        </references>
      </pivotArea>
    </format>
    <format dxfId="980">
      <pivotArea dataOnly="0" labelOnly="1" outline="0" fieldPosition="0">
        <references count="3">
          <reference field="0" count="1" selected="0">
            <x v="130"/>
          </reference>
          <reference field="1" count="1" selected="0">
            <x v="41"/>
          </reference>
          <reference field="2" count="1">
            <x v="0"/>
          </reference>
        </references>
      </pivotArea>
    </format>
    <format dxfId="979">
      <pivotArea dataOnly="0" labelOnly="1" outline="0" fieldPosition="0">
        <references count="3">
          <reference field="0" count="1" selected="0">
            <x v="131"/>
          </reference>
          <reference field="1" count="1" selected="0">
            <x v="40"/>
          </reference>
          <reference field="2" count="1">
            <x v="2"/>
          </reference>
        </references>
      </pivotArea>
    </format>
    <format dxfId="978">
      <pivotArea dataOnly="0" labelOnly="1" outline="0" fieldPosition="0">
        <references count="3">
          <reference field="0" count="1" selected="0">
            <x v="132"/>
          </reference>
          <reference field="1" count="1" selected="0">
            <x v="14"/>
          </reference>
          <reference field="2" count="1">
            <x v="4"/>
          </reference>
        </references>
      </pivotArea>
    </format>
    <format dxfId="977">
      <pivotArea dataOnly="0" labelOnly="1" outline="0" fieldPosition="0">
        <references count="3">
          <reference field="0" count="1" selected="0">
            <x v="133"/>
          </reference>
          <reference field="1" count="1" selected="0">
            <x v="24"/>
          </reference>
          <reference field="2" count="1">
            <x v="0"/>
          </reference>
        </references>
      </pivotArea>
    </format>
    <format dxfId="976">
      <pivotArea dataOnly="0" labelOnly="1" outline="0" fieldPosition="0">
        <references count="3">
          <reference field="0" count="1" selected="0">
            <x v="134"/>
          </reference>
          <reference field="1" count="1" selected="0">
            <x v="13"/>
          </reference>
          <reference field="2" count="1">
            <x v="3"/>
          </reference>
        </references>
      </pivotArea>
    </format>
    <format dxfId="975">
      <pivotArea dataOnly="0" labelOnly="1" outline="0" fieldPosition="0">
        <references count="3">
          <reference field="0" count="1" selected="0">
            <x v="135"/>
          </reference>
          <reference field="1" count="1" selected="0">
            <x v="42"/>
          </reference>
          <reference field="2" count="1">
            <x v="2"/>
          </reference>
        </references>
      </pivotArea>
    </format>
    <format dxfId="974">
      <pivotArea dataOnly="0" labelOnly="1" outline="0" fieldPosition="0">
        <references count="3">
          <reference field="0" count="1" selected="0">
            <x v="136"/>
          </reference>
          <reference field="1" count="1" selected="0">
            <x v="52"/>
          </reference>
          <reference field="2" count="1">
            <x v="1"/>
          </reference>
        </references>
      </pivotArea>
    </format>
    <format dxfId="973">
      <pivotArea dataOnly="0" labelOnly="1" outline="0" fieldPosition="0">
        <references count="3">
          <reference field="0" count="1" selected="0">
            <x v="137"/>
          </reference>
          <reference field="1" count="1" selected="0">
            <x v="39"/>
          </reference>
          <reference field="2" count="1">
            <x v="2"/>
          </reference>
        </references>
      </pivotArea>
    </format>
    <format dxfId="972">
      <pivotArea dataOnly="0" labelOnly="1" outline="0" fieldPosition="0">
        <references count="3">
          <reference field="0" count="1" selected="0">
            <x v="138"/>
          </reference>
          <reference field="1" count="1" selected="0">
            <x v="45"/>
          </reference>
          <reference field="2" count="1">
            <x v="5"/>
          </reference>
        </references>
      </pivotArea>
    </format>
    <format dxfId="971">
      <pivotArea dataOnly="0" labelOnly="1" outline="0" fieldPosition="0">
        <references count="3">
          <reference field="0" count="1" selected="0">
            <x v="140"/>
          </reference>
          <reference field="1" count="1" selected="0">
            <x v="40"/>
          </reference>
          <reference field="2" count="1">
            <x v="2"/>
          </reference>
        </references>
      </pivotArea>
    </format>
    <format dxfId="970">
      <pivotArea dataOnly="0" labelOnly="1" outline="0" fieldPosition="0">
        <references count="3">
          <reference field="0" count="1" selected="0">
            <x v="141"/>
          </reference>
          <reference field="1" count="1" selected="0">
            <x v="1"/>
          </reference>
          <reference field="2" count="1">
            <x v="5"/>
          </reference>
        </references>
      </pivotArea>
    </format>
    <format dxfId="969">
      <pivotArea dataOnly="0" labelOnly="1" outline="0" fieldPosition="0">
        <references count="3">
          <reference field="0" count="1" selected="0">
            <x v="143"/>
          </reference>
          <reference field="1" count="1" selected="0">
            <x v="25"/>
          </reference>
          <reference field="2" count="1">
            <x v="1"/>
          </reference>
        </references>
      </pivotArea>
    </format>
    <format dxfId="968">
      <pivotArea dataOnly="0" labelOnly="1" outline="0" fieldPosition="0">
        <references count="3">
          <reference field="0" count="1" selected="0">
            <x v="146"/>
          </reference>
          <reference field="1" count="1" selected="0">
            <x v="4"/>
          </reference>
          <reference field="2" count="1">
            <x v="0"/>
          </reference>
        </references>
      </pivotArea>
    </format>
    <format dxfId="967">
      <pivotArea dataOnly="0" labelOnly="1" outline="0" fieldPosition="0">
        <references count="3">
          <reference field="0" count="1" selected="0">
            <x v="147"/>
          </reference>
          <reference field="1" count="1" selected="0">
            <x v="42"/>
          </reference>
          <reference field="2" count="1">
            <x v="2"/>
          </reference>
        </references>
      </pivotArea>
    </format>
    <format dxfId="966">
      <pivotArea dataOnly="0" labelOnly="1" outline="0" fieldPosition="0">
        <references count="3">
          <reference field="0" count="1" selected="0">
            <x v="148"/>
          </reference>
          <reference field="1" count="1" selected="0">
            <x v="19"/>
          </reference>
          <reference field="2" count="1">
            <x v="5"/>
          </reference>
        </references>
      </pivotArea>
    </format>
    <format dxfId="965">
      <pivotArea dataOnly="0" labelOnly="1" outline="0" fieldPosition="0">
        <references count="3">
          <reference field="0" count="1" selected="0">
            <x v="149"/>
          </reference>
          <reference field="1" count="1" selected="0">
            <x v="6"/>
          </reference>
          <reference field="2" count="1">
            <x v="3"/>
          </reference>
        </references>
      </pivotArea>
    </format>
    <format dxfId="964">
      <pivotArea dataOnly="0" labelOnly="1" outline="0" fieldPosition="0">
        <references count="3">
          <reference field="0" count="1" selected="0">
            <x v="150"/>
          </reference>
          <reference field="1" count="1" selected="0">
            <x v="55"/>
          </reference>
          <reference field="2" count="1">
            <x v="1"/>
          </reference>
        </references>
      </pivotArea>
    </format>
    <format dxfId="963">
      <pivotArea dataOnly="0" labelOnly="1" outline="0" fieldPosition="0">
        <references count="3">
          <reference field="0" count="1" selected="0">
            <x v="151"/>
          </reference>
          <reference field="1" count="1" selected="0">
            <x v="18"/>
          </reference>
          <reference field="2" count="1">
            <x v="2"/>
          </reference>
        </references>
      </pivotArea>
    </format>
    <format dxfId="962">
      <pivotArea dataOnly="0" labelOnly="1" outline="0" fieldPosition="0">
        <references count="3">
          <reference field="0" count="1" selected="0">
            <x v="152"/>
          </reference>
          <reference field="1" count="1" selected="0">
            <x v="25"/>
          </reference>
          <reference field="2" count="1">
            <x v="1"/>
          </reference>
        </references>
      </pivotArea>
    </format>
    <format dxfId="961">
      <pivotArea dataOnly="0" labelOnly="1" outline="0" fieldPosition="0">
        <references count="3">
          <reference field="0" count="1" selected="0">
            <x v="153"/>
          </reference>
          <reference field="1" count="1" selected="0">
            <x v="1"/>
          </reference>
          <reference field="2" count="1">
            <x v="5"/>
          </reference>
        </references>
      </pivotArea>
    </format>
    <format dxfId="960">
      <pivotArea dataOnly="0" labelOnly="1" outline="0" fieldPosition="0">
        <references count="3">
          <reference field="0" count="1" selected="0">
            <x v="156"/>
          </reference>
          <reference field="1" count="1" selected="0">
            <x v="29"/>
          </reference>
          <reference field="2" count="1">
            <x v="1"/>
          </reference>
        </references>
      </pivotArea>
    </format>
    <format dxfId="959">
      <pivotArea dataOnly="0" labelOnly="1" outline="0" fieldPosition="0">
        <references count="3">
          <reference field="0" count="1" selected="0">
            <x v="157"/>
          </reference>
          <reference field="1" count="1" selected="0">
            <x v="38"/>
          </reference>
          <reference field="2" count="1">
            <x v="5"/>
          </reference>
        </references>
      </pivotArea>
    </format>
    <format dxfId="958">
      <pivotArea dataOnly="0" labelOnly="1" outline="0" fieldPosition="0">
        <references count="3">
          <reference field="0" count="1" selected="0">
            <x v="158"/>
          </reference>
          <reference field="1" count="1" selected="0">
            <x v="29"/>
          </reference>
          <reference field="2" count="1">
            <x v="1"/>
          </reference>
        </references>
      </pivotArea>
    </format>
    <format dxfId="957">
      <pivotArea dataOnly="0" labelOnly="1" outline="0" fieldPosition="0">
        <references count="3">
          <reference field="0" count="1" selected="0">
            <x v="159"/>
          </reference>
          <reference field="1" count="1" selected="0">
            <x v="57"/>
          </reference>
          <reference field="2" count="1">
            <x v="0"/>
          </reference>
        </references>
      </pivotArea>
    </format>
    <format dxfId="956">
      <pivotArea dataOnly="0" labelOnly="1" outline="0" fieldPosition="0">
        <references count="3">
          <reference field="0" count="1" selected="0">
            <x v="161"/>
          </reference>
          <reference field="1" count="1" selected="0">
            <x v="23"/>
          </reference>
          <reference field="2" count="1">
            <x v="2"/>
          </reference>
        </references>
      </pivotArea>
    </format>
    <format dxfId="955">
      <pivotArea dataOnly="0" labelOnly="1" outline="0" fieldPosition="0">
        <references count="3">
          <reference field="0" count="1" selected="0">
            <x v="162"/>
          </reference>
          <reference field="1" count="1" selected="0">
            <x v="13"/>
          </reference>
          <reference field="2" count="1">
            <x v="3"/>
          </reference>
        </references>
      </pivotArea>
    </format>
    <format dxfId="954">
      <pivotArea dataOnly="0" labelOnly="1" outline="0" fieldPosition="0">
        <references count="3">
          <reference field="0" count="1" selected="0">
            <x v="163"/>
          </reference>
          <reference field="1" count="1" selected="0">
            <x v="29"/>
          </reference>
          <reference field="2" count="1">
            <x v="1"/>
          </reference>
        </references>
      </pivotArea>
    </format>
    <format dxfId="953">
      <pivotArea dataOnly="0" labelOnly="1" outline="0" fieldPosition="0">
        <references count="3">
          <reference field="0" count="1" selected="0">
            <x v="164"/>
          </reference>
          <reference field="1" count="1" selected="0">
            <x v="50"/>
          </reference>
          <reference field="2" count="1">
            <x v="3"/>
          </reference>
        </references>
      </pivotArea>
    </format>
    <format dxfId="952">
      <pivotArea dataOnly="0" labelOnly="1" outline="0" fieldPosition="0">
        <references count="3">
          <reference field="0" count="1" selected="0">
            <x v="165"/>
          </reference>
          <reference field="1" count="1" selected="0">
            <x v="48"/>
          </reference>
          <reference field="2" count="1">
            <x v="5"/>
          </reference>
        </references>
      </pivotArea>
    </format>
    <format dxfId="951">
      <pivotArea dataOnly="0" labelOnly="1" outline="0" fieldPosition="0">
        <references count="3">
          <reference field="0" count="1" selected="0">
            <x v="166"/>
          </reference>
          <reference field="1" count="1" selected="0">
            <x v="40"/>
          </reference>
          <reference field="2" count="1">
            <x v="2"/>
          </reference>
        </references>
      </pivotArea>
    </format>
    <format dxfId="950">
      <pivotArea dataOnly="0" labelOnly="1" outline="0" fieldPosition="0">
        <references count="3">
          <reference field="0" count="1" selected="0">
            <x v="167"/>
          </reference>
          <reference field="1" count="1" selected="0">
            <x v="58"/>
          </reference>
          <reference field="2" count="1">
            <x v="1"/>
          </reference>
        </references>
      </pivotArea>
    </format>
    <format dxfId="949">
      <pivotArea dataOnly="0" labelOnly="1" outline="0" fieldPosition="0">
        <references count="3">
          <reference field="0" count="1" selected="0">
            <x v="168"/>
          </reference>
          <reference field="1" count="1" selected="0">
            <x v="11"/>
          </reference>
          <reference field="2" count="1">
            <x v="4"/>
          </reference>
        </references>
      </pivotArea>
    </format>
    <format dxfId="948">
      <pivotArea dataOnly="0" labelOnly="1" outline="0" fieldPosition="0">
        <references count="3">
          <reference field="0" count="1" selected="0">
            <x v="169"/>
          </reference>
          <reference field="1" count="1" selected="0">
            <x v="40"/>
          </reference>
          <reference field="2" count="1">
            <x v="2"/>
          </reference>
        </references>
      </pivotArea>
    </format>
    <format dxfId="947">
      <pivotArea dataOnly="0" labelOnly="1" outline="0" fieldPosition="0">
        <references count="3">
          <reference field="0" count="1" selected="0">
            <x v="170"/>
          </reference>
          <reference field="1" count="1" selected="0">
            <x v="33"/>
          </reference>
          <reference field="2" count="1">
            <x v="4"/>
          </reference>
        </references>
      </pivotArea>
    </format>
    <format dxfId="946">
      <pivotArea dataOnly="0" labelOnly="1" outline="0" fieldPosition="0">
        <references count="3">
          <reference field="0" count="1" selected="0">
            <x v="171"/>
          </reference>
          <reference field="1" count="1" selected="0">
            <x v="7"/>
          </reference>
          <reference field="2" count="1">
            <x v="3"/>
          </reference>
        </references>
      </pivotArea>
    </format>
    <format dxfId="945">
      <pivotArea dataOnly="0" labelOnly="1" outline="0" fieldPosition="0">
        <references count="3">
          <reference field="0" count="1" selected="0">
            <x v="172"/>
          </reference>
          <reference field="1" count="1" selected="0">
            <x v="3"/>
          </reference>
          <reference field="2" count="1">
            <x v="4"/>
          </reference>
        </references>
      </pivotArea>
    </format>
    <format dxfId="944">
      <pivotArea dataOnly="0" labelOnly="1" outline="0" fieldPosition="0">
        <references count="3">
          <reference field="0" count="1" selected="0">
            <x v="173"/>
          </reference>
          <reference field="1" count="1" selected="0">
            <x v="48"/>
          </reference>
          <reference field="2" count="1">
            <x v="5"/>
          </reference>
        </references>
      </pivotArea>
    </format>
    <format dxfId="943">
      <pivotArea dataOnly="0" labelOnly="1" outline="0" fieldPosition="0">
        <references count="3">
          <reference field="0" count="1" selected="0">
            <x v="174"/>
          </reference>
          <reference field="1" count="1" selected="0">
            <x v="23"/>
          </reference>
          <reference field="2" count="1">
            <x v="2"/>
          </reference>
        </references>
      </pivotArea>
    </format>
    <format dxfId="942">
      <pivotArea dataOnly="0" labelOnly="1" outline="0" fieldPosition="0">
        <references count="3">
          <reference field="0" count="1" selected="0">
            <x v="175"/>
          </reference>
          <reference field="1" count="1" selected="0">
            <x v="2"/>
          </reference>
          <reference field="2" count="1">
            <x v="3"/>
          </reference>
        </references>
      </pivotArea>
    </format>
    <format dxfId="941">
      <pivotArea dataOnly="0" labelOnly="1" outline="0" fieldPosition="0">
        <references count="3">
          <reference field="0" count="1" selected="0">
            <x v="176"/>
          </reference>
          <reference field="1" count="1" selected="0">
            <x v="58"/>
          </reference>
          <reference field="2" count="1">
            <x v="1"/>
          </reference>
        </references>
      </pivotArea>
    </format>
    <format dxfId="940">
      <pivotArea dataOnly="0" labelOnly="1" outline="0" fieldPosition="0">
        <references count="3">
          <reference field="0" count="1" selected="0">
            <x v="177"/>
          </reference>
          <reference field="1" count="1" selected="0">
            <x v="42"/>
          </reference>
          <reference field="2" count="1">
            <x v="2"/>
          </reference>
        </references>
      </pivotArea>
    </format>
    <format dxfId="939">
      <pivotArea dataOnly="0" labelOnly="1" outline="0" fieldPosition="0">
        <references count="3">
          <reference field="0" count="1" selected="0">
            <x v="178"/>
          </reference>
          <reference field="1" count="1" selected="0">
            <x v="44"/>
          </reference>
          <reference field="2" count="1">
            <x v="5"/>
          </reference>
        </references>
      </pivotArea>
    </format>
    <format dxfId="938">
      <pivotArea dataOnly="0" labelOnly="1" outline="0" fieldPosition="0">
        <references count="3">
          <reference field="0" count="1" selected="0">
            <x v="180"/>
          </reference>
          <reference field="1" count="1" selected="0">
            <x v="37"/>
          </reference>
          <reference field="2" count="1">
            <x v="1"/>
          </reference>
        </references>
      </pivotArea>
    </format>
    <format dxfId="937">
      <pivotArea dataOnly="0" labelOnly="1" outline="0" fieldPosition="0">
        <references count="3">
          <reference field="0" count="1" selected="0">
            <x v="181"/>
          </reference>
          <reference field="1" count="1" selected="0">
            <x v="51"/>
          </reference>
          <reference field="2" count="1">
            <x v="0"/>
          </reference>
        </references>
      </pivotArea>
    </format>
    <format dxfId="936">
      <pivotArea dataOnly="0" labelOnly="1" outline="0" fieldPosition="0">
        <references count="3">
          <reference field="0" count="1" selected="0">
            <x v="182"/>
          </reference>
          <reference field="1" count="1" selected="0">
            <x v="48"/>
          </reference>
          <reference field="2" count="1">
            <x v="5"/>
          </reference>
        </references>
      </pivotArea>
    </format>
    <format dxfId="935">
      <pivotArea dataOnly="0" labelOnly="1" outline="0" fieldPosition="0">
        <references count="3">
          <reference field="0" count="1" selected="0">
            <x v="183"/>
          </reference>
          <reference field="1" count="1" selected="0">
            <x v="41"/>
          </reference>
          <reference field="2" count="1">
            <x v="0"/>
          </reference>
        </references>
      </pivotArea>
    </format>
    <format dxfId="934">
      <pivotArea dataOnly="0" labelOnly="1" outline="0" fieldPosition="0">
        <references count="3">
          <reference field="0" count="1" selected="0">
            <x v="184"/>
          </reference>
          <reference field="1" count="1" selected="0">
            <x v="26"/>
          </reference>
          <reference field="2" count="1">
            <x v="5"/>
          </reference>
        </references>
      </pivotArea>
    </format>
    <format dxfId="933">
      <pivotArea dataOnly="0" labelOnly="1" outline="0" fieldPosition="0">
        <references count="3">
          <reference field="0" count="1" selected="0">
            <x v="185"/>
          </reference>
          <reference field="1" count="1" selected="0">
            <x v="54"/>
          </reference>
          <reference field="2" count="1">
            <x v="2"/>
          </reference>
        </references>
      </pivotArea>
    </format>
    <format dxfId="932">
      <pivotArea dataOnly="0" labelOnly="1" outline="0" fieldPosition="0">
        <references count="3">
          <reference field="0" count="1" selected="0">
            <x v="186"/>
          </reference>
          <reference field="1" count="1" selected="0">
            <x v="53"/>
          </reference>
          <reference field="2" count="1">
            <x v="1"/>
          </reference>
        </references>
      </pivotArea>
    </format>
    <format dxfId="931">
      <pivotArea dataOnly="0" labelOnly="1" outline="0" fieldPosition="0">
        <references count="3">
          <reference field="0" count="1" selected="0">
            <x v="187"/>
          </reference>
          <reference field="1" count="1" selected="0">
            <x v="12"/>
          </reference>
          <reference field="2" count="1">
            <x v="4"/>
          </reference>
        </references>
      </pivotArea>
    </format>
    <format dxfId="930">
      <pivotArea dataOnly="0" labelOnly="1" outline="0" fieldPosition="0">
        <references count="3">
          <reference field="0" count="1" selected="0">
            <x v="188"/>
          </reference>
          <reference field="1" count="1" selected="0">
            <x v="28"/>
          </reference>
          <reference field="2" count="1">
            <x v="3"/>
          </reference>
        </references>
      </pivotArea>
    </format>
    <format dxfId="929">
      <pivotArea dataOnly="0" labelOnly="1" outline="0" fieldPosition="0">
        <references count="3">
          <reference field="0" count="1" selected="0">
            <x v="189"/>
          </reference>
          <reference field="1" count="1" selected="0">
            <x v="52"/>
          </reference>
          <reference field="2" count="1">
            <x v="1"/>
          </reference>
        </references>
      </pivotArea>
    </format>
    <format dxfId="928">
      <pivotArea dataOnly="0" labelOnly="1" outline="0" fieldPosition="0">
        <references count="3">
          <reference field="0" count="1" selected="0">
            <x v="190"/>
          </reference>
          <reference field="1" count="1" selected="0">
            <x v="20"/>
          </reference>
          <reference field="2" count="1">
            <x v="4"/>
          </reference>
        </references>
      </pivotArea>
    </format>
    <format dxfId="927">
      <pivotArea dataOnly="0" labelOnly="1" outline="0" fieldPosition="0">
        <references count="3">
          <reference field="0" count="1" selected="0">
            <x v="191"/>
          </reference>
          <reference field="1" count="1" selected="0">
            <x v="8"/>
          </reference>
          <reference field="2" count="1">
            <x v="5"/>
          </reference>
        </references>
      </pivotArea>
    </format>
    <format dxfId="926">
      <pivotArea dataOnly="0" labelOnly="1" outline="0" fieldPosition="0">
        <references count="3">
          <reference field="0" count="1" selected="0">
            <x v="192"/>
          </reference>
          <reference field="1" count="1" selected="0">
            <x v="46"/>
          </reference>
          <reference field="2" count="1">
            <x v="3"/>
          </reference>
        </references>
      </pivotArea>
    </format>
    <format dxfId="925">
      <pivotArea dataOnly="0" labelOnly="1" outline="0" fieldPosition="0">
        <references count="3">
          <reference field="0" count="1" selected="0">
            <x v="193"/>
          </reference>
          <reference field="1" count="1" selected="0">
            <x v="24"/>
          </reference>
          <reference field="2" count="1">
            <x v="0"/>
          </reference>
        </references>
      </pivotArea>
    </format>
    <format dxfId="924">
      <pivotArea dataOnly="0" labelOnly="1" outline="0" fieldPosition="0">
        <references count="3">
          <reference field="0" count="1" selected="0">
            <x v="196"/>
          </reference>
          <reference field="1" count="1" selected="0">
            <x v="18"/>
          </reference>
          <reference field="2" count="1">
            <x v="2"/>
          </reference>
        </references>
      </pivotArea>
    </format>
    <format dxfId="923">
      <pivotArea dataOnly="0" labelOnly="1" outline="0" fieldPosition="0">
        <references count="3">
          <reference field="0" count="1" selected="0">
            <x v="197"/>
          </reference>
          <reference field="1" count="1" selected="0">
            <x v="50"/>
          </reference>
          <reference field="2" count="1">
            <x v="3"/>
          </reference>
        </references>
      </pivotArea>
    </format>
    <format dxfId="922">
      <pivotArea dataOnly="0" labelOnly="1" outline="0" fieldPosition="0">
        <references count="3">
          <reference field="0" count="1" selected="0">
            <x v="198"/>
          </reference>
          <reference field="1" count="1" selected="0">
            <x v="17"/>
          </reference>
          <reference field="2" count="1">
            <x v="4"/>
          </reference>
        </references>
      </pivotArea>
    </format>
    <format dxfId="921">
      <pivotArea dataOnly="0" labelOnly="1" outline="0" fieldPosition="0">
        <references count="3">
          <reference field="0" count="1" selected="0">
            <x v="199"/>
          </reference>
          <reference field="1" count="1" selected="0">
            <x v="30"/>
          </reference>
          <reference field="2" count="1">
            <x v="1"/>
          </reference>
        </references>
      </pivotArea>
    </format>
    <format dxfId="920">
      <pivotArea dataOnly="0" labelOnly="1" outline="0" fieldPosition="0">
        <references count="3">
          <reference field="0" count="1" selected="0">
            <x v="201"/>
          </reference>
          <reference field="1" count="1" selected="0">
            <x v="14"/>
          </reference>
          <reference field="2" count="1">
            <x v="4"/>
          </reference>
        </references>
      </pivotArea>
    </format>
    <format dxfId="919">
      <pivotArea dataOnly="0" labelOnly="1" outline="0" fieldPosition="0">
        <references count="3">
          <reference field="0" count="1" selected="0">
            <x v="204"/>
          </reference>
          <reference field="1" count="1" selected="0">
            <x v="59"/>
          </reference>
          <reference field="2" count="1">
            <x v="2"/>
          </reference>
        </references>
      </pivotArea>
    </format>
    <format dxfId="918">
      <pivotArea dataOnly="0" labelOnly="1" outline="0" fieldPosition="0">
        <references count="3">
          <reference field="0" count="1" selected="0">
            <x v="205"/>
          </reference>
          <reference field="1" count="1" selected="0">
            <x v="12"/>
          </reference>
          <reference field="2" count="1">
            <x v="4"/>
          </reference>
        </references>
      </pivotArea>
    </format>
    <format dxfId="917">
      <pivotArea dataOnly="0" labelOnly="1" outline="0" fieldPosition="0">
        <references count="3">
          <reference field="0" count="1" selected="0">
            <x v="206"/>
          </reference>
          <reference field="1" count="1" selected="0">
            <x v="42"/>
          </reference>
          <reference field="2" count="1">
            <x v="2"/>
          </reference>
        </references>
      </pivotArea>
    </format>
    <format dxfId="916">
      <pivotArea dataOnly="0" labelOnly="1" outline="0" fieldPosition="0">
        <references count="3">
          <reference field="0" count="1" selected="0">
            <x v="207"/>
          </reference>
          <reference field="1" count="1" selected="0">
            <x v="47"/>
          </reference>
          <reference field="2" count="1">
            <x v="0"/>
          </reference>
        </references>
      </pivotArea>
    </format>
    <format dxfId="915">
      <pivotArea dataOnly="0" labelOnly="1" outline="0" fieldPosition="0">
        <references count="3">
          <reference field="0" count="1" selected="0">
            <x v="208"/>
          </reference>
          <reference field="1" count="1" selected="0">
            <x v="16"/>
          </reference>
          <reference field="2" count="1">
            <x v="5"/>
          </reference>
        </references>
      </pivotArea>
    </format>
    <format dxfId="914">
      <pivotArea dataOnly="0" labelOnly="1" outline="0" fieldPosition="0">
        <references count="3">
          <reference field="0" count="1" selected="0">
            <x v="209"/>
          </reference>
          <reference field="1" count="1" selected="0">
            <x v="39"/>
          </reference>
          <reference field="2" count="1">
            <x v="2"/>
          </reference>
        </references>
      </pivotArea>
    </format>
    <format dxfId="913">
      <pivotArea dataOnly="0" labelOnly="1" outline="0" fieldPosition="0">
        <references count="3">
          <reference field="0" count="1" selected="0">
            <x v="210"/>
          </reference>
          <reference field="1" count="1" selected="0">
            <x v="1"/>
          </reference>
          <reference field="2" count="1">
            <x v="5"/>
          </reference>
        </references>
      </pivotArea>
    </format>
    <format dxfId="912">
      <pivotArea dataOnly="0" labelOnly="1" outline="0" fieldPosition="0">
        <references count="3">
          <reference field="0" count="1" selected="0">
            <x v="211"/>
          </reference>
          <reference field="1" count="1" selected="0">
            <x v="4"/>
          </reference>
          <reference field="2" count="1">
            <x v="0"/>
          </reference>
        </references>
      </pivotArea>
    </format>
    <format dxfId="911">
      <pivotArea dataOnly="0" labelOnly="1" outline="0" fieldPosition="0">
        <references count="3">
          <reference field="0" count="1" selected="0">
            <x v="212"/>
          </reference>
          <reference field="1" count="1" selected="0">
            <x v="13"/>
          </reference>
          <reference field="2" count="1">
            <x v="3"/>
          </reference>
        </references>
      </pivotArea>
    </format>
    <format dxfId="910">
      <pivotArea dataOnly="0" labelOnly="1" outline="0" fieldPosition="0">
        <references count="3">
          <reference field="0" count="1" selected="0">
            <x v="213"/>
          </reference>
          <reference field="1" count="1" selected="0">
            <x v="19"/>
          </reference>
          <reference field="2" count="1">
            <x v="5"/>
          </reference>
        </references>
      </pivotArea>
    </format>
    <format dxfId="909">
      <pivotArea dataOnly="0" labelOnly="1" outline="0" fieldPosition="0">
        <references count="3">
          <reference field="0" count="1" selected="0">
            <x v="216"/>
          </reference>
          <reference field="1" count="1" selected="0">
            <x v="57"/>
          </reference>
          <reference field="2" count="1">
            <x v="0"/>
          </reference>
        </references>
      </pivotArea>
    </format>
    <format dxfId="908">
      <pivotArea dataOnly="0" labelOnly="1" outline="0" fieldPosition="0">
        <references count="3">
          <reference field="0" count="1" selected="0">
            <x v="217"/>
          </reference>
          <reference field="1" count="1" selected="0">
            <x v="59"/>
          </reference>
          <reference field="2" count="1">
            <x v="2"/>
          </reference>
        </references>
      </pivotArea>
    </format>
    <format dxfId="907">
      <pivotArea dataOnly="0" labelOnly="1" outline="0" fieldPosition="0">
        <references count="3">
          <reference field="0" count="1" selected="0">
            <x v="220"/>
          </reference>
          <reference field="1" count="1" selected="0">
            <x v="53"/>
          </reference>
          <reference field="2" count="1">
            <x v="1"/>
          </reference>
        </references>
      </pivotArea>
    </format>
    <format dxfId="906">
      <pivotArea dataOnly="0" labelOnly="1" outline="0" fieldPosition="0">
        <references count="3">
          <reference field="0" count="1" selected="0">
            <x v="221"/>
          </reference>
          <reference field="1" count="1" selected="0">
            <x v="12"/>
          </reference>
          <reference field="2" count="1">
            <x v="4"/>
          </reference>
        </references>
      </pivotArea>
    </format>
    <format dxfId="905">
      <pivotArea dataOnly="0" labelOnly="1" outline="0" fieldPosition="0">
        <references count="3">
          <reference field="0" count="1" selected="0">
            <x v="222"/>
          </reference>
          <reference field="1" count="1" selected="0">
            <x v="36"/>
          </reference>
          <reference field="2" count="1">
            <x v="1"/>
          </reference>
        </references>
      </pivotArea>
    </format>
    <format dxfId="904">
      <pivotArea dataOnly="0" labelOnly="1" outline="0" fieldPosition="0">
        <references count="3">
          <reference field="0" count="1" selected="0">
            <x v="223"/>
          </reference>
          <reference field="1" count="1" selected="0">
            <x v="15"/>
          </reference>
          <reference field="2" count="1">
            <x v="2"/>
          </reference>
        </references>
      </pivotArea>
    </format>
    <format dxfId="903">
      <pivotArea dataOnly="0" labelOnly="1" outline="0" fieldPosition="0">
        <references count="3">
          <reference field="0" count="1" selected="0">
            <x v="225"/>
          </reference>
          <reference field="1" count="1" selected="0">
            <x v="26"/>
          </reference>
          <reference field="2" count="1">
            <x v="5"/>
          </reference>
        </references>
      </pivotArea>
    </format>
    <format dxfId="902">
      <pivotArea dataOnly="0" labelOnly="1" outline="0" fieldPosition="0">
        <references count="3">
          <reference field="0" count="1" selected="0">
            <x v="226"/>
          </reference>
          <reference field="1" count="1" selected="0">
            <x v="42"/>
          </reference>
          <reference field="2" count="1">
            <x v="2"/>
          </reference>
        </references>
      </pivotArea>
    </format>
    <format dxfId="901">
      <pivotArea dataOnly="0" labelOnly="1" outline="0" fieldPosition="0">
        <references count="3">
          <reference field="0" count="1" selected="0">
            <x v="227"/>
          </reference>
          <reference field="1" count="1" selected="0">
            <x v="52"/>
          </reference>
          <reference field="2" count="1">
            <x v="1"/>
          </reference>
        </references>
      </pivotArea>
    </format>
    <format dxfId="900">
      <pivotArea dataOnly="0" labelOnly="1" outline="0" fieldPosition="0">
        <references count="3">
          <reference field="0" count="1" selected="0">
            <x v="228"/>
          </reference>
          <reference field="1" count="1" selected="0">
            <x v="54"/>
          </reference>
          <reference field="2" count="1">
            <x v="2"/>
          </reference>
        </references>
      </pivotArea>
    </format>
    <format dxfId="899">
      <pivotArea dataOnly="0" labelOnly="1" outline="0" fieldPosition="0">
        <references count="3">
          <reference field="0" count="1" selected="0">
            <x v="229"/>
          </reference>
          <reference field="1" count="1" selected="0">
            <x v="53"/>
          </reference>
          <reference field="2" count="1">
            <x v="1"/>
          </reference>
        </references>
      </pivotArea>
    </format>
    <format dxfId="898">
      <pivotArea dataOnly="0" labelOnly="1" outline="0" fieldPosition="0">
        <references count="3">
          <reference field="0" count="1" selected="0">
            <x v="230"/>
          </reference>
          <reference field="1" count="1" selected="0">
            <x v="21"/>
          </reference>
          <reference field="2" count="1">
            <x v="2"/>
          </reference>
        </references>
      </pivotArea>
    </format>
    <format dxfId="897">
      <pivotArea dataOnly="0" labelOnly="1" outline="0" fieldPosition="0">
        <references count="3">
          <reference field="0" count="1" selected="0">
            <x v="231"/>
          </reference>
          <reference field="1" count="1" selected="0">
            <x v="52"/>
          </reference>
          <reference field="2" count="1">
            <x v="1"/>
          </reference>
        </references>
      </pivotArea>
    </format>
    <format dxfId="896">
      <pivotArea dataOnly="0" labelOnly="1" outline="0" fieldPosition="0">
        <references count="3">
          <reference field="0" count="1" selected="0">
            <x v="232"/>
          </reference>
          <reference field="1" count="1" selected="0">
            <x v="47"/>
          </reference>
          <reference field="2" count="1">
            <x v="0"/>
          </reference>
        </references>
      </pivotArea>
    </format>
    <format dxfId="895">
      <pivotArea dataOnly="0" labelOnly="1" outline="0" fieldPosition="0">
        <references count="3">
          <reference field="0" count="1" selected="0">
            <x v="233"/>
          </reference>
          <reference field="1" count="1" selected="0">
            <x v="33"/>
          </reference>
          <reference field="2" count="1">
            <x v="4"/>
          </reference>
        </references>
      </pivotArea>
    </format>
    <format dxfId="894">
      <pivotArea dataOnly="0" labelOnly="1" outline="0" fieldPosition="0">
        <references count="3">
          <reference field="0" count="1" selected="0">
            <x v="234"/>
          </reference>
          <reference field="1" count="1" selected="0">
            <x v="34"/>
          </reference>
          <reference field="2" count="1">
            <x v="5"/>
          </reference>
        </references>
      </pivotArea>
    </format>
    <format dxfId="893">
      <pivotArea dataOnly="0" labelOnly="1" outline="0" fieldPosition="0">
        <references count="3">
          <reference field="0" count="1" selected="0">
            <x v="236"/>
          </reference>
          <reference field="1" count="1" selected="0">
            <x v="7"/>
          </reference>
          <reference field="2" count="1">
            <x v="3"/>
          </reference>
        </references>
      </pivotArea>
    </format>
    <format dxfId="892">
      <pivotArea dataOnly="0" labelOnly="1" outline="0" fieldPosition="0">
        <references count="3">
          <reference field="0" count="1" selected="0">
            <x v="237"/>
          </reference>
          <reference field="1" count="1" selected="0">
            <x v="55"/>
          </reference>
          <reference field="2" count="1">
            <x v="1"/>
          </reference>
        </references>
      </pivotArea>
    </format>
    <format dxfId="891">
      <pivotArea dataOnly="0" labelOnly="1" outline="0" fieldPosition="0">
        <references count="3">
          <reference field="0" count="1" selected="0">
            <x v="238"/>
          </reference>
          <reference field="1" count="1" selected="0">
            <x v="9"/>
          </reference>
          <reference field="2" count="1">
            <x v="3"/>
          </reference>
        </references>
      </pivotArea>
    </format>
    <format dxfId="890">
      <pivotArea dataOnly="0" labelOnly="1" outline="0" fieldPosition="0">
        <references count="3">
          <reference field="0" count="1" selected="0">
            <x v="239"/>
          </reference>
          <reference field="1" count="1" selected="0">
            <x v="3"/>
          </reference>
          <reference field="2" count="1">
            <x v="4"/>
          </reference>
        </references>
      </pivotArea>
    </format>
    <format dxfId="889">
      <pivotArea dataOnly="0" labelOnly="1" outline="0" fieldPosition="0">
        <references count="3">
          <reference field="0" count="1" selected="0">
            <x v="240"/>
          </reference>
          <reference field="1" count="1" selected="0">
            <x v="27"/>
          </reference>
          <reference field="2" count="1">
            <x v="0"/>
          </reference>
        </references>
      </pivotArea>
    </format>
    <format dxfId="888">
      <pivotArea dataOnly="0" labelOnly="1" outline="0" fieldPosition="0">
        <references count="3">
          <reference field="0" count="1" selected="0">
            <x v="241"/>
          </reference>
          <reference field="1" count="1" selected="0">
            <x v="58"/>
          </reference>
          <reference field="2" count="1">
            <x v="1"/>
          </reference>
        </references>
      </pivotArea>
    </format>
    <format dxfId="887">
      <pivotArea dataOnly="0" labelOnly="1" outline="0" fieldPosition="0">
        <references count="3">
          <reference field="0" count="1" selected="0">
            <x v="242"/>
          </reference>
          <reference field="1" count="1" selected="0">
            <x v="12"/>
          </reference>
          <reference field="2" count="1">
            <x v="4"/>
          </reference>
        </references>
      </pivotArea>
    </format>
    <format dxfId="886">
      <pivotArea dataOnly="0" labelOnly="1" outline="0" fieldPosition="0">
        <references count="3">
          <reference field="0" count="1" selected="0">
            <x v="243"/>
          </reference>
          <reference field="1" count="1" selected="0">
            <x v="19"/>
          </reference>
          <reference field="2" count="1">
            <x v="5"/>
          </reference>
        </references>
      </pivotArea>
    </format>
    <format dxfId="885">
      <pivotArea dataOnly="0" labelOnly="1" outline="0" fieldPosition="0">
        <references count="3">
          <reference field="0" count="1" selected="0">
            <x v="245"/>
          </reference>
          <reference field="1" count="1" selected="0">
            <x v="40"/>
          </reference>
          <reference field="2" count="1">
            <x v="2"/>
          </reference>
        </references>
      </pivotArea>
    </format>
    <format dxfId="884">
      <pivotArea dataOnly="0" labelOnly="1" outline="0" fieldPosition="0">
        <references count="3">
          <reference field="0" count="1" selected="0">
            <x v="246"/>
          </reference>
          <reference field="1" count="1" selected="0">
            <x v="37"/>
          </reference>
          <reference field="2" count="1">
            <x v="1"/>
          </reference>
        </references>
      </pivotArea>
    </format>
    <format dxfId="883">
      <pivotArea dataOnly="0" labelOnly="1" outline="0" fieldPosition="0">
        <references count="3">
          <reference field="0" count="1" selected="0">
            <x v="247"/>
          </reference>
          <reference field="1" count="1" selected="0">
            <x v="40"/>
          </reference>
          <reference field="2" count="1">
            <x v="2"/>
          </reference>
        </references>
      </pivotArea>
    </format>
    <format dxfId="882">
      <pivotArea dataOnly="0" labelOnly="1" outline="0" fieldPosition="0">
        <references count="3">
          <reference field="0" count="1" selected="0">
            <x v="249"/>
          </reference>
          <reference field="1" count="1" selected="0">
            <x v="43"/>
          </reference>
          <reference field="2" count="1">
            <x v="0"/>
          </reference>
        </references>
      </pivotArea>
    </format>
    <format dxfId="881">
      <pivotArea dataOnly="0" labelOnly="1" outline="0" fieldPosition="0">
        <references count="3">
          <reference field="0" count="1" selected="0">
            <x v="250"/>
          </reference>
          <reference field="1" count="1" selected="0">
            <x v="39"/>
          </reference>
          <reference field="2" count="1">
            <x v="2"/>
          </reference>
        </references>
      </pivotArea>
    </format>
    <format dxfId="880">
      <pivotArea dataOnly="0" labelOnly="1" outline="0" fieldPosition="0">
        <references count="3">
          <reference field="0" count="1" selected="0">
            <x v="251"/>
          </reference>
          <reference field="1" count="1" selected="0">
            <x v="35"/>
          </reference>
          <reference field="2" count="1">
            <x v="4"/>
          </reference>
        </references>
      </pivotArea>
    </format>
    <format dxfId="879">
      <pivotArea dataOnly="0" labelOnly="1" outline="0" fieldPosition="0">
        <references count="3">
          <reference field="0" count="1" selected="0">
            <x v="253"/>
          </reference>
          <reference field="1" count="1" selected="0">
            <x v="28"/>
          </reference>
          <reference field="2" count="1">
            <x v="3"/>
          </reference>
        </references>
      </pivotArea>
    </format>
    <format dxfId="878">
      <pivotArea dataOnly="0" labelOnly="1" outline="0" fieldPosition="0">
        <references count="3">
          <reference field="0" count="1" selected="0">
            <x v="254"/>
          </reference>
          <reference field="1" count="1" selected="0">
            <x v="48"/>
          </reference>
          <reference field="2" count="1">
            <x v="5"/>
          </reference>
        </references>
      </pivotArea>
    </format>
    <format dxfId="877">
      <pivotArea dataOnly="0" labelOnly="1" outline="0" fieldPosition="0">
        <references count="3">
          <reference field="0" count="1" selected="0">
            <x v="255"/>
          </reference>
          <reference field="1" count="1" selected="0">
            <x v="20"/>
          </reference>
          <reference field="2" count="1">
            <x v="4"/>
          </reference>
        </references>
      </pivotArea>
    </format>
    <format dxfId="876">
      <pivotArea dataOnly="0" labelOnly="1" outline="0" fieldPosition="0">
        <references count="3">
          <reference field="0" count="1" selected="0">
            <x v="256"/>
          </reference>
          <reference field="1" count="1" selected="0">
            <x v="24"/>
          </reference>
          <reference field="2" count="1">
            <x v="0"/>
          </reference>
        </references>
      </pivotArea>
    </format>
    <format dxfId="875">
      <pivotArea dataOnly="0" labelOnly="1" outline="0" fieldPosition="0">
        <references count="3">
          <reference field="0" count="1" selected="0">
            <x v="257"/>
          </reference>
          <reference field="1" count="1" selected="0">
            <x v="8"/>
          </reference>
          <reference field="2" count="1">
            <x v="5"/>
          </reference>
        </references>
      </pivotArea>
    </format>
    <format dxfId="874">
      <pivotArea dataOnly="0" labelOnly="1" outline="0" fieldPosition="0">
        <references count="3">
          <reference field="0" count="1" selected="0">
            <x v="258"/>
          </reference>
          <reference field="1" count="1" selected="0">
            <x v="52"/>
          </reference>
          <reference field="2" count="1">
            <x v="1"/>
          </reference>
        </references>
      </pivotArea>
    </format>
    <format dxfId="873">
      <pivotArea dataOnly="0" labelOnly="1" outline="0" fieldPosition="0">
        <references count="3">
          <reference field="0" count="1" selected="0">
            <x v="259"/>
          </reference>
          <reference field="1" count="1" selected="0">
            <x v="54"/>
          </reference>
          <reference field="2" count="1">
            <x v="2"/>
          </reference>
        </references>
      </pivotArea>
    </format>
    <format dxfId="872">
      <pivotArea dataOnly="0" labelOnly="1" outline="0" fieldPosition="0">
        <references count="3">
          <reference field="0" count="1" selected="0">
            <x v="260"/>
          </reference>
          <reference field="1" count="1" selected="0">
            <x v="8"/>
          </reference>
          <reference field="2" count="1">
            <x v="5"/>
          </reference>
        </references>
      </pivotArea>
    </format>
    <format dxfId="871">
      <pivotArea dataOnly="0" labelOnly="1" outline="0" fieldPosition="0">
        <references count="3">
          <reference field="0" count="1" selected="0">
            <x v="261"/>
          </reference>
          <reference field="1" count="1" selected="0">
            <x v="11"/>
          </reference>
          <reference field="2" count="1">
            <x v="4"/>
          </reference>
        </references>
      </pivotArea>
    </format>
    <format dxfId="870">
      <pivotArea dataOnly="0" labelOnly="1" outline="0" fieldPosition="0">
        <references count="3">
          <reference field="0" count="1" selected="0">
            <x v="262"/>
          </reference>
          <reference field="1" count="1" selected="0">
            <x v="51"/>
          </reference>
          <reference field="2" count="1">
            <x v="0"/>
          </reference>
        </references>
      </pivotArea>
    </format>
    <format dxfId="869">
      <pivotArea dataOnly="0" labelOnly="1" outline="0" fieldPosition="0">
        <references count="3">
          <reference field="0" count="1" selected="0">
            <x v="263"/>
          </reference>
          <reference field="1" count="1" selected="0">
            <x v="50"/>
          </reference>
          <reference field="2" count="1">
            <x v="3"/>
          </reference>
        </references>
      </pivotArea>
    </format>
    <format dxfId="868">
      <pivotArea dataOnly="0" labelOnly="1" outline="0" fieldPosition="0">
        <references count="3">
          <reference field="0" count="1" selected="0">
            <x v="264"/>
          </reference>
          <reference field="1" count="1" selected="0">
            <x v="36"/>
          </reference>
          <reference field="2" count="1">
            <x v="1"/>
          </reference>
        </references>
      </pivotArea>
    </format>
    <format dxfId="867">
      <pivotArea dataOnly="0" labelOnly="1" outline="0" fieldPosition="0">
        <references count="3">
          <reference field="0" count="1" selected="0">
            <x v="265"/>
          </reference>
          <reference field="1" count="1" selected="0">
            <x v="18"/>
          </reference>
          <reference field="2" count="1">
            <x v="2"/>
          </reference>
        </references>
      </pivotArea>
    </format>
    <format dxfId="866">
      <pivotArea dataOnly="0" labelOnly="1" outline="0" fieldPosition="0">
        <references count="3">
          <reference field="0" count="1" selected="0">
            <x v="266"/>
          </reference>
          <reference field="1" count="1" selected="0">
            <x v="49"/>
          </reference>
          <reference field="2" count="1">
            <x v="3"/>
          </reference>
        </references>
      </pivotArea>
    </format>
    <format dxfId="865">
      <pivotArea dataOnly="0" labelOnly="1" outline="0" fieldPosition="0">
        <references count="3">
          <reference field="0" count="1" selected="0">
            <x v="267"/>
          </reference>
          <reference field="1" count="1" selected="0">
            <x v="32"/>
          </reference>
          <reference field="2" count="1">
            <x v="1"/>
          </reference>
        </references>
      </pivotArea>
    </format>
    <format dxfId="864">
      <pivotArea dataOnly="0" labelOnly="1" outline="0" fieldPosition="0">
        <references count="3">
          <reference field="0" count="1" selected="0">
            <x v="268"/>
          </reference>
          <reference field="1" count="1" selected="0">
            <x v="18"/>
          </reference>
          <reference field="2" count="1">
            <x v="2"/>
          </reference>
        </references>
      </pivotArea>
    </format>
    <format dxfId="863">
      <pivotArea dataOnly="0" labelOnly="1" outline="0" fieldPosition="0">
        <references count="3">
          <reference field="0" count="1" selected="0">
            <x v="269"/>
          </reference>
          <reference field="1" count="1" selected="0">
            <x v="26"/>
          </reference>
          <reference field="2" count="1">
            <x v="5"/>
          </reference>
        </references>
      </pivotArea>
    </format>
    <format dxfId="862">
      <pivotArea dataOnly="0" labelOnly="1" outline="0" fieldPosition="0">
        <references count="3">
          <reference field="0" count="1" selected="0">
            <x v="270"/>
          </reference>
          <reference field="1" count="1" selected="0">
            <x v="5"/>
          </reference>
          <reference field="2" count="1">
            <x v="0"/>
          </reference>
        </references>
      </pivotArea>
    </format>
    <format dxfId="861">
      <pivotArea dataOnly="0" labelOnly="1" outline="0" fieldPosition="0">
        <references count="3">
          <reference field="0" count="1" selected="0">
            <x v="271"/>
          </reference>
          <reference field="1" count="1" selected="0">
            <x v="30"/>
          </reference>
          <reference field="2" count="1">
            <x v="1"/>
          </reference>
        </references>
      </pivotArea>
    </format>
    <format dxfId="860">
      <pivotArea dataOnly="0" labelOnly="1" outline="0" fieldPosition="0">
        <references count="3">
          <reference field="0" count="1" selected="0">
            <x v="272"/>
          </reference>
          <reference field="1" count="1" selected="0">
            <x v="40"/>
          </reference>
          <reference field="2" count="1">
            <x v="2"/>
          </reference>
        </references>
      </pivotArea>
    </format>
    <format dxfId="859">
      <pivotArea dataOnly="0" labelOnly="1" outline="0" fieldPosition="0">
        <references count="3">
          <reference field="0" count="1" selected="0">
            <x v="274"/>
          </reference>
          <reference field="1" count="1" selected="0">
            <x v="32"/>
          </reference>
          <reference field="2" count="1">
            <x v="1"/>
          </reference>
        </references>
      </pivotArea>
    </format>
    <format dxfId="858">
      <pivotArea dataOnly="0" labelOnly="1" outline="0" fieldPosition="0">
        <references count="3">
          <reference field="0" count="1" selected="0">
            <x v="275"/>
          </reference>
          <reference field="1" count="1" selected="0">
            <x v="47"/>
          </reference>
          <reference field="2" count="1">
            <x v="0"/>
          </reference>
        </references>
      </pivotArea>
    </format>
    <format dxfId="857">
      <pivotArea dataOnly="0" labelOnly="1" outline="0" fieldPosition="0">
        <references count="3">
          <reference field="0" count="1" selected="0">
            <x v="276"/>
          </reference>
          <reference field="1" count="1" selected="0">
            <x v="58"/>
          </reference>
          <reference field="2" count="1">
            <x v="1"/>
          </reference>
        </references>
      </pivotArea>
    </format>
    <format dxfId="856">
      <pivotArea dataOnly="0" labelOnly="1" outline="0" fieldPosition="0">
        <references count="3">
          <reference field="0" count="1" selected="0">
            <x v="277"/>
          </reference>
          <reference field="1" count="1" selected="0">
            <x v="9"/>
          </reference>
          <reference field="2" count="1">
            <x v="3"/>
          </reference>
        </references>
      </pivotArea>
    </format>
    <format dxfId="855">
      <pivotArea dataOnly="0" labelOnly="1" outline="0" fieldPosition="0">
        <references count="3">
          <reference field="0" count="1" selected="0">
            <x v="278"/>
          </reference>
          <reference field="1" count="1" selected="0">
            <x v="12"/>
          </reference>
          <reference field="2" count="1">
            <x v="4"/>
          </reference>
        </references>
      </pivotArea>
    </format>
    <format dxfId="854">
      <pivotArea dataOnly="0" labelOnly="1" outline="0" fieldPosition="0">
        <references count="3">
          <reference field="0" count="1" selected="0">
            <x v="279"/>
          </reference>
          <reference field="1" count="1" selected="0">
            <x v="28"/>
          </reference>
          <reference field="2" count="1">
            <x v="3"/>
          </reference>
        </references>
      </pivotArea>
    </format>
    <format dxfId="853">
      <pivotArea dataOnly="0" labelOnly="1" outline="0" fieldPosition="0">
        <references count="3">
          <reference field="0" count="1" selected="0">
            <x v="280"/>
          </reference>
          <reference field="1" count="1" selected="0">
            <x v="39"/>
          </reference>
          <reference field="2" count="1">
            <x v="2"/>
          </reference>
        </references>
      </pivotArea>
    </format>
    <format dxfId="852">
      <pivotArea dataOnly="0" labelOnly="1" outline="0" fieldPosition="0">
        <references count="3">
          <reference field="0" count="1" selected="0">
            <x v="281"/>
          </reference>
          <reference field="1" count="1" selected="0">
            <x v="51"/>
          </reference>
          <reference field="2" count="1">
            <x v="0"/>
          </reference>
        </references>
      </pivotArea>
    </format>
    <format dxfId="851">
      <pivotArea dataOnly="0" labelOnly="1" outline="0" fieldPosition="0">
        <references count="3">
          <reference field="0" count="1" selected="0">
            <x v="282"/>
          </reference>
          <reference field="1" count="1" selected="0">
            <x v="1"/>
          </reference>
          <reference field="2" count="1">
            <x v="5"/>
          </reference>
        </references>
      </pivotArea>
    </format>
    <format dxfId="850">
      <pivotArea dataOnly="0" labelOnly="1" outline="0" fieldPosition="0">
        <references count="3">
          <reference field="0" count="1" selected="0">
            <x v="283"/>
          </reference>
          <reference field="1" count="1" selected="0">
            <x v="18"/>
          </reference>
          <reference field="2" count="1">
            <x v="2"/>
          </reference>
        </references>
      </pivotArea>
    </format>
    <format dxfId="849">
      <pivotArea dataOnly="0" labelOnly="1" outline="0" fieldPosition="0">
        <references count="3">
          <reference field="0" count="1" selected="0">
            <x v="284"/>
          </reference>
          <reference field="1" count="1" selected="0">
            <x v="34"/>
          </reference>
          <reference field="2" count="1">
            <x v="5"/>
          </reference>
        </references>
      </pivotArea>
    </format>
    <format dxfId="848">
      <pivotArea dataOnly="0" labelOnly="1" outline="0" fieldPosition="0">
        <references count="3">
          <reference field="0" count="1" selected="0">
            <x v="285"/>
          </reference>
          <reference field="1" count="1" selected="0">
            <x v="58"/>
          </reference>
          <reference field="2" count="1">
            <x v="1"/>
          </reference>
        </references>
      </pivotArea>
    </format>
    <format dxfId="847">
      <pivotArea dataOnly="0" labelOnly="1" outline="0" fieldPosition="0">
        <references count="3">
          <reference field="0" count="1" selected="0">
            <x v="286"/>
          </reference>
          <reference field="1" count="1" selected="0">
            <x v="47"/>
          </reference>
          <reference field="2" count="1">
            <x v="0"/>
          </reference>
        </references>
      </pivotArea>
    </format>
    <format dxfId="846">
      <pivotArea dataOnly="0" labelOnly="1" outline="0" fieldPosition="0">
        <references count="3">
          <reference field="0" count="1" selected="0">
            <x v="288"/>
          </reference>
          <reference field="1" count="1" selected="0">
            <x v="46"/>
          </reference>
          <reference field="2" count="1">
            <x v="3"/>
          </reference>
        </references>
      </pivotArea>
    </format>
    <format dxfId="845">
      <pivotArea dataOnly="0" labelOnly="1" outline="0" fieldPosition="0">
        <references count="3">
          <reference field="0" count="1" selected="0">
            <x v="289"/>
          </reference>
          <reference field="1" count="1" selected="0">
            <x v="53"/>
          </reference>
          <reference field="2" count="1">
            <x v="1"/>
          </reference>
        </references>
      </pivotArea>
    </format>
    <format dxfId="844">
      <pivotArea dataOnly="0" labelOnly="1" outline="0" fieldPosition="0">
        <references count="3">
          <reference field="0" count="1" selected="0">
            <x v="290"/>
          </reference>
          <reference field="1" count="1" selected="0">
            <x v="41"/>
          </reference>
          <reference field="2" count="1">
            <x v="0"/>
          </reference>
        </references>
      </pivotArea>
    </format>
    <format dxfId="843">
      <pivotArea dataOnly="0" labelOnly="1" outline="0" fieldPosition="0">
        <references count="3">
          <reference field="0" count="1" selected="0">
            <x v="291"/>
          </reference>
          <reference field="1" count="1" selected="0">
            <x v="3"/>
          </reference>
          <reference field="2" count="1">
            <x v="4"/>
          </reference>
        </references>
      </pivotArea>
    </format>
    <format dxfId="842">
      <pivotArea dataOnly="0" labelOnly="1" outline="0" fieldPosition="0">
        <references count="3">
          <reference field="0" count="1" selected="0">
            <x v="293"/>
          </reference>
          <reference field="1" count="1" selected="0">
            <x v="25"/>
          </reference>
          <reference field="2" count="1">
            <x v="1"/>
          </reference>
        </references>
      </pivotArea>
    </format>
    <format dxfId="841">
      <pivotArea dataOnly="0" labelOnly="1" outline="0" fieldPosition="0">
        <references count="3">
          <reference field="0" count="1" selected="0">
            <x v="294"/>
          </reference>
          <reference field="1" count="1" selected="0">
            <x v="14"/>
          </reference>
          <reference field="2" count="1">
            <x v="4"/>
          </reference>
        </references>
      </pivotArea>
    </format>
    <format dxfId="840">
      <pivotArea dataOnly="0" labelOnly="1" outline="0" fieldPosition="0">
        <references count="3">
          <reference field="0" count="1" selected="0">
            <x v="295"/>
          </reference>
          <reference field="1" count="1" selected="0">
            <x v="5"/>
          </reference>
          <reference field="2" count="1">
            <x v="0"/>
          </reference>
        </references>
      </pivotArea>
    </format>
    <format dxfId="839">
      <pivotArea dataOnly="0" labelOnly="1" outline="0" fieldPosition="0">
        <references count="3">
          <reference field="0" count="1" selected="0">
            <x v="296"/>
          </reference>
          <reference field="1" count="1" selected="0">
            <x v="28"/>
          </reference>
          <reference field="2" count="1">
            <x v="3"/>
          </reference>
        </references>
      </pivotArea>
    </format>
    <format dxfId="838">
      <pivotArea dataOnly="0" labelOnly="1" outline="0" fieldPosition="0">
        <references count="3">
          <reference field="0" count="1" selected="0">
            <x v="297"/>
          </reference>
          <reference field="1" count="1" selected="0">
            <x v="20"/>
          </reference>
          <reference field="2" count="1">
            <x v="4"/>
          </reference>
        </references>
      </pivotArea>
    </format>
    <format dxfId="837">
      <pivotArea dataOnly="0" labelOnly="1" outline="0" fieldPosition="0">
        <references count="3">
          <reference field="0" count="1" selected="0">
            <x v="298"/>
          </reference>
          <reference field="1" count="1" selected="0">
            <x v="42"/>
          </reference>
          <reference field="2" count="1">
            <x v="2"/>
          </reference>
        </references>
      </pivotArea>
    </format>
    <format dxfId="836">
      <pivotArea dataOnly="0" labelOnly="1" outline="0" fieldPosition="0">
        <references count="4">
          <reference field="0" count="1" selected="0">
            <x v="0"/>
          </reference>
          <reference field="1" count="1" selected="0">
            <x v="0"/>
          </reference>
          <reference field="2" count="1" selected="0">
            <x v="0"/>
          </reference>
          <reference field="3" count="1">
            <x v="7"/>
          </reference>
        </references>
      </pivotArea>
    </format>
    <format dxfId="835">
      <pivotArea dataOnly="0" labelOnly="1" outline="0" fieldPosition="0">
        <references count="4">
          <reference field="0" count="1" selected="0">
            <x v="1"/>
          </reference>
          <reference field="1" count="1" selected="0">
            <x v="58"/>
          </reference>
          <reference field="2" count="1" selected="0">
            <x v="1"/>
          </reference>
          <reference field="3" count="1">
            <x v="5"/>
          </reference>
        </references>
      </pivotArea>
    </format>
    <format dxfId="834">
      <pivotArea dataOnly="0" labelOnly="1" outline="0" fieldPosition="0">
        <references count="4">
          <reference field="0" count="1" selected="0">
            <x v="2"/>
          </reference>
          <reference field="1" count="1" selected="0">
            <x v="35"/>
          </reference>
          <reference field="2" count="1" selected="0">
            <x v="4"/>
          </reference>
          <reference field="3" count="1">
            <x v="6"/>
          </reference>
        </references>
      </pivotArea>
    </format>
    <format dxfId="833">
      <pivotArea dataOnly="0" labelOnly="1" outline="0" fieldPosition="0">
        <references count="4">
          <reference field="0" count="1" selected="0">
            <x v="3"/>
          </reference>
          <reference field="1" count="1" selected="0">
            <x v="33"/>
          </reference>
          <reference field="2" count="1" selected="0">
            <x v="4"/>
          </reference>
          <reference field="3" count="1">
            <x v="3"/>
          </reference>
        </references>
      </pivotArea>
    </format>
    <format dxfId="832">
      <pivotArea dataOnly="0" labelOnly="1" outline="0" fieldPosition="0">
        <references count="4">
          <reference field="0" count="1" selected="0">
            <x v="5"/>
          </reference>
          <reference field="1" count="1" selected="0">
            <x v="36"/>
          </reference>
          <reference field="2" count="1" selected="0">
            <x v="1"/>
          </reference>
          <reference field="3" count="1">
            <x v="6"/>
          </reference>
        </references>
      </pivotArea>
    </format>
    <format dxfId="831">
      <pivotArea dataOnly="0" labelOnly="1" outline="0" fieldPosition="0">
        <references count="4">
          <reference field="0" count="1" selected="0">
            <x v="6"/>
          </reference>
          <reference field="1" count="1" selected="0">
            <x v="23"/>
          </reference>
          <reference field="2" count="1" selected="0">
            <x v="2"/>
          </reference>
          <reference field="3" count="1">
            <x v="0"/>
          </reference>
        </references>
      </pivotArea>
    </format>
    <format dxfId="830">
      <pivotArea dataOnly="0" labelOnly="1" outline="0" fieldPosition="0">
        <references count="4">
          <reference field="0" count="1" selected="0">
            <x v="7"/>
          </reference>
          <reference field="1" count="1" selected="0">
            <x v="16"/>
          </reference>
          <reference field="2" count="1" selected="0">
            <x v="5"/>
          </reference>
          <reference field="3" count="1">
            <x v="6"/>
          </reference>
        </references>
      </pivotArea>
    </format>
    <format dxfId="829">
      <pivotArea dataOnly="0" labelOnly="1" outline="0" fieldPosition="0">
        <references count="4">
          <reference field="0" count="1" selected="0">
            <x v="8"/>
          </reference>
          <reference field="1" count="1" selected="0">
            <x v="9"/>
          </reference>
          <reference field="2" count="1" selected="0">
            <x v="3"/>
          </reference>
          <reference field="3" count="1">
            <x v="0"/>
          </reference>
        </references>
      </pivotArea>
    </format>
    <format dxfId="828">
      <pivotArea dataOnly="0" labelOnly="1" outline="0" fieldPosition="0">
        <references count="4">
          <reference field="0" count="1" selected="0">
            <x v="9"/>
          </reference>
          <reference field="1" count="1" selected="0">
            <x v="50"/>
          </reference>
          <reference field="2" count="1" selected="0">
            <x v="3"/>
          </reference>
          <reference field="3" count="1">
            <x v="4"/>
          </reference>
        </references>
      </pivotArea>
    </format>
    <format dxfId="827">
      <pivotArea dataOnly="0" labelOnly="1" outline="0" fieldPosition="0">
        <references count="4">
          <reference field="0" count="1" selected="0">
            <x v="11"/>
          </reference>
          <reference field="1" count="1" selected="0">
            <x v="27"/>
          </reference>
          <reference field="2" count="1" selected="0">
            <x v="0"/>
          </reference>
          <reference field="3" count="1">
            <x v="5"/>
          </reference>
        </references>
      </pivotArea>
    </format>
    <format dxfId="826">
      <pivotArea dataOnly="0" labelOnly="1" outline="0" fieldPosition="0">
        <references count="4">
          <reference field="0" count="1" selected="0">
            <x v="13"/>
          </reference>
          <reference field="1" count="1" selected="0">
            <x v="37"/>
          </reference>
          <reference field="2" count="1" selected="0">
            <x v="1"/>
          </reference>
          <reference field="3" count="1">
            <x v="3"/>
          </reference>
        </references>
      </pivotArea>
    </format>
    <format dxfId="825">
      <pivotArea dataOnly="0" labelOnly="1" outline="0" fieldPosition="0">
        <references count="4">
          <reference field="0" count="1" selected="0">
            <x v="14"/>
          </reference>
          <reference field="1" count="1" selected="0">
            <x v="15"/>
          </reference>
          <reference field="2" count="1" selected="0">
            <x v="2"/>
          </reference>
          <reference field="3" count="1">
            <x v="5"/>
          </reference>
        </references>
      </pivotArea>
    </format>
    <format dxfId="824">
      <pivotArea dataOnly="0" labelOnly="1" outline="0" fieldPosition="0">
        <references count="4">
          <reference field="0" count="1" selected="0">
            <x v="15"/>
          </reference>
          <reference field="1" count="1" selected="0">
            <x v="9"/>
          </reference>
          <reference field="2" count="1" selected="0">
            <x v="3"/>
          </reference>
          <reference field="3" count="1">
            <x v="1"/>
          </reference>
        </references>
      </pivotArea>
    </format>
    <format dxfId="823">
      <pivotArea dataOnly="0" labelOnly="1" outline="0" fieldPosition="0">
        <references count="4">
          <reference field="0" count="1" selected="0">
            <x v="16"/>
          </reference>
          <reference field="1" count="1" selected="0">
            <x v="3"/>
          </reference>
          <reference field="2" count="1" selected="0">
            <x v="4"/>
          </reference>
          <reference field="3" count="1">
            <x v="4"/>
          </reference>
        </references>
      </pivotArea>
    </format>
    <format dxfId="822">
      <pivotArea dataOnly="0" labelOnly="1" outline="0" fieldPosition="0">
        <references count="4">
          <reference field="0" count="1" selected="0">
            <x v="17"/>
          </reference>
          <reference field="1" count="1" selected="0">
            <x v="58"/>
          </reference>
          <reference field="2" count="1" selected="0">
            <x v="1"/>
          </reference>
          <reference field="3" count="1">
            <x v="2"/>
          </reference>
        </references>
      </pivotArea>
    </format>
    <format dxfId="821">
      <pivotArea dataOnly="0" labelOnly="1" outline="0" fieldPosition="0">
        <references count="4">
          <reference field="0" count="1" selected="0">
            <x v="18"/>
          </reference>
          <reference field="1" count="1" selected="0">
            <x v="40"/>
          </reference>
          <reference field="2" count="1" selected="0">
            <x v="2"/>
          </reference>
          <reference field="3" count="1">
            <x v="4"/>
          </reference>
        </references>
      </pivotArea>
    </format>
    <format dxfId="820">
      <pivotArea dataOnly="0" labelOnly="1" outline="0" fieldPosition="0">
        <references count="4">
          <reference field="0" count="1" selected="0">
            <x v="19"/>
          </reference>
          <reference field="1" count="1" selected="0">
            <x v="12"/>
          </reference>
          <reference field="2" count="1" selected="0">
            <x v="4"/>
          </reference>
          <reference field="3" count="1">
            <x v="7"/>
          </reference>
        </references>
      </pivotArea>
    </format>
    <format dxfId="819">
      <pivotArea dataOnly="0" labelOnly="1" outline="0" fieldPosition="0">
        <references count="4">
          <reference field="0" count="1" selected="0">
            <x v="20"/>
          </reference>
          <reference field="1" count="1" selected="0">
            <x v="17"/>
          </reference>
          <reference field="2" count="1" selected="0">
            <x v="4"/>
          </reference>
          <reference field="3" count="1">
            <x v="1"/>
          </reference>
        </references>
      </pivotArea>
    </format>
    <format dxfId="818">
      <pivotArea dataOnly="0" labelOnly="1" outline="0" fieldPosition="0">
        <references count="4">
          <reference field="0" count="1" selected="0">
            <x v="21"/>
          </reference>
          <reference field="1" count="1" selected="0">
            <x v="4"/>
          </reference>
          <reference field="2" count="1" selected="0">
            <x v="0"/>
          </reference>
          <reference field="3" count="1">
            <x v="7"/>
          </reference>
        </references>
      </pivotArea>
    </format>
    <format dxfId="817">
      <pivotArea dataOnly="0" labelOnly="1" outline="0" fieldPosition="0">
        <references count="4">
          <reference field="0" count="1" selected="0">
            <x v="23"/>
          </reference>
          <reference field="1" count="1" selected="0">
            <x v="31"/>
          </reference>
          <reference field="2" count="1" selected="0">
            <x v="3"/>
          </reference>
          <reference field="3" count="1">
            <x v="6"/>
          </reference>
        </references>
      </pivotArea>
    </format>
    <format dxfId="816">
      <pivotArea dataOnly="0" labelOnly="1" outline="0" fieldPosition="0">
        <references count="4">
          <reference field="0" count="1" selected="0">
            <x v="24"/>
          </reference>
          <reference field="1" count="1" selected="0">
            <x v="21"/>
          </reference>
          <reference field="2" count="1" selected="0">
            <x v="2"/>
          </reference>
          <reference field="3" count="1">
            <x v="0"/>
          </reference>
        </references>
      </pivotArea>
    </format>
    <format dxfId="815">
      <pivotArea dataOnly="0" labelOnly="1" outline="0" fieldPosition="0">
        <references count="4">
          <reference field="0" count="1" selected="0">
            <x v="25"/>
          </reference>
          <reference field="1" count="1" selected="0">
            <x v="23"/>
          </reference>
          <reference field="2" count="1" selected="0">
            <x v="2"/>
          </reference>
          <reference field="3" count="1">
            <x v="7"/>
          </reference>
        </references>
      </pivotArea>
    </format>
    <format dxfId="814">
      <pivotArea dataOnly="0" labelOnly="1" outline="0" fieldPosition="0">
        <references count="4">
          <reference field="0" count="1" selected="0">
            <x v="26"/>
          </reference>
          <reference field="1" count="1" selected="0">
            <x v="9"/>
          </reference>
          <reference field="2" count="1" selected="0">
            <x v="3"/>
          </reference>
          <reference field="3" count="1">
            <x v="1"/>
          </reference>
        </references>
      </pivotArea>
    </format>
    <format dxfId="813">
      <pivotArea dataOnly="0" labelOnly="1" outline="0" fieldPosition="0">
        <references count="4">
          <reference field="0" count="1" selected="0">
            <x v="27"/>
          </reference>
          <reference field="1" count="1" selected="0">
            <x v="22"/>
          </reference>
          <reference field="2" count="1" selected="0">
            <x v="2"/>
          </reference>
          <reference field="3" count="1">
            <x v="5"/>
          </reference>
        </references>
      </pivotArea>
    </format>
    <format dxfId="812">
      <pivotArea dataOnly="0" labelOnly="1" outline="0" fieldPosition="0">
        <references count="4">
          <reference field="0" count="1" selected="0">
            <x v="28"/>
          </reference>
          <reference field="1" count="1" selected="0">
            <x v="19"/>
          </reference>
          <reference field="2" count="1" selected="0">
            <x v="5"/>
          </reference>
          <reference field="3" count="1">
            <x v="0"/>
          </reference>
        </references>
      </pivotArea>
    </format>
    <format dxfId="811">
      <pivotArea dataOnly="0" labelOnly="1" outline="0" fieldPosition="0">
        <references count="4">
          <reference field="0" count="1" selected="0">
            <x v="29"/>
          </reference>
          <reference field="1" count="1" selected="0">
            <x v="4"/>
          </reference>
          <reference field="2" count="1" selected="0">
            <x v="0"/>
          </reference>
          <reference field="3" count="1">
            <x v="6"/>
          </reference>
        </references>
      </pivotArea>
    </format>
    <format dxfId="810">
      <pivotArea dataOnly="0" labelOnly="1" outline="0" fieldPosition="0">
        <references count="4">
          <reference field="0" count="1" selected="0">
            <x v="30"/>
          </reference>
          <reference field="1" count="1" selected="0">
            <x v="23"/>
          </reference>
          <reference field="2" count="1" selected="0">
            <x v="2"/>
          </reference>
          <reference field="3" count="1">
            <x v="3"/>
          </reference>
        </references>
      </pivotArea>
    </format>
    <format dxfId="809">
      <pivotArea dataOnly="0" labelOnly="1" outline="0" fieldPosition="0">
        <references count="4">
          <reference field="0" count="1" selected="0">
            <x v="31"/>
          </reference>
          <reference field="1" count="1" selected="0">
            <x v="34"/>
          </reference>
          <reference field="2" count="1" selected="0">
            <x v="5"/>
          </reference>
          <reference field="3" count="1">
            <x v="7"/>
          </reference>
        </references>
      </pivotArea>
    </format>
    <format dxfId="808">
      <pivotArea dataOnly="0" labelOnly="1" outline="0" fieldPosition="0">
        <references count="4">
          <reference field="0" count="1" selected="0">
            <x v="32"/>
          </reference>
          <reference field="1" count="1" selected="0">
            <x v="53"/>
          </reference>
          <reference field="2" count="1" selected="0">
            <x v="1"/>
          </reference>
          <reference field="3" count="1">
            <x v="0"/>
          </reference>
        </references>
      </pivotArea>
    </format>
    <format dxfId="807">
      <pivotArea dataOnly="0" labelOnly="1" outline="0" fieldPosition="0">
        <references count="4">
          <reference field="0" count="1" selected="0">
            <x v="33"/>
          </reference>
          <reference field="1" count="1" selected="0">
            <x v="45"/>
          </reference>
          <reference field="2" count="1" selected="0">
            <x v="5"/>
          </reference>
          <reference field="3" count="1">
            <x v="2"/>
          </reference>
        </references>
      </pivotArea>
    </format>
    <format dxfId="806">
      <pivotArea dataOnly="0" labelOnly="1" outline="0" fieldPosition="0">
        <references count="4">
          <reference field="0" count="1" selected="0">
            <x v="34"/>
          </reference>
          <reference field="1" count="1" selected="0">
            <x v="49"/>
          </reference>
          <reference field="2" count="1" selected="0">
            <x v="3"/>
          </reference>
          <reference field="3" count="1">
            <x v="7"/>
          </reference>
        </references>
      </pivotArea>
    </format>
    <format dxfId="805">
      <pivotArea dataOnly="0" labelOnly="1" outline="0" fieldPosition="0">
        <references count="4">
          <reference field="0" count="1" selected="0">
            <x v="35"/>
          </reference>
          <reference field="1" count="1" selected="0">
            <x v="0"/>
          </reference>
          <reference field="2" count="1" selected="0">
            <x v="0"/>
          </reference>
          <reference field="3" count="1">
            <x v="1"/>
          </reference>
        </references>
      </pivotArea>
    </format>
    <format dxfId="804">
      <pivotArea dataOnly="0" labelOnly="1" outline="0" fieldPosition="0">
        <references count="4">
          <reference field="0" count="1" selected="0">
            <x v="36"/>
          </reference>
          <reference field="1" count="1" selected="0">
            <x v="6"/>
          </reference>
          <reference field="2" count="1" selected="0">
            <x v="3"/>
          </reference>
          <reference field="3" count="1">
            <x v="2"/>
          </reference>
        </references>
      </pivotArea>
    </format>
    <format dxfId="803">
      <pivotArea dataOnly="0" labelOnly="1" outline="0" fieldPosition="0">
        <references count="4">
          <reference field="0" count="1" selected="0">
            <x v="37"/>
          </reference>
          <reference field="1" count="1" selected="0">
            <x v="4"/>
          </reference>
          <reference field="2" count="1" selected="0">
            <x v="0"/>
          </reference>
          <reference field="3" count="1">
            <x v="3"/>
          </reference>
        </references>
      </pivotArea>
    </format>
    <format dxfId="802">
      <pivotArea dataOnly="0" labelOnly="1" outline="0" fieldPosition="0">
        <references count="4">
          <reference field="0" count="1" selected="0">
            <x v="38"/>
          </reference>
          <reference field="1" count="1" selected="0">
            <x v="35"/>
          </reference>
          <reference field="2" count="1" selected="0">
            <x v="4"/>
          </reference>
          <reference field="3" count="1">
            <x v="5"/>
          </reference>
        </references>
      </pivotArea>
    </format>
    <format dxfId="801">
      <pivotArea dataOnly="0" labelOnly="1" outline="0" fieldPosition="0">
        <references count="4">
          <reference field="0" count="1" selected="0">
            <x v="39"/>
          </reference>
          <reference field="1" count="1" selected="0">
            <x v="41"/>
          </reference>
          <reference field="2" count="1" selected="0">
            <x v="0"/>
          </reference>
          <reference field="3" count="1">
            <x v="3"/>
          </reference>
        </references>
      </pivotArea>
    </format>
    <format dxfId="800">
      <pivotArea dataOnly="0" labelOnly="1" outline="0" fieldPosition="0">
        <references count="4">
          <reference field="0" count="1" selected="0">
            <x v="41"/>
          </reference>
          <reference field="1" count="1" selected="0">
            <x v="22"/>
          </reference>
          <reference field="2" count="1" selected="0">
            <x v="2"/>
          </reference>
          <reference field="3" count="1">
            <x v="6"/>
          </reference>
        </references>
      </pivotArea>
    </format>
    <format dxfId="799">
      <pivotArea dataOnly="0" labelOnly="1" outline="0" fieldPosition="0">
        <references count="4">
          <reference field="0" count="1" selected="0">
            <x v="42"/>
          </reference>
          <reference field="1" count="1" selected="0">
            <x v="12"/>
          </reference>
          <reference field="2" count="1" selected="0">
            <x v="4"/>
          </reference>
          <reference field="3" count="1">
            <x v="4"/>
          </reference>
        </references>
      </pivotArea>
    </format>
    <format dxfId="798">
      <pivotArea dataOnly="0" labelOnly="1" outline="0" fieldPosition="0">
        <references count="4">
          <reference field="0" count="1" selected="0">
            <x v="43"/>
          </reference>
          <reference field="1" count="1" selected="0">
            <x v="30"/>
          </reference>
          <reference field="2" count="1" selected="0">
            <x v="1"/>
          </reference>
          <reference field="3" count="1">
            <x v="6"/>
          </reference>
        </references>
      </pivotArea>
    </format>
    <format dxfId="797">
      <pivotArea dataOnly="0" labelOnly="1" outline="0" fieldPosition="0">
        <references count="4">
          <reference field="0" count="1" selected="0">
            <x v="44"/>
          </reference>
          <reference field="1" count="1" selected="0">
            <x v="14"/>
          </reference>
          <reference field="2" count="1" selected="0">
            <x v="4"/>
          </reference>
          <reference field="3" count="1">
            <x v="2"/>
          </reference>
        </references>
      </pivotArea>
    </format>
    <format dxfId="796">
      <pivotArea dataOnly="0" labelOnly="1" outline="0" fieldPosition="0">
        <references count="4">
          <reference field="0" count="1" selected="0">
            <x v="45"/>
          </reference>
          <reference field="1" count="1" selected="0">
            <x v="50"/>
          </reference>
          <reference field="2" count="1" selected="0">
            <x v="3"/>
          </reference>
          <reference field="3" count="1">
            <x v="4"/>
          </reference>
        </references>
      </pivotArea>
    </format>
    <format dxfId="795">
      <pivotArea dataOnly="0" labelOnly="1" outline="0" fieldPosition="0">
        <references count="4">
          <reference field="0" count="1" selected="0">
            <x v="48"/>
          </reference>
          <reference field="1" count="1" selected="0">
            <x v="31"/>
          </reference>
          <reference field="2" count="1" selected="0">
            <x v="3"/>
          </reference>
          <reference field="3" count="1">
            <x v="1"/>
          </reference>
        </references>
      </pivotArea>
    </format>
    <format dxfId="794">
      <pivotArea dataOnly="0" labelOnly="1" outline="0" fieldPosition="0">
        <references count="4">
          <reference field="0" count="1" selected="0">
            <x v="49"/>
          </reference>
          <reference field="1" count="1" selected="0">
            <x v="14"/>
          </reference>
          <reference field="2" count="1" selected="0">
            <x v="4"/>
          </reference>
          <reference field="3" count="1">
            <x v="7"/>
          </reference>
        </references>
      </pivotArea>
    </format>
    <format dxfId="793">
      <pivotArea dataOnly="0" labelOnly="1" outline="0" fieldPosition="0">
        <references count="4">
          <reference field="0" count="1" selected="0">
            <x v="50"/>
          </reference>
          <reference field="1" count="1" selected="0">
            <x v="23"/>
          </reference>
          <reference field="2" count="1" selected="0">
            <x v="2"/>
          </reference>
          <reference field="3" count="1">
            <x v="4"/>
          </reference>
        </references>
      </pivotArea>
    </format>
    <format dxfId="792">
      <pivotArea dataOnly="0" labelOnly="1" outline="0" fieldPosition="0">
        <references count="4">
          <reference field="0" count="1" selected="0">
            <x v="51"/>
          </reference>
          <reference field="1" count="1" selected="0">
            <x v="17"/>
          </reference>
          <reference field="2" count="1" selected="0">
            <x v="4"/>
          </reference>
          <reference field="3" count="1">
            <x v="7"/>
          </reference>
        </references>
      </pivotArea>
    </format>
    <format dxfId="791">
      <pivotArea dataOnly="0" labelOnly="1" outline="0" fieldPosition="0">
        <references count="4">
          <reference field="0" count="1" selected="0">
            <x v="52"/>
          </reference>
          <reference field="1" count="1" selected="0">
            <x v="16"/>
          </reference>
          <reference field="2" count="1" selected="0">
            <x v="5"/>
          </reference>
          <reference field="3" count="1">
            <x v="3"/>
          </reference>
        </references>
      </pivotArea>
    </format>
    <format dxfId="790">
      <pivotArea dataOnly="0" labelOnly="1" outline="0" fieldPosition="0">
        <references count="4">
          <reference field="0" count="1" selected="0">
            <x v="53"/>
          </reference>
          <reference field="1" count="1" selected="0">
            <x v="10"/>
          </reference>
          <reference field="2" count="1" selected="0">
            <x v="4"/>
          </reference>
          <reference field="3" count="1">
            <x v="7"/>
          </reference>
        </references>
      </pivotArea>
    </format>
    <format dxfId="789">
      <pivotArea dataOnly="0" labelOnly="1" outline="0" fieldPosition="0">
        <references count="4">
          <reference field="0" count="1" selected="0">
            <x v="54"/>
          </reference>
          <reference field="1" count="1" selected="0">
            <x v="40"/>
          </reference>
          <reference field="2" count="1" selected="0">
            <x v="2"/>
          </reference>
          <reference field="3" count="1">
            <x v="2"/>
          </reference>
        </references>
      </pivotArea>
    </format>
    <format dxfId="788">
      <pivotArea dataOnly="0" labelOnly="1" outline="0" fieldPosition="0">
        <references count="4">
          <reference field="0" count="1" selected="0">
            <x v="55"/>
          </reference>
          <reference field="1" count="1" selected="0">
            <x v="13"/>
          </reference>
          <reference field="2" count="1" selected="0">
            <x v="3"/>
          </reference>
          <reference field="3" count="1">
            <x v="5"/>
          </reference>
        </references>
      </pivotArea>
    </format>
    <format dxfId="787">
      <pivotArea dataOnly="0" labelOnly="1" outline="0" fieldPosition="0">
        <references count="4">
          <reference field="0" count="1" selected="0">
            <x v="56"/>
          </reference>
          <reference field="1" count="1" selected="0">
            <x v="37"/>
          </reference>
          <reference field="2" count="1" selected="0">
            <x v="1"/>
          </reference>
          <reference field="3" count="1">
            <x v="2"/>
          </reference>
        </references>
      </pivotArea>
    </format>
    <format dxfId="786">
      <pivotArea dataOnly="0" labelOnly="1" outline="0" fieldPosition="0">
        <references count="4">
          <reference field="0" count="1" selected="0">
            <x v="57"/>
          </reference>
          <reference field="1" count="1" selected="0">
            <x v="48"/>
          </reference>
          <reference field="2" count="1" selected="0">
            <x v="5"/>
          </reference>
          <reference field="3" count="1">
            <x v="1"/>
          </reference>
        </references>
      </pivotArea>
    </format>
    <format dxfId="785">
      <pivotArea dataOnly="0" labelOnly="1" outline="0" fieldPosition="0">
        <references count="4">
          <reference field="0" count="1" selected="0">
            <x v="58"/>
          </reference>
          <reference field="1" count="1" selected="0">
            <x v="44"/>
          </reference>
          <reference field="2" count="1" selected="0">
            <x v="5"/>
          </reference>
          <reference field="3" count="1">
            <x v="0"/>
          </reference>
        </references>
      </pivotArea>
    </format>
    <format dxfId="784">
      <pivotArea dataOnly="0" labelOnly="1" outline="0" fieldPosition="0">
        <references count="4">
          <reference field="0" count="1" selected="0">
            <x v="59"/>
          </reference>
          <reference field="1" count="1" selected="0">
            <x v="24"/>
          </reference>
          <reference field="2" count="1" selected="0">
            <x v="0"/>
          </reference>
          <reference field="3" count="1">
            <x v="6"/>
          </reference>
        </references>
      </pivotArea>
    </format>
    <format dxfId="783">
      <pivotArea dataOnly="0" labelOnly="1" outline="0" fieldPosition="0">
        <references count="4">
          <reference field="0" count="1" selected="0">
            <x v="60"/>
          </reference>
          <reference field="1" count="1" selected="0">
            <x v="34"/>
          </reference>
          <reference field="2" count="1" selected="0">
            <x v="5"/>
          </reference>
          <reference field="3" count="1">
            <x v="4"/>
          </reference>
        </references>
      </pivotArea>
    </format>
    <format dxfId="782">
      <pivotArea dataOnly="0" labelOnly="1" outline="0" fieldPosition="0">
        <references count="4">
          <reference field="0" count="1" selected="0">
            <x v="61"/>
          </reference>
          <reference field="1" count="1" selected="0">
            <x v="59"/>
          </reference>
          <reference field="2" count="1" selected="0">
            <x v="2"/>
          </reference>
          <reference field="3" count="1">
            <x v="2"/>
          </reference>
        </references>
      </pivotArea>
    </format>
    <format dxfId="781">
      <pivotArea dataOnly="0" labelOnly="1" outline="0" fieldPosition="0">
        <references count="4">
          <reference field="0" count="1" selected="0">
            <x v="62"/>
          </reference>
          <reference field="1" count="1" selected="0">
            <x v="10"/>
          </reference>
          <reference field="2" count="1" selected="0">
            <x v="4"/>
          </reference>
          <reference field="3" count="1">
            <x v="5"/>
          </reference>
        </references>
      </pivotArea>
    </format>
    <format dxfId="780">
      <pivotArea dataOnly="0" labelOnly="1" outline="0" fieldPosition="0">
        <references count="4">
          <reference field="0" count="1" selected="0">
            <x v="63"/>
          </reference>
          <reference field="1" count="1" selected="0">
            <x v="16"/>
          </reference>
          <reference field="2" count="1" selected="0">
            <x v="5"/>
          </reference>
          <reference field="3" count="1">
            <x v="3"/>
          </reference>
        </references>
      </pivotArea>
    </format>
    <format dxfId="779">
      <pivotArea dataOnly="0" labelOnly="1" outline="0" fieldPosition="0">
        <references count="4">
          <reference field="0" count="1" selected="0">
            <x v="64"/>
          </reference>
          <reference field="1" count="1" selected="0">
            <x v="4"/>
          </reference>
          <reference field="2" count="1" selected="0">
            <x v="0"/>
          </reference>
          <reference field="3" count="1">
            <x v="0"/>
          </reference>
        </references>
      </pivotArea>
    </format>
    <format dxfId="778">
      <pivotArea dataOnly="0" labelOnly="1" outline="0" fieldPosition="0">
        <references count="4">
          <reference field="0" count="1" selected="0">
            <x v="65"/>
          </reference>
          <reference field="1" count="1" selected="0">
            <x v="9"/>
          </reference>
          <reference field="2" count="1" selected="0">
            <x v="3"/>
          </reference>
          <reference field="3" count="1">
            <x v="2"/>
          </reference>
        </references>
      </pivotArea>
    </format>
    <format dxfId="777">
      <pivotArea dataOnly="0" labelOnly="1" outline="0" fieldPosition="0">
        <references count="4">
          <reference field="0" count="1" selected="0">
            <x v="66"/>
          </reference>
          <reference field="1" count="1" selected="0">
            <x v="43"/>
          </reference>
          <reference field="2" count="1" selected="0">
            <x v="0"/>
          </reference>
          <reference field="3" count="1">
            <x v="4"/>
          </reference>
        </references>
      </pivotArea>
    </format>
    <format dxfId="776">
      <pivotArea dataOnly="0" labelOnly="1" outline="0" fieldPosition="0">
        <references count="4">
          <reference field="0" count="1" selected="0">
            <x v="67"/>
          </reference>
          <reference field="1" count="1" selected="0">
            <x v="44"/>
          </reference>
          <reference field="2" count="1" selected="0">
            <x v="5"/>
          </reference>
          <reference field="3" count="1">
            <x v="5"/>
          </reference>
        </references>
      </pivotArea>
    </format>
    <format dxfId="775">
      <pivotArea dataOnly="0" labelOnly="1" outline="0" fieldPosition="0">
        <references count="4">
          <reference field="0" count="1" selected="0">
            <x v="68"/>
          </reference>
          <reference field="1" count="1" selected="0">
            <x v="1"/>
          </reference>
          <reference field="2" count="1" selected="0">
            <x v="5"/>
          </reference>
          <reference field="3" count="1">
            <x v="2"/>
          </reference>
        </references>
      </pivotArea>
    </format>
    <format dxfId="774">
      <pivotArea dataOnly="0" labelOnly="1" outline="0" fieldPosition="0">
        <references count="4">
          <reference field="0" count="1" selected="0">
            <x v="69"/>
          </reference>
          <reference field="1" count="1" selected="0">
            <x v="20"/>
          </reference>
          <reference field="2" count="1" selected="0">
            <x v="4"/>
          </reference>
          <reference field="3" count="1">
            <x v="1"/>
          </reference>
        </references>
      </pivotArea>
    </format>
    <format dxfId="773">
      <pivotArea dataOnly="0" labelOnly="1" outline="0" fieldPosition="0">
        <references count="4">
          <reference field="0" count="1" selected="0">
            <x v="70"/>
          </reference>
          <reference field="1" count="1" selected="0">
            <x v="1"/>
          </reference>
          <reference field="2" count="1" selected="0">
            <x v="5"/>
          </reference>
          <reference field="3" count="1">
            <x v="0"/>
          </reference>
        </references>
      </pivotArea>
    </format>
    <format dxfId="772">
      <pivotArea dataOnly="0" labelOnly="1" outline="0" fieldPosition="0">
        <references count="4">
          <reference field="0" count="1" selected="0">
            <x v="71"/>
          </reference>
          <reference field="1" count="1" selected="0">
            <x v="30"/>
          </reference>
          <reference field="2" count="1" selected="0">
            <x v="1"/>
          </reference>
          <reference field="3" count="1">
            <x v="6"/>
          </reference>
        </references>
      </pivotArea>
    </format>
    <format dxfId="771">
      <pivotArea dataOnly="0" labelOnly="1" outline="0" fieldPosition="0">
        <references count="4">
          <reference field="0" count="1" selected="0">
            <x v="72"/>
          </reference>
          <reference field="1" count="1" selected="0">
            <x v="33"/>
          </reference>
          <reference field="2" count="1" selected="0">
            <x v="4"/>
          </reference>
          <reference field="3" count="1">
            <x v="2"/>
          </reference>
        </references>
      </pivotArea>
    </format>
    <format dxfId="770">
      <pivotArea dataOnly="0" labelOnly="1" outline="0" fieldPosition="0">
        <references count="4">
          <reference field="0" count="1" selected="0">
            <x v="73"/>
          </reference>
          <reference field="1" count="1" selected="0">
            <x v="44"/>
          </reference>
          <reference field="2" count="1" selected="0">
            <x v="5"/>
          </reference>
          <reference field="3" count="1">
            <x v="5"/>
          </reference>
        </references>
      </pivotArea>
    </format>
    <format dxfId="769">
      <pivotArea dataOnly="0" labelOnly="1" outline="0" fieldPosition="0">
        <references count="4">
          <reference field="0" count="1" selected="0">
            <x v="74"/>
          </reference>
          <reference field="1" count="1" selected="0">
            <x v="59"/>
          </reference>
          <reference field="2" count="1" selected="0">
            <x v="2"/>
          </reference>
          <reference field="3" count="1">
            <x v="1"/>
          </reference>
        </references>
      </pivotArea>
    </format>
    <format dxfId="768">
      <pivotArea dataOnly="0" labelOnly="1" outline="0" fieldPosition="0">
        <references count="4">
          <reference field="0" count="1" selected="0">
            <x v="75"/>
          </reference>
          <reference field="1" count="1" selected="0">
            <x v="5"/>
          </reference>
          <reference field="2" count="1" selected="0">
            <x v="0"/>
          </reference>
          <reference field="3" count="1">
            <x v="7"/>
          </reference>
        </references>
      </pivotArea>
    </format>
    <format dxfId="767">
      <pivotArea dataOnly="0" labelOnly="1" outline="0" fieldPosition="0">
        <references count="4">
          <reference field="0" count="1" selected="0">
            <x v="76"/>
          </reference>
          <reference field="1" count="1" selected="0">
            <x v="55"/>
          </reference>
          <reference field="2" count="1" selected="0">
            <x v="1"/>
          </reference>
          <reference field="3" count="1">
            <x v="3"/>
          </reference>
        </references>
      </pivotArea>
    </format>
    <format dxfId="766">
      <pivotArea dataOnly="0" labelOnly="1" outline="0" fieldPosition="0">
        <references count="4">
          <reference field="0" count="1" selected="0">
            <x v="77"/>
          </reference>
          <reference field="1" count="1" selected="0">
            <x v="59"/>
          </reference>
          <reference field="2" count="1" selected="0">
            <x v="2"/>
          </reference>
          <reference field="3" count="1">
            <x v="4"/>
          </reference>
        </references>
      </pivotArea>
    </format>
    <format dxfId="765">
      <pivotArea dataOnly="0" labelOnly="1" outline="0" fieldPosition="0">
        <references count="4">
          <reference field="0" count="1" selected="0">
            <x v="79"/>
          </reference>
          <reference field="1" count="1" selected="0">
            <x v="9"/>
          </reference>
          <reference field="2" count="1" selected="0">
            <x v="3"/>
          </reference>
          <reference field="3" count="1">
            <x v="0"/>
          </reference>
        </references>
      </pivotArea>
    </format>
    <format dxfId="764">
      <pivotArea dataOnly="0" labelOnly="1" outline="0" fieldPosition="0">
        <references count="4">
          <reference field="0" count="1" selected="0">
            <x v="80"/>
          </reference>
          <reference field="1" count="1" selected="0">
            <x v="48"/>
          </reference>
          <reference field="2" count="1" selected="0">
            <x v="5"/>
          </reference>
          <reference field="3" count="1">
            <x v="7"/>
          </reference>
        </references>
      </pivotArea>
    </format>
    <format dxfId="763">
      <pivotArea dataOnly="0" labelOnly="1" outline="0" fieldPosition="0">
        <references count="4">
          <reference field="0" count="1" selected="0">
            <x v="81"/>
          </reference>
          <reference field="1" count="1" selected="0">
            <x v="54"/>
          </reference>
          <reference field="2" count="1" selected="0">
            <x v="2"/>
          </reference>
          <reference field="3" count="1">
            <x v="1"/>
          </reference>
        </references>
      </pivotArea>
    </format>
    <format dxfId="762">
      <pivotArea dataOnly="0" labelOnly="1" outline="0" fieldPosition="0">
        <references count="4">
          <reference field="0" count="1" selected="0">
            <x v="83"/>
          </reference>
          <reference field="1" count="1" selected="0">
            <x v="46"/>
          </reference>
          <reference field="2" count="1" selected="0">
            <x v="3"/>
          </reference>
          <reference field="3" count="1">
            <x v="4"/>
          </reference>
        </references>
      </pivotArea>
    </format>
    <format dxfId="761">
      <pivotArea dataOnly="0" labelOnly="1" outline="0" fieldPosition="0">
        <references count="4">
          <reference field="0" count="1" selected="0">
            <x v="84"/>
          </reference>
          <reference field="1" count="1" selected="0">
            <x v="39"/>
          </reference>
          <reference field="2" count="1" selected="0">
            <x v="2"/>
          </reference>
          <reference field="3" count="1">
            <x v="2"/>
          </reference>
        </references>
      </pivotArea>
    </format>
    <format dxfId="760">
      <pivotArea dataOnly="0" labelOnly="1" outline="0" fieldPosition="0">
        <references count="4">
          <reference field="0" count="1" selected="0">
            <x v="85"/>
          </reference>
          <reference field="1" count="1" selected="0">
            <x v="10"/>
          </reference>
          <reference field="2" count="1" selected="0">
            <x v="4"/>
          </reference>
          <reference field="3" count="1">
            <x v="0"/>
          </reference>
        </references>
      </pivotArea>
    </format>
    <format dxfId="759">
      <pivotArea dataOnly="0" labelOnly="1" outline="0" fieldPosition="0">
        <references count="4">
          <reference field="0" count="1" selected="0">
            <x v="86"/>
          </reference>
          <reference field="1" count="1" selected="0">
            <x v="29"/>
          </reference>
          <reference field="2" count="1" selected="0">
            <x v="1"/>
          </reference>
          <reference field="3" count="1">
            <x v="1"/>
          </reference>
        </references>
      </pivotArea>
    </format>
    <format dxfId="758">
      <pivotArea dataOnly="0" labelOnly="1" outline="0" fieldPosition="0">
        <references count="4">
          <reference field="0" count="1" selected="0">
            <x v="89"/>
          </reference>
          <reference field="1" count="1" selected="0">
            <x v="52"/>
          </reference>
          <reference field="2" count="1" selected="0">
            <x v="1"/>
          </reference>
          <reference field="3" count="1">
            <x v="3"/>
          </reference>
        </references>
      </pivotArea>
    </format>
    <format dxfId="757">
      <pivotArea dataOnly="0" labelOnly="1" outline="0" fieldPosition="0">
        <references count="4">
          <reference field="0" count="1" selected="0">
            <x v="90"/>
          </reference>
          <reference field="1" count="1" selected="0">
            <x v="37"/>
          </reference>
          <reference field="2" count="1" selected="0">
            <x v="1"/>
          </reference>
          <reference field="3" count="1">
            <x v="1"/>
          </reference>
        </references>
      </pivotArea>
    </format>
    <format dxfId="756">
      <pivotArea dataOnly="0" labelOnly="1" outline="0" fieldPosition="0">
        <references count="4">
          <reference field="0" count="1" selected="0">
            <x v="91"/>
          </reference>
          <reference field="1" count="1" selected="0">
            <x v="51"/>
          </reference>
          <reference field="2" count="1" selected="0">
            <x v="0"/>
          </reference>
          <reference field="3" count="1">
            <x v="4"/>
          </reference>
        </references>
      </pivotArea>
    </format>
    <format dxfId="755">
      <pivotArea dataOnly="0" labelOnly="1" outline="0" fieldPosition="0">
        <references count="4">
          <reference field="0" count="1" selected="0">
            <x v="93"/>
          </reference>
          <reference field="1" count="1" selected="0">
            <x v="5"/>
          </reference>
          <reference field="2" count="1" selected="0">
            <x v="0"/>
          </reference>
          <reference field="3" count="1">
            <x v="7"/>
          </reference>
        </references>
      </pivotArea>
    </format>
    <format dxfId="754">
      <pivotArea dataOnly="0" labelOnly="1" outline="0" fieldPosition="0">
        <references count="4">
          <reference field="0" count="1" selected="0">
            <x v="94"/>
          </reference>
          <reference field="1" count="1" selected="0">
            <x v="42"/>
          </reference>
          <reference field="2" count="1" selected="0">
            <x v="2"/>
          </reference>
          <reference field="3" count="1">
            <x v="2"/>
          </reference>
        </references>
      </pivotArea>
    </format>
    <format dxfId="753">
      <pivotArea dataOnly="0" labelOnly="1" outline="0" fieldPosition="0">
        <references count="4">
          <reference field="0" count="1" selected="0">
            <x v="95"/>
          </reference>
          <reference field="1" count="1" selected="0">
            <x v="51"/>
          </reference>
          <reference field="2" count="1" selected="0">
            <x v="0"/>
          </reference>
          <reference field="3" count="1">
            <x v="6"/>
          </reference>
        </references>
      </pivotArea>
    </format>
    <format dxfId="752">
      <pivotArea dataOnly="0" labelOnly="1" outline="0" fieldPosition="0">
        <references count="4">
          <reference field="0" count="1" selected="0">
            <x v="96"/>
          </reference>
          <reference field="1" count="1" selected="0">
            <x v="31"/>
          </reference>
          <reference field="2" count="1" selected="0">
            <x v="3"/>
          </reference>
          <reference field="3" count="1">
            <x v="0"/>
          </reference>
        </references>
      </pivotArea>
    </format>
    <format dxfId="751">
      <pivotArea dataOnly="0" labelOnly="1" outline="0" fieldPosition="0">
        <references count="4">
          <reference field="0" count="1" selected="0">
            <x v="97"/>
          </reference>
          <reference field="1" count="1" selected="0">
            <x v="38"/>
          </reference>
          <reference field="2" count="1" selected="0">
            <x v="5"/>
          </reference>
          <reference field="3" count="1">
            <x v="5"/>
          </reference>
        </references>
      </pivotArea>
    </format>
    <format dxfId="750">
      <pivotArea dataOnly="0" labelOnly="1" outline="0" fieldPosition="0">
        <references count="4">
          <reference field="0" count="1" selected="0">
            <x v="98"/>
          </reference>
          <reference field="1" count="1" selected="0">
            <x v="1"/>
          </reference>
          <reference field="2" count="1" selected="0">
            <x v="5"/>
          </reference>
          <reference field="3" count="1">
            <x v="1"/>
          </reference>
        </references>
      </pivotArea>
    </format>
    <format dxfId="749">
      <pivotArea dataOnly="0" labelOnly="1" outline="0" fieldPosition="0">
        <references count="4">
          <reference field="0" count="1" selected="0">
            <x v="99"/>
          </reference>
          <reference field="1" count="1" selected="0">
            <x v="27"/>
          </reference>
          <reference field="2" count="1" selected="0">
            <x v="0"/>
          </reference>
          <reference field="3" count="1">
            <x v="5"/>
          </reference>
        </references>
      </pivotArea>
    </format>
    <format dxfId="748">
      <pivotArea dataOnly="0" labelOnly="1" outline="0" fieldPosition="0">
        <references count="4">
          <reference field="0" count="1" selected="0">
            <x v="100"/>
          </reference>
          <reference field="1" count="1" selected="0">
            <x v="5"/>
          </reference>
          <reference field="2" count="1" selected="0">
            <x v="0"/>
          </reference>
          <reference field="3" count="1">
            <x v="1"/>
          </reference>
        </references>
      </pivotArea>
    </format>
    <format dxfId="747">
      <pivotArea dataOnly="0" labelOnly="1" outline="0" fieldPosition="0">
        <references count="4">
          <reference field="0" count="1" selected="0">
            <x v="101"/>
          </reference>
          <reference field="1" count="1" selected="0">
            <x v="49"/>
          </reference>
          <reference field="2" count="1" selected="0">
            <x v="3"/>
          </reference>
          <reference field="3" count="1">
            <x v="4"/>
          </reference>
        </references>
      </pivotArea>
    </format>
    <format dxfId="746">
      <pivotArea dataOnly="0" labelOnly="1" outline="0" fieldPosition="0">
        <references count="4">
          <reference field="0" count="1" selected="0">
            <x v="102"/>
          </reference>
          <reference field="1" count="1" selected="0">
            <x v="35"/>
          </reference>
          <reference field="2" count="1" selected="0">
            <x v="4"/>
          </reference>
          <reference field="3" count="1">
            <x v="1"/>
          </reference>
        </references>
      </pivotArea>
    </format>
    <format dxfId="745">
      <pivotArea dataOnly="0" labelOnly="1" outline="0" fieldPosition="0">
        <references count="4">
          <reference field="0" count="1" selected="0">
            <x v="103"/>
          </reference>
          <reference field="1" count="1" selected="0">
            <x v="42"/>
          </reference>
          <reference field="2" count="1" selected="0">
            <x v="2"/>
          </reference>
          <reference field="3" count="1">
            <x v="7"/>
          </reference>
        </references>
      </pivotArea>
    </format>
    <format dxfId="744">
      <pivotArea dataOnly="0" labelOnly="1" outline="0" fieldPosition="0">
        <references count="4">
          <reference field="0" count="1" selected="0">
            <x v="104"/>
          </reference>
          <reference field="1" count="1" selected="0">
            <x v="25"/>
          </reference>
          <reference field="2" count="1" selected="0">
            <x v="1"/>
          </reference>
          <reference field="3" count="1">
            <x v="2"/>
          </reference>
        </references>
      </pivotArea>
    </format>
    <format dxfId="743">
      <pivotArea dataOnly="0" labelOnly="1" outline="0" fieldPosition="0">
        <references count="4">
          <reference field="0" count="1" selected="0">
            <x v="105"/>
          </reference>
          <reference field="1" count="1" selected="0">
            <x v="26"/>
          </reference>
          <reference field="2" count="1" selected="0">
            <x v="5"/>
          </reference>
          <reference field="3" count="1">
            <x v="7"/>
          </reference>
        </references>
      </pivotArea>
    </format>
    <format dxfId="742">
      <pivotArea dataOnly="0" labelOnly="1" outline="0" fieldPosition="0">
        <references count="4">
          <reference field="0" count="1" selected="0">
            <x v="106"/>
          </reference>
          <reference field="1" count="1" selected="0">
            <x v="6"/>
          </reference>
          <reference field="2" count="1" selected="0">
            <x v="3"/>
          </reference>
          <reference field="3" count="1">
            <x v="3"/>
          </reference>
        </references>
      </pivotArea>
    </format>
    <format dxfId="741">
      <pivotArea dataOnly="0" labelOnly="1" outline="0" fieldPosition="0">
        <references count="4">
          <reference field="0" count="1" selected="0">
            <x v="107"/>
          </reference>
          <reference field="1" count="1" selected="0">
            <x v="0"/>
          </reference>
          <reference field="2" count="1" selected="0">
            <x v="0"/>
          </reference>
          <reference field="3" count="1">
            <x v="4"/>
          </reference>
        </references>
      </pivotArea>
    </format>
    <format dxfId="740">
      <pivotArea dataOnly="0" labelOnly="1" outline="0" fieldPosition="0">
        <references count="4">
          <reference field="0" count="1" selected="0">
            <x v="108"/>
          </reference>
          <reference field="1" count="1" selected="0">
            <x v="44"/>
          </reference>
          <reference field="2" count="1" selected="0">
            <x v="5"/>
          </reference>
          <reference field="3" count="1">
            <x v="7"/>
          </reference>
        </references>
      </pivotArea>
    </format>
    <format dxfId="739">
      <pivotArea dataOnly="0" labelOnly="1" outline="0" fieldPosition="0">
        <references count="4">
          <reference field="0" count="1" selected="0">
            <x v="109"/>
          </reference>
          <reference field="1" count="1" selected="0">
            <x v="8"/>
          </reference>
          <reference field="2" count="1" selected="0">
            <x v="5"/>
          </reference>
          <reference field="3" count="1">
            <x v="0"/>
          </reference>
        </references>
      </pivotArea>
    </format>
    <format dxfId="738">
      <pivotArea dataOnly="0" labelOnly="1" outline="0" fieldPosition="0">
        <references count="4">
          <reference field="0" count="1" selected="0">
            <x v="110"/>
          </reference>
          <reference field="1" count="1" selected="0">
            <x v="44"/>
          </reference>
          <reference field="2" count="1" selected="0">
            <x v="5"/>
          </reference>
          <reference field="3" count="1">
            <x v="1"/>
          </reference>
        </references>
      </pivotArea>
    </format>
    <format dxfId="737">
      <pivotArea dataOnly="0" labelOnly="1" outline="0" fieldPosition="0">
        <references count="4">
          <reference field="0" count="1" selected="0">
            <x v="111"/>
          </reference>
          <reference field="1" count="1" selected="0">
            <x v="49"/>
          </reference>
          <reference field="2" count="1" selected="0">
            <x v="3"/>
          </reference>
          <reference field="3" count="1">
            <x v="3"/>
          </reference>
        </references>
      </pivotArea>
    </format>
    <format dxfId="736">
      <pivotArea dataOnly="0" labelOnly="1" outline="0" fieldPosition="0">
        <references count="4">
          <reference field="0" count="1" selected="0">
            <x v="112"/>
          </reference>
          <reference field="1" count="1" selected="0">
            <x v="57"/>
          </reference>
          <reference field="2" count="1" selected="0">
            <x v="0"/>
          </reference>
          <reference field="3" count="1">
            <x v="5"/>
          </reference>
        </references>
      </pivotArea>
    </format>
    <format dxfId="735">
      <pivotArea dataOnly="0" labelOnly="1" outline="0" fieldPosition="0">
        <references count="4">
          <reference field="0" count="1" selected="0">
            <x v="113"/>
          </reference>
          <reference field="1" count="1" selected="0">
            <x v="21"/>
          </reference>
          <reference field="2" count="1" selected="0">
            <x v="2"/>
          </reference>
          <reference field="3" count="1">
            <x v="3"/>
          </reference>
        </references>
      </pivotArea>
    </format>
    <format dxfId="734">
      <pivotArea dataOnly="0" labelOnly="1" outline="0" fieldPosition="0">
        <references count="4">
          <reference field="0" count="1" selected="0">
            <x v="115"/>
          </reference>
          <reference field="1" count="1" selected="0">
            <x v="1"/>
          </reference>
          <reference field="2" count="1" selected="0">
            <x v="5"/>
          </reference>
          <reference field="3" count="1">
            <x v="6"/>
          </reference>
        </references>
      </pivotArea>
    </format>
    <format dxfId="733">
      <pivotArea dataOnly="0" labelOnly="1" outline="0" fieldPosition="0">
        <references count="4">
          <reference field="0" count="1" selected="0">
            <x v="117"/>
          </reference>
          <reference field="1" count="1" selected="0">
            <x v="39"/>
          </reference>
          <reference field="2" count="1" selected="0">
            <x v="2"/>
          </reference>
          <reference field="3" count="1">
            <x v="5"/>
          </reference>
        </references>
      </pivotArea>
    </format>
    <format dxfId="732">
      <pivotArea dataOnly="0" labelOnly="1" outline="0" fieldPosition="0">
        <references count="4">
          <reference field="0" count="1" selected="0">
            <x v="118"/>
          </reference>
          <reference field="1" count="1" selected="0">
            <x v="7"/>
          </reference>
          <reference field="2" count="1" selected="0">
            <x v="3"/>
          </reference>
          <reference field="3" count="1">
            <x v="6"/>
          </reference>
        </references>
      </pivotArea>
    </format>
    <format dxfId="731">
      <pivotArea dataOnly="0" labelOnly="1" outline="0" fieldPosition="0">
        <references count="4">
          <reference field="0" count="1" selected="0">
            <x v="119"/>
          </reference>
          <reference field="1" count="1" selected="0">
            <x v="44"/>
          </reference>
          <reference field="2" count="1" selected="0">
            <x v="5"/>
          </reference>
          <reference field="3" count="1">
            <x v="1"/>
          </reference>
        </references>
      </pivotArea>
    </format>
    <format dxfId="730">
      <pivotArea dataOnly="0" labelOnly="1" outline="0" fieldPosition="0">
        <references count="4">
          <reference field="0" count="1" selected="0">
            <x v="120"/>
          </reference>
          <reference field="1" count="1" selected="0">
            <x v="8"/>
          </reference>
          <reference field="2" count="1" selected="0">
            <x v="5"/>
          </reference>
          <reference field="3" count="1">
            <x v="4"/>
          </reference>
        </references>
      </pivotArea>
    </format>
    <format dxfId="729">
      <pivotArea dataOnly="0" labelOnly="1" outline="0" fieldPosition="0">
        <references count="4">
          <reference field="0" count="1" selected="0">
            <x v="121"/>
          </reference>
          <reference field="1" count="1" selected="0">
            <x v="50"/>
          </reference>
          <reference field="2" count="1" selected="0">
            <x v="3"/>
          </reference>
          <reference field="3" count="1">
            <x v="6"/>
          </reference>
        </references>
      </pivotArea>
    </format>
    <format dxfId="728">
      <pivotArea dataOnly="0" labelOnly="1" outline="0" fieldPosition="0">
        <references count="4">
          <reference field="0" count="1" selected="0">
            <x v="122"/>
          </reference>
          <reference field="1" count="1" selected="0">
            <x v="21"/>
          </reference>
          <reference field="2" count="1" selected="0">
            <x v="2"/>
          </reference>
          <reference field="3" count="1">
            <x v="3"/>
          </reference>
        </references>
      </pivotArea>
    </format>
    <format dxfId="727">
      <pivotArea dataOnly="0" labelOnly="1" outline="0" fieldPosition="0">
        <references count="4">
          <reference field="0" count="1" selected="0">
            <x v="123"/>
          </reference>
          <reference field="1" count="1" selected="0">
            <x v="39"/>
          </reference>
          <reference field="2" count="1" selected="0">
            <x v="2"/>
          </reference>
          <reference field="3" count="1">
            <x v="1"/>
          </reference>
        </references>
      </pivotArea>
    </format>
    <format dxfId="726">
      <pivotArea dataOnly="0" labelOnly="1" outline="0" fieldPosition="0">
        <references count="4">
          <reference field="0" count="1" selected="0">
            <x v="124"/>
          </reference>
          <reference field="1" count="1" selected="0">
            <x v="36"/>
          </reference>
          <reference field="2" count="1" selected="0">
            <x v="1"/>
          </reference>
          <reference field="3" count="1">
            <x v="5"/>
          </reference>
        </references>
      </pivotArea>
    </format>
    <format dxfId="725">
      <pivotArea dataOnly="0" labelOnly="1" outline="0" fieldPosition="0">
        <references count="4">
          <reference field="0" count="1" selected="0">
            <x v="126"/>
          </reference>
          <reference field="1" count="1" selected="0">
            <x v="2"/>
          </reference>
          <reference field="2" count="1" selected="0">
            <x v="3"/>
          </reference>
          <reference field="3" count="1">
            <x v="0"/>
          </reference>
        </references>
      </pivotArea>
    </format>
    <format dxfId="724">
      <pivotArea dataOnly="0" labelOnly="1" outline="0" fieldPosition="0">
        <references count="4">
          <reference field="0" count="1" selected="0">
            <x v="127"/>
          </reference>
          <reference field="1" count="1" selected="0">
            <x v="35"/>
          </reference>
          <reference field="2" count="1" selected="0">
            <x v="4"/>
          </reference>
          <reference field="3" count="1">
            <x v="4"/>
          </reference>
        </references>
      </pivotArea>
    </format>
    <format dxfId="723">
      <pivotArea dataOnly="0" labelOnly="1" outline="0" fieldPosition="0">
        <references count="4">
          <reference field="0" count="1" selected="0">
            <x v="128"/>
          </reference>
          <reference field="1" count="1" selected="0">
            <x v="12"/>
          </reference>
          <reference field="2" count="1" selected="0">
            <x v="4"/>
          </reference>
          <reference field="3" count="1">
            <x v="6"/>
          </reference>
        </references>
      </pivotArea>
    </format>
    <format dxfId="722">
      <pivotArea dataOnly="0" labelOnly="1" outline="0" fieldPosition="0">
        <references count="4">
          <reference field="0" count="1" selected="0">
            <x v="129"/>
          </reference>
          <reference field="1" count="1" selected="0">
            <x v="1"/>
          </reference>
          <reference field="2" count="1" selected="0">
            <x v="5"/>
          </reference>
          <reference field="3" count="1">
            <x v="5"/>
          </reference>
        </references>
      </pivotArea>
    </format>
    <format dxfId="721">
      <pivotArea dataOnly="0" labelOnly="1" outline="0" fieldPosition="0">
        <references count="4">
          <reference field="0" count="1" selected="0">
            <x v="130"/>
          </reference>
          <reference field="1" count="1" selected="0">
            <x v="41"/>
          </reference>
          <reference field="2" count="1" selected="0">
            <x v="0"/>
          </reference>
          <reference field="3" count="1">
            <x v="3"/>
          </reference>
        </references>
      </pivotArea>
    </format>
    <format dxfId="720">
      <pivotArea dataOnly="0" labelOnly="1" outline="0" fieldPosition="0">
        <references count="4">
          <reference field="0" count="1" selected="0">
            <x v="131"/>
          </reference>
          <reference field="1" count="1" selected="0">
            <x v="40"/>
          </reference>
          <reference field="2" count="1" selected="0">
            <x v="2"/>
          </reference>
          <reference field="3" count="1">
            <x v="7"/>
          </reference>
        </references>
      </pivotArea>
    </format>
    <format dxfId="719">
      <pivotArea dataOnly="0" labelOnly="1" outline="0" fieldPosition="0">
        <references count="4">
          <reference field="0" count="1" selected="0">
            <x v="132"/>
          </reference>
          <reference field="1" count="1" selected="0">
            <x v="14"/>
          </reference>
          <reference field="2" count="1" selected="0">
            <x v="4"/>
          </reference>
          <reference field="3" count="1">
            <x v="3"/>
          </reference>
        </references>
      </pivotArea>
    </format>
    <format dxfId="718">
      <pivotArea dataOnly="0" labelOnly="1" outline="0" fieldPosition="0">
        <references count="4">
          <reference field="0" count="1" selected="0">
            <x v="133"/>
          </reference>
          <reference field="1" count="1" selected="0">
            <x v="24"/>
          </reference>
          <reference field="2" count="1" selected="0">
            <x v="0"/>
          </reference>
          <reference field="3" count="1">
            <x v="0"/>
          </reference>
        </references>
      </pivotArea>
    </format>
    <format dxfId="717">
      <pivotArea dataOnly="0" labelOnly="1" outline="0" fieldPosition="0">
        <references count="4">
          <reference field="0" count="1" selected="0">
            <x v="134"/>
          </reference>
          <reference field="1" count="1" selected="0">
            <x v="13"/>
          </reference>
          <reference field="2" count="1" selected="0">
            <x v="3"/>
          </reference>
          <reference field="3" count="1">
            <x v="5"/>
          </reference>
        </references>
      </pivotArea>
    </format>
    <format dxfId="716">
      <pivotArea dataOnly="0" labelOnly="1" outline="0" fieldPosition="0">
        <references count="4">
          <reference field="0" count="1" selected="0">
            <x v="135"/>
          </reference>
          <reference field="1" count="1" selected="0">
            <x v="42"/>
          </reference>
          <reference field="2" count="1" selected="0">
            <x v="2"/>
          </reference>
          <reference field="3" count="1">
            <x v="7"/>
          </reference>
        </references>
      </pivotArea>
    </format>
    <format dxfId="715">
      <pivotArea dataOnly="0" labelOnly="1" outline="0" fieldPosition="0">
        <references count="4">
          <reference field="0" count="1" selected="0">
            <x v="136"/>
          </reference>
          <reference field="1" count="1" selected="0">
            <x v="52"/>
          </reference>
          <reference field="2" count="1" selected="0">
            <x v="1"/>
          </reference>
          <reference field="3" count="1">
            <x v="5"/>
          </reference>
        </references>
      </pivotArea>
    </format>
    <format dxfId="714">
      <pivotArea dataOnly="0" labelOnly="1" outline="0" fieldPosition="0">
        <references count="4">
          <reference field="0" count="1" selected="0">
            <x v="137"/>
          </reference>
          <reference field="1" count="1" selected="0">
            <x v="39"/>
          </reference>
          <reference field="2" count="1" selected="0">
            <x v="2"/>
          </reference>
          <reference field="3" count="1">
            <x v="0"/>
          </reference>
        </references>
      </pivotArea>
    </format>
    <format dxfId="713">
      <pivotArea dataOnly="0" labelOnly="1" outline="0" fieldPosition="0">
        <references count="4">
          <reference field="0" count="1" selected="0">
            <x v="138"/>
          </reference>
          <reference field="1" count="1" selected="0">
            <x v="45"/>
          </reference>
          <reference field="2" count="1" selected="0">
            <x v="5"/>
          </reference>
          <reference field="3" count="1">
            <x v="4"/>
          </reference>
        </references>
      </pivotArea>
    </format>
    <format dxfId="712">
      <pivotArea dataOnly="0" labelOnly="1" outline="0" fieldPosition="0">
        <references count="4">
          <reference field="0" count="1" selected="0">
            <x v="140"/>
          </reference>
          <reference field="1" count="1" selected="0">
            <x v="40"/>
          </reference>
          <reference field="2" count="1" selected="0">
            <x v="2"/>
          </reference>
          <reference field="3" count="1">
            <x v="6"/>
          </reference>
        </references>
      </pivotArea>
    </format>
    <format dxfId="711">
      <pivotArea dataOnly="0" labelOnly="1" outline="0" fieldPosition="0">
        <references count="4">
          <reference field="0" count="1" selected="0">
            <x v="141"/>
          </reference>
          <reference field="1" count="1" selected="0">
            <x v="1"/>
          </reference>
          <reference field="2" count="1" selected="0">
            <x v="5"/>
          </reference>
          <reference field="3" count="1">
            <x v="0"/>
          </reference>
        </references>
      </pivotArea>
    </format>
    <format dxfId="710">
      <pivotArea dataOnly="0" labelOnly="1" outline="0" fieldPosition="0">
        <references count="4">
          <reference field="0" count="1" selected="0">
            <x v="142"/>
          </reference>
          <reference field="1" count="1" selected="0">
            <x v="34"/>
          </reference>
          <reference field="2" count="1" selected="0">
            <x v="5"/>
          </reference>
          <reference field="3" count="1">
            <x v="1"/>
          </reference>
        </references>
      </pivotArea>
    </format>
    <format dxfId="709">
      <pivotArea dataOnly="0" labelOnly="1" outline="0" fieldPosition="0">
        <references count="4">
          <reference field="0" count="1" selected="0">
            <x v="143"/>
          </reference>
          <reference field="1" count="1" selected="0">
            <x v="25"/>
          </reference>
          <reference field="2" count="1" selected="0">
            <x v="1"/>
          </reference>
          <reference field="3" count="1">
            <x v="0"/>
          </reference>
        </references>
      </pivotArea>
    </format>
    <format dxfId="708">
      <pivotArea dataOnly="0" labelOnly="1" outline="0" fieldPosition="0">
        <references count="4">
          <reference field="0" count="1" selected="0">
            <x v="144"/>
          </reference>
          <reference field="1" count="1" selected="0">
            <x v="58"/>
          </reference>
          <reference field="2" count="1" selected="0">
            <x v="1"/>
          </reference>
          <reference field="3" count="1">
            <x v="6"/>
          </reference>
        </references>
      </pivotArea>
    </format>
    <format dxfId="707">
      <pivotArea dataOnly="0" labelOnly="1" outline="0" fieldPosition="0">
        <references count="4">
          <reference field="0" count="1" selected="0">
            <x v="145"/>
          </reference>
          <reference field="1" count="1" selected="0">
            <x v="58"/>
          </reference>
          <reference field="2" count="1" selected="0">
            <x v="1"/>
          </reference>
          <reference field="3" count="1">
            <x v="2"/>
          </reference>
        </references>
      </pivotArea>
    </format>
    <format dxfId="706">
      <pivotArea dataOnly="0" labelOnly="1" outline="0" fieldPosition="0">
        <references count="4">
          <reference field="0" count="1" selected="0">
            <x v="147"/>
          </reference>
          <reference field="1" count="1" selected="0">
            <x v="42"/>
          </reference>
          <reference field="2" count="1" selected="0">
            <x v="2"/>
          </reference>
          <reference field="3" count="1">
            <x v="5"/>
          </reference>
        </references>
      </pivotArea>
    </format>
    <format dxfId="705">
      <pivotArea dataOnly="0" labelOnly="1" outline="0" fieldPosition="0">
        <references count="4">
          <reference field="0" count="1" selected="0">
            <x v="148"/>
          </reference>
          <reference field="1" count="1" selected="0">
            <x v="19"/>
          </reference>
          <reference field="2" count="1" selected="0">
            <x v="5"/>
          </reference>
          <reference field="3" count="1">
            <x v="7"/>
          </reference>
        </references>
      </pivotArea>
    </format>
    <format dxfId="704">
      <pivotArea dataOnly="0" labelOnly="1" outline="0" fieldPosition="0">
        <references count="4">
          <reference field="0" count="1" selected="0">
            <x v="149"/>
          </reference>
          <reference field="1" count="1" selected="0">
            <x v="6"/>
          </reference>
          <reference field="2" count="1" selected="0">
            <x v="3"/>
          </reference>
          <reference field="3" count="1">
            <x v="3"/>
          </reference>
        </references>
      </pivotArea>
    </format>
    <format dxfId="703">
      <pivotArea dataOnly="0" labelOnly="1" outline="0" fieldPosition="0">
        <references count="4">
          <reference field="0" count="1" selected="0">
            <x v="150"/>
          </reference>
          <reference field="1" count="1" selected="0">
            <x v="55"/>
          </reference>
          <reference field="2" count="1" selected="0">
            <x v="1"/>
          </reference>
          <reference field="3" count="1">
            <x v="7"/>
          </reference>
        </references>
      </pivotArea>
    </format>
    <format dxfId="702">
      <pivotArea dataOnly="0" labelOnly="1" outline="0" fieldPosition="0">
        <references count="4">
          <reference field="0" count="1" selected="0">
            <x v="151"/>
          </reference>
          <reference field="1" count="1" selected="0">
            <x v="18"/>
          </reference>
          <reference field="2" count="1" selected="0">
            <x v="2"/>
          </reference>
          <reference field="3" count="1">
            <x v="6"/>
          </reference>
        </references>
      </pivotArea>
    </format>
    <format dxfId="701">
      <pivotArea dataOnly="0" labelOnly="1" outline="0" fieldPosition="0">
        <references count="4">
          <reference field="0" count="1" selected="0">
            <x v="152"/>
          </reference>
          <reference field="1" count="1" selected="0">
            <x v="25"/>
          </reference>
          <reference field="2" count="1" selected="0">
            <x v="1"/>
          </reference>
          <reference field="3" count="1">
            <x v="1"/>
          </reference>
        </references>
      </pivotArea>
    </format>
    <format dxfId="700">
      <pivotArea dataOnly="0" labelOnly="1" outline="0" fieldPosition="0">
        <references count="4">
          <reference field="0" count="1" selected="0">
            <x v="155"/>
          </reference>
          <reference field="1" count="1" selected="0">
            <x v="34"/>
          </reference>
          <reference field="2" count="1" selected="0">
            <x v="5"/>
          </reference>
          <reference field="3" count="1">
            <x v="5"/>
          </reference>
        </references>
      </pivotArea>
    </format>
    <format dxfId="699">
      <pivotArea dataOnly="0" labelOnly="1" outline="0" fieldPosition="0">
        <references count="4">
          <reference field="0" count="1" selected="0">
            <x v="157"/>
          </reference>
          <reference field="1" count="1" selected="0">
            <x v="38"/>
          </reference>
          <reference field="2" count="1" selected="0">
            <x v="5"/>
          </reference>
          <reference field="3" count="1">
            <x v="4"/>
          </reference>
        </references>
      </pivotArea>
    </format>
    <format dxfId="698">
      <pivotArea dataOnly="0" labelOnly="1" outline="0" fieldPosition="0">
        <references count="4">
          <reference field="0" count="1" selected="0">
            <x v="159"/>
          </reference>
          <reference field="1" count="1" selected="0">
            <x v="57"/>
          </reference>
          <reference field="2" count="1" selected="0">
            <x v="0"/>
          </reference>
          <reference field="3" count="1">
            <x v="2"/>
          </reference>
        </references>
      </pivotArea>
    </format>
    <format dxfId="697">
      <pivotArea dataOnly="0" labelOnly="1" outline="0" fieldPosition="0">
        <references count="4">
          <reference field="0" count="1" selected="0">
            <x v="160"/>
          </reference>
          <reference field="1" count="1" selected="0">
            <x v="27"/>
          </reference>
          <reference field="2" count="1" selected="0">
            <x v="0"/>
          </reference>
          <reference field="3" count="1">
            <x v="5"/>
          </reference>
        </references>
      </pivotArea>
    </format>
    <format dxfId="696">
      <pivotArea dataOnly="0" labelOnly="1" outline="0" fieldPosition="0">
        <references count="4">
          <reference field="0" count="1" selected="0">
            <x v="163"/>
          </reference>
          <reference field="1" count="1" selected="0">
            <x v="29"/>
          </reference>
          <reference field="2" count="1" selected="0">
            <x v="1"/>
          </reference>
          <reference field="3" count="1">
            <x v="3"/>
          </reference>
        </references>
      </pivotArea>
    </format>
    <format dxfId="695">
      <pivotArea dataOnly="0" labelOnly="1" outline="0" fieldPosition="0">
        <references count="4">
          <reference field="0" count="1" selected="0">
            <x v="164"/>
          </reference>
          <reference field="1" count="1" selected="0">
            <x v="50"/>
          </reference>
          <reference field="2" count="1" selected="0">
            <x v="3"/>
          </reference>
          <reference field="3" count="1">
            <x v="1"/>
          </reference>
        </references>
      </pivotArea>
    </format>
    <format dxfId="694">
      <pivotArea dataOnly="0" labelOnly="1" outline="0" fieldPosition="0">
        <references count="4">
          <reference field="0" count="1" selected="0">
            <x v="165"/>
          </reference>
          <reference field="1" count="1" selected="0">
            <x v="48"/>
          </reference>
          <reference field="2" count="1" selected="0">
            <x v="5"/>
          </reference>
          <reference field="3" count="1">
            <x v="6"/>
          </reference>
        </references>
      </pivotArea>
    </format>
    <format dxfId="693">
      <pivotArea dataOnly="0" labelOnly="1" outline="0" fieldPosition="0">
        <references count="4">
          <reference field="0" count="1" selected="0">
            <x v="166"/>
          </reference>
          <reference field="1" count="1" selected="0">
            <x v="40"/>
          </reference>
          <reference field="2" count="1" selected="0">
            <x v="2"/>
          </reference>
          <reference field="3" count="1">
            <x v="0"/>
          </reference>
        </references>
      </pivotArea>
    </format>
    <format dxfId="692">
      <pivotArea dataOnly="0" labelOnly="1" outline="0" fieldPosition="0">
        <references count="4">
          <reference field="0" count="1" selected="0">
            <x v="167"/>
          </reference>
          <reference field="1" count="1" selected="0">
            <x v="58"/>
          </reference>
          <reference field="2" count="1" selected="0">
            <x v="1"/>
          </reference>
          <reference field="3" count="1">
            <x v="6"/>
          </reference>
        </references>
      </pivotArea>
    </format>
    <format dxfId="691">
      <pivotArea dataOnly="0" labelOnly="1" outline="0" fieldPosition="0">
        <references count="4">
          <reference field="0" count="1" selected="0">
            <x v="168"/>
          </reference>
          <reference field="1" count="1" selected="0">
            <x v="11"/>
          </reference>
          <reference field="2" count="1" selected="0">
            <x v="4"/>
          </reference>
          <reference field="3" count="1">
            <x v="1"/>
          </reference>
        </references>
      </pivotArea>
    </format>
    <format dxfId="690">
      <pivotArea dataOnly="0" labelOnly="1" outline="0" fieldPosition="0">
        <references count="4">
          <reference field="0" count="1" selected="0">
            <x v="169"/>
          </reference>
          <reference field="1" count="1" selected="0">
            <x v="40"/>
          </reference>
          <reference field="2" count="1" selected="0">
            <x v="2"/>
          </reference>
          <reference field="3" count="1">
            <x v="3"/>
          </reference>
        </references>
      </pivotArea>
    </format>
    <format dxfId="689">
      <pivotArea dataOnly="0" labelOnly="1" outline="0" fieldPosition="0">
        <references count="4">
          <reference field="0" count="1" selected="0">
            <x v="170"/>
          </reference>
          <reference field="1" count="1" selected="0">
            <x v="33"/>
          </reference>
          <reference field="2" count="1" selected="0">
            <x v="4"/>
          </reference>
          <reference field="3" count="1">
            <x v="6"/>
          </reference>
        </references>
      </pivotArea>
    </format>
    <format dxfId="688">
      <pivotArea dataOnly="0" labelOnly="1" outline="0" fieldPosition="0">
        <references count="4">
          <reference field="0" count="1" selected="0">
            <x v="171"/>
          </reference>
          <reference field="1" count="1" selected="0">
            <x v="7"/>
          </reference>
          <reference field="2" count="1" selected="0">
            <x v="3"/>
          </reference>
          <reference field="3" count="1">
            <x v="3"/>
          </reference>
        </references>
      </pivotArea>
    </format>
    <format dxfId="687">
      <pivotArea dataOnly="0" labelOnly="1" outline="0" fieldPosition="0">
        <references count="4">
          <reference field="0" count="1" selected="0">
            <x v="172"/>
          </reference>
          <reference field="1" count="1" selected="0">
            <x v="3"/>
          </reference>
          <reference field="2" count="1" selected="0">
            <x v="4"/>
          </reference>
          <reference field="3" count="1">
            <x v="4"/>
          </reference>
        </references>
      </pivotArea>
    </format>
    <format dxfId="686">
      <pivotArea dataOnly="0" labelOnly="1" outline="0" fieldPosition="0">
        <references count="4">
          <reference field="0" count="1" selected="0">
            <x v="173"/>
          </reference>
          <reference field="1" count="1" selected="0">
            <x v="48"/>
          </reference>
          <reference field="2" count="1" selected="0">
            <x v="5"/>
          </reference>
          <reference field="3" count="1">
            <x v="7"/>
          </reference>
        </references>
      </pivotArea>
    </format>
    <format dxfId="685">
      <pivotArea dataOnly="0" labelOnly="1" outline="0" fieldPosition="0">
        <references count="4">
          <reference field="0" count="1" selected="0">
            <x v="174"/>
          </reference>
          <reference field="1" count="1" selected="0">
            <x v="23"/>
          </reference>
          <reference field="2" count="1" selected="0">
            <x v="2"/>
          </reference>
          <reference field="3" count="1">
            <x v="3"/>
          </reference>
        </references>
      </pivotArea>
    </format>
    <format dxfId="684">
      <pivotArea dataOnly="0" labelOnly="1" outline="0" fieldPosition="0">
        <references count="4">
          <reference field="0" count="1" selected="0">
            <x v="175"/>
          </reference>
          <reference field="1" count="1" selected="0">
            <x v="2"/>
          </reference>
          <reference field="2" count="1" selected="0">
            <x v="3"/>
          </reference>
          <reference field="3" count="1">
            <x v="1"/>
          </reference>
        </references>
      </pivotArea>
    </format>
    <format dxfId="683">
      <pivotArea dataOnly="0" labelOnly="1" outline="0" fieldPosition="0">
        <references count="4">
          <reference field="0" count="1" selected="0">
            <x v="176"/>
          </reference>
          <reference field="1" count="1" selected="0">
            <x v="58"/>
          </reference>
          <reference field="2" count="1" selected="0">
            <x v="1"/>
          </reference>
          <reference field="3" count="1">
            <x v="7"/>
          </reference>
        </references>
      </pivotArea>
    </format>
    <format dxfId="682">
      <pivotArea dataOnly="0" labelOnly="1" outline="0" fieldPosition="0">
        <references count="4">
          <reference field="0" count="1" selected="0">
            <x v="177"/>
          </reference>
          <reference field="1" count="1" selected="0">
            <x v="42"/>
          </reference>
          <reference field="2" count="1" selected="0">
            <x v="2"/>
          </reference>
          <reference field="3" count="1">
            <x v="0"/>
          </reference>
        </references>
      </pivotArea>
    </format>
    <format dxfId="681">
      <pivotArea dataOnly="0" labelOnly="1" outline="0" fieldPosition="0">
        <references count="4">
          <reference field="0" count="1" selected="0">
            <x v="178"/>
          </reference>
          <reference field="1" count="1" selected="0">
            <x v="44"/>
          </reference>
          <reference field="2" count="1" selected="0">
            <x v="5"/>
          </reference>
          <reference field="3" count="1">
            <x v="7"/>
          </reference>
        </references>
      </pivotArea>
    </format>
    <format dxfId="680">
      <pivotArea dataOnly="0" labelOnly="1" outline="0" fieldPosition="0">
        <references count="4">
          <reference field="0" count="1" selected="0">
            <x v="179"/>
          </reference>
          <reference field="1" count="1" selected="0">
            <x v="8"/>
          </reference>
          <reference field="2" count="1" selected="0">
            <x v="5"/>
          </reference>
          <reference field="3" count="1">
            <x v="2"/>
          </reference>
        </references>
      </pivotArea>
    </format>
    <format dxfId="679">
      <pivotArea dataOnly="0" labelOnly="1" outline="0" fieldPosition="0">
        <references count="4">
          <reference field="0" count="1" selected="0">
            <x v="180"/>
          </reference>
          <reference field="1" count="1" selected="0">
            <x v="37"/>
          </reference>
          <reference field="2" count="1" selected="0">
            <x v="1"/>
          </reference>
          <reference field="3" count="1">
            <x v="5"/>
          </reference>
        </references>
      </pivotArea>
    </format>
    <format dxfId="678">
      <pivotArea dataOnly="0" labelOnly="1" outline="0" fieldPosition="0">
        <references count="4">
          <reference field="0" count="1" selected="0">
            <x v="181"/>
          </reference>
          <reference field="1" count="1" selected="0">
            <x v="51"/>
          </reference>
          <reference field="2" count="1" selected="0">
            <x v="0"/>
          </reference>
          <reference field="3" count="1">
            <x v="0"/>
          </reference>
        </references>
      </pivotArea>
    </format>
    <format dxfId="677">
      <pivotArea dataOnly="0" labelOnly="1" outline="0" fieldPosition="0">
        <references count="4">
          <reference field="0" count="1" selected="0">
            <x v="182"/>
          </reference>
          <reference field="1" count="1" selected="0">
            <x v="48"/>
          </reference>
          <reference field="2" count="1" selected="0">
            <x v="5"/>
          </reference>
          <reference field="3" count="1">
            <x v="3"/>
          </reference>
        </references>
      </pivotArea>
    </format>
    <format dxfId="676">
      <pivotArea dataOnly="0" labelOnly="1" outline="0" fieldPosition="0">
        <references count="4">
          <reference field="0" count="1" selected="0">
            <x v="183"/>
          </reference>
          <reference field="1" count="1" selected="0">
            <x v="41"/>
          </reference>
          <reference field="2" count="1" selected="0">
            <x v="0"/>
          </reference>
          <reference field="3" count="1">
            <x v="4"/>
          </reference>
        </references>
      </pivotArea>
    </format>
    <format dxfId="675">
      <pivotArea dataOnly="0" labelOnly="1" outline="0" fieldPosition="0">
        <references count="4">
          <reference field="0" count="1" selected="0">
            <x v="184"/>
          </reference>
          <reference field="1" count="1" selected="0">
            <x v="26"/>
          </reference>
          <reference field="2" count="1" selected="0">
            <x v="5"/>
          </reference>
          <reference field="3" count="1">
            <x v="6"/>
          </reference>
        </references>
      </pivotArea>
    </format>
    <format dxfId="674">
      <pivotArea dataOnly="0" labelOnly="1" outline="0" fieldPosition="0">
        <references count="4">
          <reference field="0" count="1" selected="0">
            <x v="186"/>
          </reference>
          <reference field="1" count="1" selected="0">
            <x v="53"/>
          </reference>
          <reference field="2" count="1" selected="0">
            <x v="1"/>
          </reference>
          <reference field="3" count="1">
            <x v="1"/>
          </reference>
        </references>
      </pivotArea>
    </format>
    <format dxfId="673">
      <pivotArea dataOnly="0" labelOnly="1" outline="0" fieldPosition="0">
        <references count="4">
          <reference field="0" count="1" selected="0">
            <x v="187"/>
          </reference>
          <reference field="1" count="1" selected="0">
            <x v="12"/>
          </reference>
          <reference field="2" count="1" selected="0">
            <x v="4"/>
          </reference>
          <reference field="3" count="1">
            <x v="4"/>
          </reference>
        </references>
      </pivotArea>
    </format>
    <format dxfId="672">
      <pivotArea dataOnly="0" labelOnly="1" outline="0" fieldPosition="0">
        <references count="4">
          <reference field="0" count="1" selected="0">
            <x v="188"/>
          </reference>
          <reference field="1" count="1" selected="0">
            <x v="28"/>
          </reference>
          <reference field="2" count="1" selected="0">
            <x v="3"/>
          </reference>
          <reference field="3" count="1">
            <x v="7"/>
          </reference>
        </references>
      </pivotArea>
    </format>
    <format dxfId="671">
      <pivotArea dataOnly="0" labelOnly="1" outline="0" fieldPosition="0">
        <references count="4">
          <reference field="0" count="1" selected="0">
            <x v="189"/>
          </reference>
          <reference field="1" count="1" selected="0">
            <x v="52"/>
          </reference>
          <reference field="2" count="1" selected="0">
            <x v="1"/>
          </reference>
          <reference field="3" count="1">
            <x v="5"/>
          </reference>
        </references>
      </pivotArea>
    </format>
    <format dxfId="670">
      <pivotArea dataOnly="0" labelOnly="1" outline="0" fieldPosition="0">
        <references count="4">
          <reference field="0" count="1" selected="0">
            <x v="190"/>
          </reference>
          <reference field="1" count="1" selected="0">
            <x v="20"/>
          </reference>
          <reference field="2" count="1" selected="0">
            <x v="4"/>
          </reference>
          <reference field="3" count="1">
            <x v="2"/>
          </reference>
        </references>
      </pivotArea>
    </format>
    <format dxfId="669">
      <pivotArea dataOnly="0" labelOnly="1" outline="0" fieldPosition="0">
        <references count="4">
          <reference field="0" count="1" selected="0">
            <x v="192"/>
          </reference>
          <reference field="1" count="1" selected="0">
            <x v="46"/>
          </reference>
          <reference field="2" count="1" selected="0">
            <x v="3"/>
          </reference>
          <reference field="3" count="1">
            <x v="3"/>
          </reference>
        </references>
      </pivotArea>
    </format>
    <format dxfId="668">
      <pivotArea dataOnly="0" labelOnly="1" outline="0" fieldPosition="0">
        <references count="4">
          <reference field="0" count="1" selected="0">
            <x v="193"/>
          </reference>
          <reference field="1" count="1" selected="0">
            <x v="24"/>
          </reference>
          <reference field="2" count="1" selected="0">
            <x v="0"/>
          </reference>
          <reference field="3" count="1">
            <x v="7"/>
          </reference>
        </references>
      </pivotArea>
    </format>
    <format dxfId="667">
      <pivotArea dataOnly="0" labelOnly="1" outline="0" fieldPosition="0">
        <references count="4">
          <reference field="0" count="1" selected="0">
            <x v="194"/>
          </reference>
          <reference field="1" count="1" selected="0">
            <x v="4"/>
          </reference>
          <reference field="2" count="1" selected="0">
            <x v="0"/>
          </reference>
          <reference field="3" count="1">
            <x v="6"/>
          </reference>
        </references>
      </pivotArea>
    </format>
    <format dxfId="666">
      <pivotArea dataOnly="0" labelOnly="1" outline="0" fieldPosition="0">
        <references count="4">
          <reference field="0" count="1" selected="0">
            <x v="195"/>
          </reference>
          <reference field="1" count="1" selected="0">
            <x v="24"/>
          </reference>
          <reference field="2" count="1" selected="0">
            <x v="0"/>
          </reference>
          <reference field="3" count="1">
            <x v="3"/>
          </reference>
        </references>
      </pivotArea>
    </format>
    <format dxfId="665">
      <pivotArea dataOnly="0" labelOnly="1" outline="0" fieldPosition="0">
        <references count="4">
          <reference field="0" count="1" selected="0">
            <x v="198"/>
          </reference>
          <reference field="1" count="1" selected="0">
            <x v="17"/>
          </reference>
          <reference field="2" count="1" selected="0">
            <x v="4"/>
          </reference>
          <reference field="3" count="1">
            <x v="1"/>
          </reference>
        </references>
      </pivotArea>
    </format>
    <format dxfId="664">
      <pivotArea dataOnly="0" labelOnly="1" outline="0" fieldPosition="0">
        <references count="4">
          <reference field="0" count="1" selected="0">
            <x v="199"/>
          </reference>
          <reference field="1" count="1" selected="0">
            <x v="30"/>
          </reference>
          <reference field="2" count="1" selected="0">
            <x v="1"/>
          </reference>
          <reference field="3" count="1">
            <x v="5"/>
          </reference>
        </references>
      </pivotArea>
    </format>
    <format dxfId="663">
      <pivotArea dataOnly="0" labelOnly="1" outline="0" fieldPosition="0">
        <references count="4">
          <reference field="0" count="1" selected="0">
            <x v="200"/>
          </reference>
          <reference field="1" count="1" selected="0">
            <x v="52"/>
          </reference>
          <reference field="2" count="1" selected="0">
            <x v="1"/>
          </reference>
          <reference field="3" count="1">
            <x v="1"/>
          </reference>
        </references>
      </pivotArea>
    </format>
    <format dxfId="662">
      <pivotArea dataOnly="0" labelOnly="1" outline="0" fieldPosition="0">
        <references count="4">
          <reference field="0" count="1" selected="0">
            <x v="202"/>
          </reference>
          <reference field="1" count="1" selected="0">
            <x v="3"/>
          </reference>
          <reference field="2" count="1" selected="0">
            <x v="4"/>
          </reference>
          <reference field="3" count="1">
            <x v="0"/>
          </reference>
        </references>
      </pivotArea>
    </format>
    <format dxfId="661">
      <pivotArea dataOnly="0" labelOnly="1" outline="0" fieldPosition="0">
        <references count="4">
          <reference field="0" count="1" selected="0">
            <x v="203"/>
          </reference>
          <reference field="1" count="1" selected="0">
            <x v="11"/>
          </reference>
          <reference field="2" count="1" selected="0">
            <x v="4"/>
          </reference>
          <reference field="3" count="1">
            <x v="2"/>
          </reference>
        </references>
      </pivotArea>
    </format>
    <format dxfId="660">
      <pivotArea dataOnly="0" labelOnly="1" outline="0" fieldPosition="0">
        <references count="4">
          <reference field="0" count="1" selected="0">
            <x v="207"/>
          </reference>
          <reference field="1" count="1" selected="0">
            <x v="47"/>
          </reference>
          <reference field="2" count="1" selected="0">
            <x v="0"/>
          </reference>
          <reference field="3" count="1">
            <x v="4"/>
          </reference>
        </references>
      </pivotArea>
    </format>
    <format dxfId="659">
      <pivotArea dataOnly="0" labelOnly="1" outline="0" fieldPosition="0">
        <references count="4">
          <reference field="0" count="1" selected="0">
            <x v="208"/>
          </reference>
          <reference field="1" count="1" selected="0">
            <x v="16"/>
          </reference>
          <reference field="2" count="1" selected="0">
            <x v="5"/>
          </reference>
          <reference field="3" count="1">
            <x v="0"/>
          </reference>
        </references>
      </pivotArea>
    </format>
    <format dxfId="658">
      <pivotArea dataOnly="0" labelOnly="1" outline="0" fieldPosition="0">
        <references count="4">
          <reference field="0" count="1" selected="0">
            <x v="209"/>
          </reference>
          <reference field="1" count="1" selected="0">
            <x v="39"/>
          </reference>
          <reference field="2" count="1" selected="0">
            <x v="2"/>
          </reference>
          <reference field="3" count="1">
            <x v="1"/>
          </reference>
        </references>
      </pivotArea>
    </format>
    <format dxfId="657">
      <pivotArea dataOnly="0" labelOnly="1" outline="0" fieldPosition="0">
        <references count="4">
          <reference field="0" count="1" selected="0">
            <x v="210"/>
          </reference>
          <reference field="1" count="1" selected="0">
            <x v="1"/>
          </reference>
          <reference field="2" count="1" selected="0">
            <x v="5"/>
          </reference>
          <reference field="3" count="1">
            <x v="2"/>
          </reference>
        </references>
      </pivotArea>
    </format>
    <format dxfId="656">
      <pivotArea dataOnly="0" labelOnly="1" outline="0" fieldPosition="0">
        <references count="4">
          <reference field="0" count="1" selected="0">
            <x v="213"/>
          </reference>
          <reference field="1" count="1" selected="0">
            <x v="19"/>
          </reference>
          <reference field="2" count="1" selected="0">
            <x v="5"/>
          </reference>
          <reference field="3" count="1">
            <x v="3"/>
          </reference>
        </references>
      </pivotArea>
    </format>
    <format dxfId="655">
      <pivotArea dataOnly="0" labelOnly="1" outline="0" fieldPosition="0">
        <references count="4">
          <reference field="0" count="1" selected="0">
            <x v="214"/>
          </reference>
          <reference field="1" count="1" selected="0">
            <x v="38"/>
          </reference>
          <reference field="2" count="1" selected="0">
            <x v="5"/>
          </reference>
          <reference field="3" count="1">
            <x v="1"/>
          </reference>
        </references>
      </pivotArea>
    </format>
    <format dxfId="654">
      <pivotArea dataOnly="0" labelOnly="1" outline="0" fieldPosition="0">
        <references count="4">
          <reference field="0" count="1" selected="0">
            <x v="215"/>
          </reference>
          <reference field="1" count="1" selected="0">
            <x v="26"/>
          </reference>
          <reference field="2" count="1" selected="0">
            <x v="5"/>
          </reference>
          <reference field="3" count="1">
            <x v="2"/>
          </reference>
        </references>
      </pivotArea>
    </format>
    <format dxfId="653">
      <pivotArea dataOnly="0" labelOnly="1" outline="0" fieldPosition="0">
        <references count="4">
          <reference field="0" count="1" selected="0">
            <x v="216"/>
          </reference>
          <reference field="1" count="1" selected="0">
            <x v="57"/>
          </reference>
          <reference field="2" count="1" selected="0">
            <x v="0"/>
          </reference>
          <reference field="3" count="1">
            <x v="4"/>
          </reference>
        </references>
      </pivotArea>
    </format>
    <format dxfId="652">
      <pivotArea dataOnly="0" labelOnly="1" outline="0" fieldPosition="0">
        <references count="4">
          <reference field="0" count="1" selected="0">
            <x v="217"/>
          </reference>
          <reference field="1" count="1" selected="0">
            <x v="59"/>
          </reference>
          <reference field="2" count="1" selected="0">
            <x v="2"/>
          </reference>
          <reference field="3" count="1">
            <x v="5"/>
          </reference>
        </references>
      </pivotArea>
    </format>
    <format dxfId="651">
      <pivotArea dataOnly="0" labelOnly="1" outline="0" fieldPosition="0">
        <references count="4">
          <reference field="0" count="1" selected="0">
            <x v="218"/>
          </reference>
          <reference field="1" count="1" selected="0">
            <x v="18"/>
          </reference>
          <reference field="2" count="1" selected="0">
            <x v="2"/>
          </reference>
          <reference field="3" count="1">
            <x v="3"/>
          </reference>
        </references>
      </pivotArea>
    </format>
    <format dxfId="650">
      <pivotArea dataOnly="0" labelOnly="1" outline="0" fieldPosition="0">
        <references count="4">
          <reference field="0" count="1" selected="0">
            <x v="219"/>
          </reference>
          <reference field="1" count="1" selected="0">
            <x v="39"/>
          </reference>
          <reference field="2" count="1" selected="0">
            <x v="2"/>
          </reference>
          <reference field="3" count="1">
            <x v="7"/>
          </reference>
        </references>
      </pivotArea>
    </format>
    <format dxfId="649">
      <pivotArea dataOnly="0" labelOnly="1" outline="0" fieldPosition="0">
        <references count="4">
          <reference field="0" count="1" selected="0">
            <x v="220"/>
          </reference>
          <reference field="1" count="1" selected="0">
            <x v="53"/>
          </reference>
          <reference field="2" count="1" selected="0">
            <x v="1"/>
          </reference>
          <reference field="3" count="1">
            <x v="0"/>
          </reference>
        </references>
      </pivotArea>
    </format>
    <format dxfId="648">
      <pivotArea dataOnly="0" labelOnly="1" outline="0" fieldPosition="0">
        <references count="4">
          <reference field="0" count="1" selected="0">
            <x v="221"/>
          </reference>
          <reference field="1" count="1" selected="0">
            <x v="12"/>
          </reference>
          <reference field="2" count="1" selected="0">
            <x v="4"/>
          </reference>
          <reference field="3" count="1">
            <x v="2"/>
          </reference>
        </references>
      </pivotArea>
    </format>
    <format dxfId="647">
      <pivotArea dataOnly="0" labelOnly="1" outline="0" fieldPosition="0">
        <references count="4">
          <reference field="0" count="1" selected="0">
            <x v="222"/>
          </reference>
          <reference field="1" count="1" selected="0">
            <x v="36"/>
          </reference>
          <reference field="2" count="1" selected="0">
            <x v="1"/>
          </reference>
          <reference field="3" count="1">
            <x v="1"/>
          </reference>
        </references>
      </pivotArea>
    </format>
    <format dxfId="646">
      <pivotArea dataOnly="0" labelOnly="1" outline="0" fieldPosition="0">
        <references count="4">
          <reference field="0" count="1" selected="0">
            <x v="223"/>
          </reference>
          <reference field="1" count="1" selected="0">
            <x v="15"/>
          </reference>
          <reference field="2" count="1" selected="0">
            <x v="2"/>
          </reference>
          <reference field="3" count="1">
            <x v="7"/>
          </reference>
        </references>
      </pivotArea>
    </format>
    <format dxfId="645">
      <pivotArea dataOnly="0" labelOnly="1" outline="0" fieldPosition="0">
        <references count="4">
          <reference field="0" count="1" selected="0">
            <x v="224"/>
          </reference>
          <reference field="1" count="1" selected="0">
            <x v="59"/>
          </reference>
          <reference field="2" count="1" selected="0">
            <x v="2"/>
          </reference>
          <reference field="3" count="1">
            <x v="0"/>
          </reference>
        </references>
      </pivotArea>
    </format>
    <format dxfId="644">
      <pivotArea dataOnly="0" labelOnly="1" outline="0" fieldPosition="0">
        <references count="4">
          <reference field="0" count="1" selected="0">
            <x v="225"/>
          </reference>
          <reference field="1" count="1" selected="0">
            <x v="26"/>
          </reference>
          <reference field="2" count="1" selected="0">
            <x v="5"/>
          </reference>
          <reference field="3" count="1">
            <x v="2"/>
          </reference>
        </references>
      </pivotArea>
    </format>
    <format dxfId="643">
      <pivotArea dataOnly="0" labelOnly="1" outline="0" fieldPosition="0">
        <references count="4">
          <reference field="0" count="1" selected="0">
            <x v="226"/>
          </reference>
          <reference field="1" count="1" selected="0">
            <x v="42"/>
          </reference>
          <reference field="2" count="1" selected="0">
            <x v="2"/>
          </reference>
          <reference field="3" count="1">
            <x v="7"/>
          </reference>
        </references>
      </pivotArea>
    </format>
    <format dxfId="642">
      <pivotArea dataOnly="0" labelOnly="1" outline="0" fieldPosition="0">
        <references count="4">
          <reference field="0" count="1" selected="0">
            <x v="227"/>
          </reference>
          <reference field="1" count="1" selected="0">
            <x v="52"/>
          </reference>
          <reference field="2" count="1" selected="0">
            <x v="1"/>
          </reference>
          <reference field="3" count="1">
            <x v="4"/>
          </reference>
        </references>
      </pivotArea>
    </format>
    <format dxfId="641">
      <pivotArea dataOnly="0" labelOnly="1" outline="0" fieldPosition="0">
        <references count="4">
          <reference field="0" count="1" selected="0">
            <x v="228"/>
          </reference>
          <reference field="1" count="1" selected="0">
            <x v="54"/>
          </reference>
          <reference field="2" count="1" selected="0">
            <x v="2"/>
          </reference>
          <reference field="3" count="1">
            <x v="2"/>
          </reference>
        </references>
      </pivotArea>
    </format>
    <format dxfId="640">
      <pivotArea dataOnly="0" labelOnly="1" outline="0" fieldPosition="0">
        <references count="4">
          <reference field="0" count="1" selected="0">
            <x v="229"/>
          </reference>
          <reference field="1" count="1" selected="0">
            <x v="53"/>
          </reference>
          <reference field="2" count="1" selected="0">
            <x v="1"/>
          </reference>
          <reference field="3" count="1">
            <x v="7"/>
          </reference>
        </references>
      </pivotArea>
    </format>
    <format dxfId="639">
      <pivotArea dataOnly="0" labelOnly="1" outline="0" fieldPosition="0">
        <references count="4">
          <reference field="0" count="1" selected="0">
            <x v="230"/>
          </reference>
          <reference field="1" count="1" selected="0">
            <x v="21"/>
          </reference>
          <reference field="2" count="1" selected="0">
            <x v="2"/>
          </reference>
          <reference field="3" count="1">
            <x v="1"/>
          </reference>
        </references>
      </pivotArea>
    </format>
    <format dxfId="638">
      <pivotArea dataOnly="0" labelOnly="1" outline="0" fieldPosition="0">
        <references count="4">
          <reference field="0" count="1" selected="0">
            <x v="232"/>
          </reference>
          <reference field="1" count="1" selected="0">
            <x v="47"/>
          </reference>
          <reference field="2" count="1" selected="0">
            <x v="0"/>
          </reference>
          <reference field="3" count="1">
            <x v="0"/>
          </reference>
        </references>
      </pivotArea>
    </format>
    <format dxfId="637">
      <pivotArea dataOnly="0" labelOnly="1" outline="0" fieldPosition="0">
        <references count="4">
          <reference field="0" count="1" selected="0">
            <x v="233"/>
          </reference>
          <reference field="1" count="1" selected="0">
            <x v="33"/>
          </reference>
          <reference field="2" count="1" selected="0">
            <x v="4"/>
          </reference>
          <reference field="3" count="1">
            <x v="3"/>
          </reference>
        </references>
      </pivotArea>
    </format>
    <format dxfId="636">
      <pivotArea dataOnly="0" labelOnly="1" outline="0" fieldPosition="0">
        <references count="4">
          <reference field="0" count="1" selected="0">
            <x v="234"/>
          </reference>
          <reference field="1" count="1" selected="0">
            <x v="34"/>
          </reference>
          <reference field="2" count="1" selected="0">
            <x v="5"/>
          </reference>
          <reference field="3" count="1">
            <x v="1"/>
          </reference>
        </references>
      </pivotArea>
    </format>
    <format dxfId="635">
      <pivotArea dataOnly="0" labelOnly="1" outline="0" fieldPosition="0">
        <references count="4">
          <reference field="0" count="1" selected="0">
            <x v="235"/>
          </reference>
          <reference field="1" count="1" selected="0">
            <x v="38"/>
          </reference>
          <reference field="2" count="1" selected="0">
            <x v="5"/>
          </reference>
          <reference field="3" count="1">
            <x v="2"/>
          </reference>
        </references>
      </pivotArea>
    </format>
    <format dxfId="634">
      <pivotArea dataOnly="0" labelOnly="1" outline="0" fieldPosition="0">
        <references count="4">
          <reference field="0" count="1" selected="0">
            <x v="236"/>
          </reference>
          <reference field="1" count="1" selected="0">
            <x v="7"/>
          </reference>
          <reference field="2" count="1" selected="0">
            <x v="3"/>
          </reference>
          <reference field="3" count="1">
            <x v="1"/>
          </reference>
        </references>
      </pivotArea>
    </format>
    <format dxfId="633">
      <pivotArea dataOnly="0" labelOnly="1" outline="0" fieldPosition="0">
        <references count="4">
          <reference field="0" count="1" selected="0">
            <x v="237"/>
          </reference>
          <reference field="1" count="1" selected="0">
            <x v="55"/>
          </reference>
          <reference field="2" count="1" selected="0">
            <x v="1"/>
          </reference>
          <reference field="3" count="1">
            <x v="2"/>
          </reference>
        </references>
      </pivotArea>
    </format>
    <format dxfId="632">
      <pivotArea dataOnly="0" labelOnly="1" outline="0" fieldPosition="0">
        <references count="4">
          <reference field="0" count="1" selected="0">
            <x v="239"/>
          </reference>
          <reference field="1" count="1" selected="0">
            <x v="3"/>
          </reference>
          <reference field="2" count="1" selected="0">
            <x v="4"/>
          </reference>
          <reference field="3" count="1">
            <x v="1"/>
          </reference>
        </references>
      </pivotArea>
    </format>
    <format dxfId="631">
      <pivotArea dataOnly="0" labelOnly="1" outline="0" fieldPosition="0">
        <references count="4">
          <reference field="0" count="1" selected="0">
            <x v="240"/>
          </reference>
          <reference field="1" count="1" selected="0">
            <x v="27"/>
          </reference>
          <reference field="2" count="1" selected="0">
            <x v="0"/>
          </reference>
          <reference field="3" count="1">
            <x v="0"/>
          </reference>
        </references>
      </pivotArea>
    </format>
    <format dxfId="630">
      <pivotArea dataOnly="0" labelOnly="1" outline="0" fieldPosition="0">
        <references count="4">
          <reference field="0" count="1" selected="0">
            <x v="241"/>
          </reference>
          <reference field="1" count="1" selected="0">
            <x v="58"/>
          </reference>
          <reference field="2" count="1" selected="0">
            <x v="1"/>
          </reference>
          <reference field="3" count="1">
            <x v="5"/>
          </reference>
        </references>
      </pivotArea>
    </format>
    <format dxfId="629">
      <pivotArea dataOnly="0" labelOnly="1" outline="0" fieldPosition="0">
        <references count="4">
          <reference field="0" count="1" selected="0">
            <x v="242"/>
          </reference>
          <reference field="1" count="1" selected="0">
            <x v="12"/>
          </reference>
          <reference field="2" count="1" selected="0">
            <x v="4"/>
          </reference>
          <reference field="3" count="1">
            <x v="0"/>
          </reference>
        </references>
      </pivotArea>
    </format>
    <format dxfId="628">
      <pivotArea dataOnly="0" labelOnly="1" outline="0" fieldPosition="0">
        <references count="4">
          <reference field="0" count="1" selected="0">
            <x v="243"/>
          </reference>
          <reference field="1" count="1" selected="0">
            <x v="19"/>
          </reference>
          <reference field="2" count="1" selected="0">
            <x v="5"/>
          </reference>
          <reference field="3" count="1">
            <x v="3"/>
          </reference>
        </references>
      </pivotArea>
    </format>
    <format dxfId="627">
      <pivotArea dataOnly="0" labelOnly="1" outline="0" fieldPosition="0">
        <references count="4">
          <reference field="0" count="1" selected="0">
            <x v="244"/>
          </reference>
          <reference field="1" count="1" selected="0">
            <x v="34"/>
          </reference>
          <reference field="2" count="1" selected="0">
            <x v="5"/>
          </reference>
          <reference field="3" count="1">
            <x v="5"/>
          </reference>
        </references>
      </pivotArea>
    </format>
    <format dxfId="626">
      <pivotArea dataOnly="0" labelOnly="1" outline="0" fieldPosition="0">
        <references count="4">
          <reference field="0" count="1" selected="0">
            <x v="245"/>
          </reference>
          <reference field="1" count="1" selected="0">
            <x v="40"/>
          </reference>
          <reference field="2" count="1" selected="0">
            <x v="2"/>
          </reference>
          <reference field="3" count="1">
            <x v="3"/>
          </reference>
        </references>
      </pivotArea>
    </format>
    <format dxfId="625">
      <pivotArea dataOnly="0" labelOnly="1" outline="0" fieldPosition="0">
        <references count="4">
          <reference field="0" count="1" selected="0">
            <x v="246"/>
          </reference>
          <reference field="1" count="1" selected="0">
            <x v="37"/>
          </reference>
          <reference field="2" count="1" selected="0">
            <x v="1"/>
          </reference>
          <reference field="3" count="1">
            <x v="2"/>
          </reference>
        </references>
      </pivotArea>
    </format>
    <format dxfId="624">
      <pivotArea dataOnly="0" labelOnly="1" outline="0" fieldPosition="0">
        <references count="4">
          <reference field="0" count="1" selected="0">
            <x v="247"/>
          </reference>
          <reference field="1" count="1" selected="0">
            <x v="40"/>
          </reference>
          <reference field="2" count="1" selected="0">
            <x v="2"/>
          </reference>
          <reference field="3" count="1">
            <x v="3"/>
          </reference>
        </references>
      </pivotArea>
    </format>
    <format dxfId="623">
      <pivotArea dataOnly="0" labelOnly="1" outline="0" fieldPosition="0">
        <references count="4">
          <reference field="0" count="1" selected="0">
            <x v="248"/>
          </reference>
          <reference field="1" count="1" selected="0">
            <x v="39"/>
          </reference>
          <reference field="2" count="1" selected="0">
            <x v="2"/>
          </reference>
          <reference field="3" count="1">
            <x v="5"/>
          </reference>
        </references>
      </pivotArea>
    </format>
    <format dxfId="622">
      <pivotArea dataOnly="0" labelOnly="1" outline="0" fieldPosition="0">
        <references count="4">
          <reference field="0" count="1" selected="0">
            <x v="249"/>
          </reference>
          <reference field="1" count="1" selected="0">
            <x v="43"/>
          </reference>
          <reference field="2" count="1" selected="0">
            <x v="0"/>
          </reference>
          <reference field="3" count="1">
            <x v="3"/>
          </reference>
        </references>
      </pivotArea>
    </format>
    <format dxfId="621">
      <pivotArea dataOnly="0" labelOnly="1" outline="0" fieldPosition="0">
        <references count="4">
          <reference field="0" count="1" selected="0">
            <x v="250"/>
          </reference>
          <reference field="1" count="1" selected="0">
            <x v="39"/>
          </reference>
          <reference field="2" count="1" selected="0">
            <x v="2"/>
          </reference>
          <reference field="3" count="1">
            <x v="1"/>
          </reference>
        </references>
      </pivotArea>
    </format>
    <format dxfId="620">
      <pivotArea dataOnly="0" labelOnly="1" outline="0" fieldPosition="0">
        <references count="4">
          <reference field="0" count="1" selected="0">
            <x v="251"/>
          </reference>
          <reference field="1" count="1" selected="0">
            <x v="35"/>
          </reference>
          <reference field="2" count="1" selected="0">
            <x v="4"/>
          </reference>
          <reference field="3" count="1">
            <x v="7"/>
          </reference>
        </references>
      </pivotArea>
    </format>
    <format dxfId="619">
      <pivotArea dataOnly="0" labelOnly="1" outline="0" fieldPosition="0">
        <references count="4">
          <reference field="0" count="1" selected="0">
            <x v="252"/>
          </reference>
          <reference field="1" count="1" selected="0">
            <x v="12"/>
          </reference>
          <reference field="2" count="1" selected="0">
            <x v="4"/>
          </reference>
          <reference field="3" count="1">
            <x v="1"/>
          </reference>
        </references>
      </pivotArea>
    </format>
    <format dxfId="618">
      <pivotArea dataOnly="0" labelOnly="1" outline="0" fieldPosition="0">
        <references count="4">
          <reference field="0" count="1" selected="0">
            <x v="253"/>
          </reference>
          <reference field="1" count="1" selected="0">
            <x v="28"/>
          </reference>
          <reference field="2" count="1" selected="0">
            <x v="3"/>
          </reference>
          <reference field="3" count="1">
            <x v="6"/>
          </reference>
        </references>
      </pivotArea>
    </format>
    <format dxfId="617">
      <pivotArea dataOnly="0" labelOnly="1" outline="0" fieldPosition="0">
        <references count="4">
          <reference field="0" count="1" selected="0">
            <x v="254"/>
          </reference>
          <reference field="1" count="1" selected="0">
            <x v="48"/>
          </reference>
          <reference field="2" count="1" selected="0">
            <x v="5"/>
          </reference>
          <reference field="3" count="1">
            <x v="7"/>
          </reference>
        </references>
      </pivotArea>
    </format>
    <format dxfId="616">
      <pivotArea dataOnly="0" labelOnly="1" outline="0" fieldPosition="0">
        <references count="4">
          <reference field="0" count="1" selected="0">
            <x v="255"/>
          </reference>
          <reference field="1" count="1" selected="0">
            <x v="20"/>
          </reference>
          <reference field="2" count="1" selected="0">
            <x v="4"/>
          </reference>
          <reference field="3" count="1">
            <x v="3"/>
          </reference>
        </references>
      </pivotArea>
    </format>
    <format dxfId="615">
      <pivotArea dataOnly="0" labelOnly="1" outline="0" fieldPosition="0">
        <references count="4">
          <reference field="0" count="1" selected="0">
            <x v="256"/>
          </reference>
          <reference field="1" count="1" selected="0">
            <x v="24"/>
          </reference>
          <reference field="2" count="1" selected="0">
            <x v="0"/>
          </reference>
          <reference field="3" count="1">
            <x v="1"/>
          </reference>
        </references>
      </pivotArea>
    </format>
    <format dxfId="614">
      <pivotArea dataOnly="0" labelOnly="1" outline="0" fieldPosition="0">
        <references count="4">
          <reference field="0" count="1" selected="0">
            <x v="257"/>
          </reference>
          <reference field="1" count="1" selected="0">
            <x v="8"/>
          </reference>
          <reference field="2" count="1" selected="0">
            <x v="5"/>
          </reference>
          <reference field="3" count="1">
            <x v="0"/>
          </reference>
        </references>
      </pivotArea>
    </format>
    <format dxfId="613">
      <pivotArea dataOnly="0" labelOnly="1" outline="0" fieldPosition="0">
        <references count="4">
          <reference field="0" count="1" selected="0">
            <x v="259"/>
          </reference>
          <reference field="1" count="1" selected="0">
            <x v="54"/>
          </reference>
          <reference field="2" count="1" selected="0">
            <x v="2"/>
          </reference>
          <reference field="3" count="1">
            <x v="1"/>
          </reference>
        </references>
      </pivotArea>
    </format>
    <format dxfId="612">
      <pivotArea dataOnly="0" labelOnly="1" outline="0" fieldPosition="0">
        <references count="4">
          <reference field="0" count="1" selected="0">
            <x v="260"/>
          </reference>
          <reference field="1" count="1" selected="0">
            <x v="8"/>
          </reference>
          <reference field="2" count="1" selected="0">
            <x v="5"/>
          </reference>
          <reference field="3" count="1">
            <x v="7"/>
          </reference>
        </references>
      </pivotArea>
    </format>
    <format dxfId="611">
      <pivotArea dataOnly="0" labelOnly="1" outline="0" fieldPosition="0">
        <references count="4">
          <reference field="0" count="1" selected="0">
            <x v="261"/>
          </reference>
          <reference field="1" count="1" selected="0">
            <x v="11"/>
          </reference>
          <reference field="2" count="1" selected="0">
            <x v="4"/>
          </reference>
          <reference field="3" count="1">
            <x v="4"/>
          </reference>
        </references>
      </pivotArea>
    </format>
    <format dxfId="610">
      <pivotArea dataOnly="0" labelOnly="1" outline="0" fieldPosition="0">
        <references count="4">
          <reference field="0" count="1" selected="0">
            <x v="262"/>
          </reference>
          <reference field="1" count="1" selected="0">
            <x v="51"/>
          </reference>
          <reference field="2" count="1" selected="0">
            <x v="0"/>
          </reference>
          <reference field="3" count="1">
            <x v="7"/>
          </reference>
        </references>
      </pivotArea>
    </format>
    <format dxfId="609">
      <pivotArea dataOnly="0" labelOnly="1" outline="0" fieldPosition="0">
        <references count="4">
          <reference field="0" count="1" selected="0">
            <x v="263"/>
          </reference>
          <reference field="1" count="1" selected="0">
            <x v="50"/>
          </reference>
          <reference field="2" count="1" selected="0">
            <x v="3"/>
          </reference>
          <reference field="3" count="1">
            <x v="6"/>
          </reference>
        </references>
      </pivotArea>
    </format>
    <format dxfId="608">
      <pivotArea dataOnly="0" labelOnly="1" outline="0" fieldPosition="0">
        <references count="4">
          <reference field="0" count="1" selected="0">
            <x v="265"/>
          </reference>
          <reference field="1" count="1" selected="0">
            <x v="18"/>
          </reference>
          <reference field="2" count="1" selected="0">
            <x v="2"/>
          </reference>
          <reference field="3" count="1">
            <x v="7"/>
          </reference>
        </references>
      </pivotArea>
    </format>
    <format dxfId="607">
      <pivotArea dataOnly="0" labelOnly="1" outline="0" fieldPosition="0">
        <references count="4">
          <reference field="0" count="1" selected="0">
            <x v="266"/>
          </reference>
          <reference field="1" count="1" selected="0">
            <x v="49"/>
          </reference>
          <reference field="2" count="1" selected="0">
            <x v="3"/>
          </reference>
          <reference field="3" count="1">
            <x v="5"/>
          </reference>
        </references>
      </pivotArea>
    </format>
    <format dxfId="606">
      <pivotArea dataOnly="0" labelOnly="1" outline="0" fieldPosition="0">
        <references count="4">
          <reference field="0" count="1" selected="0">
            <x v="267"/>
          </reference>
          <reference field="1" count="1" selected="0">
            <x v="32"/>
          </reference>
          <reference field="2" count="1" selected="0">
            <x v="1"/>
          </reference>
          <reference field="3" count="1">
            <x v="7"/>
          </reference>
        </references>
      </pivotArea>
    </format>
    <format dxfId="605">
      <pivotArea dataOnly="0" labelOnly="1" outline="0" fieldPosition="0">
        <references count="4">
          <reference field="0" count="1" selected="0">
            <x v="268"/>
          </reference>
          <reference field="1" count="1" selected="0">
            <x v="18"/>
          </reference>
          <reference field="2" count="1" selected="0">
            <x v="2"/>
          </reference>
          <reference field="3" count="1">
            <x v="2"/>
          </reference>
        </references>
      </pivotArea>
    </format>
    <format dxfId="604">
      <pivotArea dataOnly="0" labelOnly="1" outline="0" fieldPosition="0">
        <references count="4">
          <reference field="0" count="1" selected="0">
            <x v="271"/>
          </reference>
          <reference field="1" count="1" selected="0">
            <x v="30"/>
          </reference>
          <reference field="2" count="1" selected="0">
            <x v="1"/>
          </reference>
          <reference field="3" count="1">
            <x v="4"/>
          </reference>
        </references>
      </pivotArea>
    </format>
    <format dxfId="603">
      <pivotArea dataOnly="0" labelOnly="1" outline="0" fieldPosition="0">
        <references count="4">
          <reference field="0" count="1" selected="0">
            <x v="273"/>
          </reference>
          <reference field="1" count="1" selected="0">
            <x v="54"/>
          </reference>
          <reference field="2" count="1" selected="0">
            <x v="2"/>
          </reference>
          <reference field="3" count="1">
            <x v="1"/>
          </reference>
        </references>
      </pivotArea>
    </format>
    <format dxfId="602">
      <pivotArea dataOnly="0" labelOnly="1" outline="0" fieldPosition="0">
        <references count="4">
          <reference field="0" count="1" selected="0">
            <x v="274"/>
          </reference>
          <reference field="1" count="1" selected="0">
            <x v="32"/>
          </reference>
          <reference field="2" count="1" selected="0">
            <x v="1"/>
          </reference>
          <reference field="3" count="1">
            <x v="2"/>
          </reference>
        </references>
      </pivotArea>
    </format>
    <format dxfId="601">
      <pivotArea dataOnly="0" labelOnly="1" outline="0" fieldPosition="0">
        <references count="4">
          <reference field="0" count="1" selected="0">
            <x v="276"/>
          </reference>
          <reference field="1" count="1" selected="0">
            <x v="58"/>
          </reference>
          <reference field="2" count="1" selected="0">
            <x v="1"/>
          </reference>
          <reference field="3" count="1">
            <x v="0"/>
          </reference>
        </references>
      </pivotArea>
    </format>
    <format dxfId="600">
      <pivotArea dataOnly="0" labelOnly="1" outline="0" fieldPosition="0">
        <references count="4">
          <reference field="0" count="1" selected="0">
            <x v="277"/>
          </reference>
          <reference field="1" count="1" selected="0">
            <x v="9"/>
          </reference>
          <reference field="2" count="1" selected="0">
            <x v="3"/>
          </reference>
          <reference field="3" count="1">
            <x v="5"/>
          </reference>
        </references>
      </pivotArea>
    </format>
    <format dxfId="599">
      <pivotArea dataOnly="0" labelOnly="1" outline="0" fieldPosition="0">
        <references count="4">
          <reference field="0" count="1" selected="0">
            <x v="278"/>
          </reference>
          <reference field="1" count="1" selected="0">
            <x v="12"/>
          </reference>
          <reference field="2" count="1" selected="0">
            <x v="4"/>
          </reference>
          <reference field="3" count="1">
            <x v="3"/>
          </reference>
        </references>
      </pivotArea>
    </format>
    <format dxfId="598">
      <pivotArea dataOnly="0" labelOnly="1" outline="0" fieldPosition="0">
        <references count="4">
          <reference field="0" count="1" selected="0">
            <x v="279"/>
          </reference>
          <reference field="1" count="1" selected="0">
            <x v="28"/>
          </reference>
          <reference field="2" count="1" selected="0">
            <x v="3"/>
          </reference>
          <reference field="3" count="1">
            <x v="7"/>
          </reference>
        </references>
      </pivotArea>
    </format>
    <format dxfId="597">
      <pivotArea dataOnly="0" labelOnly="1" outline="0" fieldPosition="0">
        <references count="4">
          <reference field="0" count="1" selected="0">
            <x v="280"/>
          </reference>
          <reference field="1" count="1" selected="0">
            <x v="39"/>
          </reference>
          <reference field="2" count="1" selected="0">
            <x v="2"/>
          </reference>
          <reference field="3" count="1">
            <x v="2"/>
          </reference>
        </references>
      </pivotArea>
    </format>
    <format dxfId="596">
      <pivotArea dataOnly="0" labelOnly="1" outline="0" fieldPosition="0">
        <references count="4">
          <reference field="0" count="1" selected="0">
            <x v="281"/>
          </reference>
          <reference field="1" count="1" selected="0">
            <x v="51"/>
          </reference>
          <reference field="2" count="1" selected="0">
            <x v="0"/>
          </reference>
          <reference field="3" count="1">
            <x v="0"/>
          </reference>
        </references>
      </pivotArea>
    </format>
    <format dxfId="595">
      <pivotArea dataOnly="0" labelOnly="1" outline="0" fieldPosition="0">
        <references count="4">
          <reference field="0" count="1" selected="0">
            <x v="282"/>
          </reference>
          <reference field="1" count="1" selected="0">
            <x v="1"/>
          </reference>
          <reference field="2" count="1" selected="0">
            <x v="5"/>
          </reference>
          <reference field="3" count="1">
            <x v="4"/>
          </reference>
        </references>
      </pivotArea>
    </format>
    <format dxfId="594">
      <pivotArea dataOnly="0" labelOnly="1" outline="0" fieldPosition="0">
        <references count="4">
          <reference field="0" count="1" selected="0">
            <x v="283"/>
          </reference>
          <reference field="1" count="1" selected="0">
            <x v="18"/>
          </reference>
          <reference field="2" count="1" selected="0">
            <x v="2"/>
          </reference>
          <reference field="3" count="1">
            <x v="2"/>
          </reference>
        </references>
      </pivotArea>
    </format>
    <format dxfId="593">
      <pivotArea dataOnly="0" labelOnly="1" outline="0" fieldPosition="0">
        <references count="4">
          <reference field="0" count="1" selected="0">
            <x v="284"/>
          </reference>
          <reference field="1" count="1" selected="0">
            <x v="34"/>
          </reference>
          <reference field="2" count="1" selected="0">
            <x v="5"/>
          </reference>
          <reference field="3" count="1">
            <x v="1"/>
          </reference>
        </references>
      </pivotArea>
    </format>
    <format dxfId="592">
      <pivotArea dataOnly="0" labelOnly="1" outline="0" fieldPosition="0">
        <references count="4">
          <reference field="0" count="1" selected="0">
            <x v="285"/>
          </reference>
          <reference field="1" count="1" selected="0">
            <x v="58"/>
          </reference>
          <reference field="2" count="1" selected="0">
            <x v="1"/>
          </reference>
          <reference field="3" count="1">
            <x v="2"/>
          </reference>
        </references>
      </pivotArea>
    </format>
    <format dxfId="591">
      <pivotArea dataOnly="0" labelOnly="1" outline="0" fieldPosition="0">
        <references count="4">
          <reference field="0" count="1" selected="0">
            <x v="286"/>
          </reference>
          <reference field="1" count="1" selected="0">
            <x v="47"/>
          </reference>
          <reference field="2" count="1" selected="0">
            <x v="0"/>
          </reference>
          <reference field="3" count="1">
            <x v="5"/>
          </reference>
        </references>
      </pivotArea>
    </format>
    <format dxfId="590">
      <pivotArea dataOnly="0" labelOnly="1" outline="0" fieldPosition="0">
        <references count="4">
          <reference field="0" count="1" selected="0">
            <x v="287"/>
          </reference>
          <reference field="1" count="1" selected="0">
            <x v="27"/>
          </reference>
          <reference field="2" count="1" selected="0">
            <x v="0"/>
          </reference>
          <reference field="3" count="1">
            <x v="3"/>
          </reference>
        </references>
      </pivotArea>
    </format>
    <format dxfId="589">
      <pivotArea dataOnly="0" labelOnly="1" outline="0" fieldPosition="0">
        <references count="4">
          <reference field="0" count="1" selected="0">
            <x v="288"/>
          </reference>
          <reference field="1" count="1" selected="0">
            <x v="46"/>
          </reference>
          <reference field="2" count="1" selected="0">
            <x v="3"/>
          </reference>
          <reference field="3" count="1">
            <x v="4"/>
          </reference>
        </references>
      </pivotArea>
    </format>
    <format dxfId="588">
      <pivotArea dataOnly="0" labelOnly="1" outline="0" fieldPosition="0">
        <references count="4">
          <reference field="0" count="1" selected="0">
            <x v="289"/>
          </reference>
          <reference field="1" count="1" selected="0">
            <x v="53"/>
          </reference>
          <reference field="2" count="1" selected="0">
            <x v="1"/>
          </reference>
          <reference field="3" count="1">
            <x v="0"/>
          </reference>
        </references>
      </pivotArea>
    </format>
    <format dxfId="587">
      <pivotArea dataOnly="0" labelOnly="1" outline="0" fieldPosition="0">
        <references count="4">
          <reference field="0" count="1" selected="0">
            <x v="290"/>
          </reference>
          <reference field="1" count="1" selected="0">
            <x v="41"/>
          </reference>
          <reference field="2" count="1" selected="0">
            <x v="0"/>
          </reference>
          <reference field="3" count="1">
            <x v="3"/>
          </reference>
        </references>
      </pivotArea>
    </format>
    <format dxfId="586">
      <pivotArea dataOnly="0" labelOnly="1" outline="0" fieldPosition="0">
        <references count="4">
          <reference field="0" count="1" selected="0">
            <x v="291"/>
          </reference>
          <reference field="1" count="1" selected="0">
            <x v="3"/>
          </reference>
          <reference field="2" count="1" selected="0">
            <x v="4"/>
          </reference>
          <reference field="3" count="1">
            <x v="2"/>
          </reference>
        </references>
      </pivotArea>
    </format>
    <format dxfId="585">
      <pivotArea dataOnly="0" labelOnly="1" outline="0" fieldPosition="0">
        <references count="4">
          <reference field="0" count="1" selected="0">
            <x v="292"/>
          </reference>
          <reference field="1" count="1" selected="0">
            <x v="56"/>
          </reference>
          <reference field="2" count="1" selected="0">
            <x v="4"/>
          </reference>
          <reference field="3" count="1">
            <x v="5"/>
          </reference>
        </references>
      </pivotArea>
    </format>
    <format dxfId="584">
      <pivotArea dataOnly="0" labelOnly="1" outline="0" fieldPosition="0">
        <references count="4">
          <reference field="0" count="1" selected="0">
            <x v="294"/>
          </reference>
          <reference field="1" count="1" selected="0">
            <x v="14"/>
          </reference>
          <reference field="2" count="1" selected="0">
            <x v="4"/>
          </reference>
          <reference field="3" count="1">
            <x v="0"/>
          </reference>
        </references>
      </pivotArea>
    </format>
    <format dxfId="583">
      <pivotArea dataOnly="0" labelOnly="1" outline="0" fieldPosition="0">
        <references count="4">
          <reference field="0" count="1" selected="0">
            <x v="295"/>
          </reference>
          <reference field="1" count="1" selected="0">
            <x v="5"/>
          </reference>
          <reference field="2" count="1" selected="0">
            <x v="0"/>
          </reference>
          <reference field="3" count="1">
            <x v="4"/>
          </reference>
        </references>
      </pivotArea>
    </format>
    <format dxfId="582">
      <pivotArea dataOnly="0" labelOnly="1" outline="0" fieldPosition="0">
        <references count="4">
          <reference field="0" count="1" selected="0">
            <x v="296"/>
          </reference>
          <reference field="1" count="1" selected="0">
            <x v="28"/>
          </reference>
          <reference field="2" count="1" selected="0">
            <x v="3"/>
          </reference>
          <reference field="3" count="1">
            <x v="7"/>
          </reference>
        </references>
      </pivotArea>
    </format>
    <format dxfId="581">
      <pivotArea dataOnly="0" labelOnly="1" outline="0" fieldPosition="0">
        <references count="4">
          <reference field="0" count="1" selected="0">
            <x v="297"/>
          </reference>
          <reference field="1" count="1" selected="0">
            <x v="20"/>
          </reference>
          <reference field="2" count="1" selected="0">
            <x v="4"/>
          </reference>
          <reference field="3" count="1">
            <x v="0"/>
          </reference>
        </references>
      </pivotArea>
    </format>
    <format dxfId="580">
      <pivotArea dataOnly="0" labelOnly="1" outline="0" fieldPosition="0">
        <references count="4">
          <reference field="0" count="1" selected="0">
            <x v="298"/>
          </reference>
          <reference field="1" count="1" selected="0">
            <x v="42"/>
          </reference>
          <reference field="2" count="1" selected="0">
            <x v="2"/>
          </reference>
          <reference field="3" count="1">
            <x v="2"/>
          </reference>
        </references>
      </pivotArea>
    </format>
    <format dxfId="579">
      <pivotArea dataOnly="0" labelOnly="1" outline="0" fieldPosition="0">
        <references count="4">
          <reference field="0" count="1" selected="0">
            <x v="299"/>
          </reference>
          <reference field="1" count="1" selected="0">
            <x v="39"/>
          </reference>
          <reference field="2" count="1" selected="0">
            <x v="2"/>
          </reference>
          <reference field="3" count="1">
            <x v="3"/>
          </reference>
        </references>
      </pivotArea>
    </format>
    <format dxfId="578">
      <pivotArea dataOnly="0" labelOnly="1" outline="0" fieldPosition="0">
        <references count="5">
          <reference field="0" count="1" selected="0">
            <x v="0"/>
          </reference>
          <reference field="1" count="1" selected="0">
            <x v="0"/>
          </reference>
          <reference field="2" count="1" selected="0">
            <x v="0"/>
          </reference>
          <reference field="3" count="1" selected="0">
            <x v="7"/>
          </reference>
          <reference field="4" count="1">
            <x v="0"/>
          </reference>
        </references>
      </pivotArea>
    </format>
    <format dxfId="577">
      <pivotArea dataOnly="0" labelOnly="1" outline="0" fieldPosition="0">
        <references count="5">
          <reference field="0" count="1" selected="0">
            <x v="1"/>
          </reference>
          <reference field="1" count="1" selected="0">
            <x v="58"/>
          </reference>
          <reference field="2" count="1" selected="0">
            <x v="1"/>
          </reference>
          <reference field="3" count="1" selected="0">
            <x v="5"/>
          </reference>
          <reference field="4" count="1">
            <x v="1"/>
          </reference>
        </references>
      </pivotArea>
    </format>
    <format dxfId="576">
      <pivotArea dataOnly="0" labelOnly="1" outline="0" fieldPosition="0">
        <references count="5">
          <reference field="0" count="1" selected="0">
            <x v="2"/>
          </reference>
          <reference field="1" count="1" selected="0">
            <x v="35"/>
          </reference>
          <reference field="2" count="1" selected="0">
            <x v="4"/>
          </reference>
          <reference field="3" count="1" selected="0">
            <x v="6"/>
          </reference>
          <reference field="4" count="1">
            <x v="3"/>
          </reference>
        </references>
      </pivotArea>
    </format>
    <format dxfId="575">
      <pivotArea dataOnly="0" labelOnly="1" outline="0" fieldPosition="0">
        <references count="5">
          <reference field="0" count="1" selected="0">
            <x v="3"/>
          </reference>
          <reference field="1" count="1" selected="0">
            <x v="33"/>
          </reference>
          <reference field="2" count="1" selected="0">
            <x v="4"/>
          </reference>
          <reference field="3" count="1" selected="0">
            <x v="3"/>
          </reference>
          <reference field="4" count="1">
            <x v="0"/>
          </reference>
        </references>
      </pivotArea>
    </format>
    <format dxfId="574">
      <pivotArea dataOnly="0" labelOnly="1" outline="0" fieldPosition="0">
        <references count="5">
          <reference field="0" count="1" selected="0">
            <x v="4"/>
          </reference>
          <reference field="1" count="1" selected="0">
            <x v="8"/>
          </reference>
          <reference field="2" count="1" selected="0">
            <x v="5"/>
          </reference>
          <reference field="3" count="1" selected="0">
            <x v="3"/>
          </reference>
          <reference field="4" count="1">
            <x v="2"/>
          </reference>
        </references>
      </pivotArea>
    </format>
    <format dxfId="573">
      <pivotArea dataOnly="0" labelOnly="1" outline="0" fieldPosition="0">
        <references count="5">
          <reference field="0" count="1" selected="0">
            <x v="5"/>
          </reference>
          <reference field="1" count="1" selected="0">
            <x v="36"/>
          </reference>
          <reference field="2" count="1" selected="0">
            <x v="1"/>
          </reference>
          <reference field="3" count="1" selected="0">
            <x v="6"/>
          </reference>
          <reference field="4" count="1">
            <x v="4"/>
          </reference>
        </references>
      </pivotArea>
    </format>
    <format dxfId="572">
      <pivotArea dataOnly="0" labelOnly="1" outline="0" fieldPosition="0">
        <references count="5">
          <reference field="0" count="1" selected="0">
            <x v="7"/>
          </reference>
          <reference field="1" count="1" selected="0">
            <x v="16"/>
          </reference>
          <reference field="2" count="1" selected="0">
            <x v="5"/>
          </reference>
          <reference field="3" count="1" selected="0">
            <x v="6"/>
          </reference>
          <reference field="4" count="1">
            <x v="3"/>
          </reference>
        </references>
      </pivotArea>
    </format>
    <format dxfId="571">
      <pivotArea dataOnly="0" labelOnly="1" outline="0" fieldPosition="0">
        <references count="5">
          <reference field="0" count="1" selected="0">
            <x v="8"/>
          </reference>
          <reference field="1" count="1" selected="0">
            <x v="9"/>
          </reference>
          <reference field="2" count="1" selected="0">
            <x v="3"/>
          </reference>
          <reference field="3" count="1" selected="0">
            <x v="0"/>
          </reference>
          <reference field="4" count="1">
            <x v="1"/>
          </reference>
        </references>
      </pivotArea>
    </format>
    <format dxfId="570">
      <pivotArea dataOnly="0" labelOnly="1" outline="0" fieldPosition="0">
        <references count="5">
          <reference field="0" count="1" selected="0">
            <x v="9"/>
          </reference>
          <reference field="1" count="1" selected="0">
            <x v="50"/>
          </reference>
          <reference field="2" count="1" selected="0">
            <x v="3"/>
          </reference>
          <reference field="3" count="1" selected="0">
            <x v="4"/>
          </reference>
          <reference field="4" count="1">
            <x v="3"/>
          </reference>
        </references>
      </pivotArea>
    </format>
    <format dxfId="569">
      <pivotArea dataOnly="0" labelOnly="1" outline="0" fieldPosition="0">
        <references count="5">
          <reference field="0" count="1" selected="0">
            <x v="10"/>
          </reference>
          <reference field="1" count="1" selected="0">
            <x v="14"/>
          </reference>
          <reference field="2" count="1" selected="0">
            <x v="4"/>
          </reference>
          <reference field="3" count="1" selected="0">
            <x v="4"/>
          </reference>
          <reference field="4" count="1">
            <x v="2"/>
          </reference>
        </references>
      </pivotArea>
    </format>
    <format dxfId="568">
      <pivotArea dataOnly="0" labelOnly="1" outline="0" fieldPosition="0">
        <references count="5">
          <reference field="0" count="1" selected="0">
            <x v="11"/>
          </reference>
          <reference field="1" count="1" selected="0">
            <x v="27"/>
          </reference>
          <reference field="2" count="1" selected="0">
            <x v="0"/>
          </reference>
          <reference field="3" count="1" selected="0">
            <x v="5"/>
          </reference>
          <reference field="4" count="1">
            <x v="0"/>
          </reference>
        </references>
      </pivotArea>
    </format>
    <format dxfId="567">
      <pivotArea dataOnly="0" labelOnly="1" outline="0" fieldPosition="0">
        <references count="5">
          <reference field="0" count="1" selected="0">
            <x v="13"/>
          </reference>
          <reference field="1" count="1" selected="0">
            <x v="37"/>
          </reference>
          <reference field="2" count="1" selected="0">
            <x v="1"/>
          </reference>
          <reference field="3" count="1" selected="0">
            <x v="3"/>
          </reference>
          <reference field="4" count="1">
            <x v="4"/>
          </reference>
        </references>
      </pivotArea>
    </format>
    <format dxfId="566">
      <pivotArea dataOnly="0" labelOnly="1" outline="0" fieldPosition="0">
        <references count="5">
          <reference field="0" count="1" selected="0">
            <x v="15"/>
          </reference>
          <reference field="1" count="1" selected="0">
            <x v="9"/>
          </reference>
          <reference field="2" count="1" selected="0">
            <x v="3"/>
          </reference>
          <reference field="3" count="1" selected="0">
            <x v="1"/>
          </reference>
          <reference field="4" count="1">
            <x v="1"/>
          </reference>
        </references>
      </pivotArea>
    </format>
    <format dxfId="565">
      <pivotArea dataOnly="0" labelOnly="1" outline="0" fieldPosition="0">
        <references count="5">
          <reference field="0" count="1" selected="0">
            <x v="16"/>
          </reference>
          <reference field="1" count="1" selected="0">
            <x v="3"/>
          </reference>
          <reference field="2" count="1" selected="0">
            <x v="4"/>
          </reference>
          <reference field="3" count="1" selected="0">
            <x v="4"/>
          </reference>
          <reference field="4" count="1">
            <x v="3"/>
          </reference>
        </references>
      </pivotArea>
    </format>
    <format dxfId="564">
      <pivotArea dataOnly="0" labelOnly="1" outline="0" fieldPosition="0">
        <references count="5">
          <reference field="0" count="1" selected="0">
            <x v="18"/>
          </reference>
          <reference field="1" count="1" selected="0">
            <x v="40"/>
          </reference>
          <reference field="2" count="1" selected="0">
            <x v="2"/>
          </reference>
          <reference field="3" count="1" selected="0">
            <x v="4"/>
          </reference>
          <reference field="4" count="1">
            <x v="1"/>
          </reference>
        </references>
      </pivotArea>
    </format>
    <format dxfId="563">
      <pivotArea dataOnly="0" labelOnly="1" outline="0" fieldPosition="0">
        <references count="5">
          <reference field="0" count="1" selected="0">
            <x v="19"/>
          </reference>
          <reference field="1" count="1" selected="0">
            <x v="12"/>
          </reference>
          <reference field="2" count="1" selected="0">
            <x v="4"/>
          </reference>
          <reference field="3" count="1" selected="0">
            <x v="7"/>
          </reference>
          <reference field="4" count="1">
            <x v="3"/>
          </reference>
        </references>
      </pivotArea>
    </format>
    <format dxfId="562">
      <pivotArea dataOnly="0" labelOnly="1" outline="0" fieldPosition="0">
        <references count="5">
          <reference field="0" count="1" selected="0">
            <x v="20"/>
          </reference>
          <reference field="1" count="1" selected="0">
            <x v="17"/>
          </reference>
          <reference field="2" count="1" selected="0">
            <x v="4"/>
          </reference>
          <reference field="3" count="1" selected="0">
            <x v="1"/>
          </reference>
          <reference field="4" count="1">
            <x v="1"/>
          </reference>
        </references>
      </pivotArea>
    </format>
    <format dxfId="561">
      <pivotArea dataOnly="0" labelOnly="1" outline="0" fieldPosition="0">
        <references count="5">
          <reference field="0" count="1" selected="0">
            <x v="21"/>
          </reference>
          <reference field="1" count="1" selected="0">
            <x v="4"/>
          </reference>
          <reference field="2" count="1" selected="0">
            <x v="0"/>
          </reference>
          <reference field="3" count="1" selected="0">
            <x v="7"/>
          </reference>
          <reference field="4" count="1">
            <x v="3"/>
          </reference>
        </references>
      </pivotArea>
    </format>
    <format dxfId="560">
      <pivotArea dataOnly="0" labelOnly="1" outline="0" fieldPosition="0">
        <references count="5">
          <reference field="0" count="1" selected="0">
            <x v="22"/>
          </reference>
          <reference field="1" count="1" selected="0">
            <x v="49"/>
          </reference>
          <reference field="2" count="1" selected="0">
            <x v="3"/>
          </reference>
          <reference field="3" count="1" selected="0">
            <x v="7"/>
          </reference>
          <reference field="4" count="1">
            <x v="4"/>
          </reference>
        </references>
      </pivotArea>
    </format>
    <format dxfId="559">
      <pivotArea dataOnly="0" labelOnly="1" outline="0" fieldPosition="0">
        <references count="5">
          <reference field="0" count="1" selected="0">
            <x v="23"/>
          </reference>
          <reference field="1" count="1" selected="0">
            <x v="31"/>
          </reference>
          <reference field="2" count="1" selected="0">
            <x v="3"/>
          </reference>
          <reference field="3" count="1" selected="0">
            <x v="6"/>
          </reference>
          <reference field="4" count="1">
            <x v="1"/>
          </reference>
        </references>
      </pivotArea>
    </format>
    <format dxfId="558">
      <pivotArea dataOnly="0" labelOnly="1" outline="0" fieldPosition="0">
        <references count="5">
          <reference field="0" count="1" selected="0">
            <x v="24"/>
          </reference>
          <reference field="1" count="1" selected="0">
            <x v="21"/>
          </reference>
          <reference field="2" count="1" selected="0">
            <x v="2"/>
          </reference>
          <reference field="3" count="1" selected="0">
            <x v="0"/>
          </reference>
          <reference field="4" count="1">
            <x v="3"/>
          </reference>
        </references>
      </pivotArea>
    </format>
    <format dxfId="557">
      <pivotArea dataOnly="0" labelOnly="1" outline="0" fieldPosition="0">
        <references count="5">
          <reference field="0" count="1" selected="0">
            <x v="25"/>
          </reference>
          <reference field="1" count="1" selected="0">
            <x v="23"/>
          </reference>
          <reference field="2" count="1" selected="0">
            <x v="2"/>
          </reference>
          <reference field="3" count="1" selected="0">
            <x v="7"/>
          </reference>
          <reference field="4" count="1">
            <x v="2"/>
          </reference>
        </references>
      </pivotArea>
    </format>
    <format dxfId="556">
      <pivotArea dataOnly="0" labelOnly="1" outline="0" fieldPosition="0">
        <references count="5">
          <reference field="0" count="1" selected="0">
            <x v="26"/>
          </reference>
          <reference field="1" count="1" selected="0">
            <x v="9"/>
          </reference>
          <reference field="2" count="1" selected="0">
            <x v="3"/>
          </reference>
          <reference field="3" count="1" selected="0">
            <x v="1"/>
          </reference>
          <reference field="4" count="1">
            <x v="1"/>
          </reference>
        </references>
      </pivotArea>
    </format>
    <format dxfId="555">
      <pivotArea dataOnly="0" labelOnly="1" outline="0" fieldPosition="0">
        <references count="5">
          <reference field="0" count="1" selected="0">
            <x v="27"/>
          </reference>
          <reference field="1" count="1" selected="0">
            <x v="22"/>
          </reference>
          <reference field="2" count="1" selected="0">
            <x v="2"/>
          </reference>
          <reference field="3" count="1" selected="0">
            <x v="5"/>
          </reference>
          <reference field="4" count="1">
            <x v="3"/>
          </reference>
        </references>
      </pivotArea>
    </format>
    <format dxfId="554">
      <pivotArea dataOnly="0" labelOnly="1" outline="0" fieldPosition="0">
        <references count="5">
          <reference field="0" count="1" selected="0">
            <x v="28"/>
          </reference>
          <reference field="1" count="1" selected="0">
            <x v="19"/>
          </reference>
          <reference field="2" count="1" selected="0">
            <x v="5"/>
          </reference>
          <reference field="3" count="1" selected="0">
            <x v="0"/>
          </reference>
          <reference field="4" count="1">
            <x v="4"/>
          </reference>
        </references>
      </pivotArea>
    </format>
    <format dxfId="553">
      <pivotArea dataOnly="0" labelOnly="1" outline="0" fieldPosition="0">
        <references count="5">
          <reference field="0" count="1" selected="0">
            <x v="29"/>
          </reference>
          <reference field="1" count="1" selected="0">
            <x v="4"/>
          </reference>
          <reference field="2" count="1" selected="0">
            <x v="0"/>
          </reference>
          <reference field="3" count="1" selected="0">
            <x v="6"/>
          </reference>
          <reference field="4" count="1">
            <x v="3"/>
          </reference>
        </references>
      </pivotArea>
    </format>
    <format dxfId="552">
      <pivotArea dataOnly="0" labelOnly="1" outline="0" fieldPosition="0">
        <references count="5">
          <reference field="0" count="1" selected="0">
            <x v="30"/>
          </reference>
          <reference field="1" count="1" selected="0">
            <x v="23"/>
          </reference>
          <reference field="2" count="1" selected="0">
            <x v="2"/>
          </reference>
          <reference field="3" count="1" selected="0">
            <x v="3"/>
          </reference>
          <reference field="4" count="1">
            <x v="1"/>
          </reference>
        </references>
      </pivotArea>
    </format>
    <format dxfId="551">
      <pivotArea dataOnly="0" labelOnly="1" outline="0" fieldPosition="0">
        <references count="5">
          <reference field="0" count="1" selected="0">
            <x v="31"/>
          </reference>
          <reference field="1" count="1" selected="0">
            <x v="34"/>
          </reference>
          <reference field="2" count="1" selected="0">
            <x v="5"/>
          </reference>
          <reference field="3" count="1" selected="0">
            <x v="7"/>
          </reference>
          <reference field="4" count="1">
            <x v="0"/>
          </reference>
        </references>
      </pivotArea>
    </format>
    <format dxfId="550">
      <pivotArea dataOnly="0" labelOnly="1" outline="0" fieldPosition="0">
        <references count="5">
          <reference field="0" count="1" selected="0">
            <x v="32"/>
          </reference>
          <reference field="1" count="1" selected="0">
            <x v="53"/>
          </reference>
          <reference field="2" count="1" selected="0">
            <x v="1"/>
          </reference>
          <reference field="3" count="1" selected="0">
            <x v="0"/>
          </reference>
          <reference field="4" count="1">
            <x v="2"/>
          </reference>
        </references>
      </pivotArea>
    </format>
    <format dxfId="549">
      <pivotArea dataOnly="0" labelOnly="1" outline="0" fieldPosition="0">
        <references count="5">
          <reference field="0" count="1" selected="0">
            <x v="33"/>
          </reference>
          <reference field="1" count="1" selected="0">
            <x v="45"/>
          </reference>
          <reference field="2" count="1" selected="0">
            <x v="5"/>
          </reference>
          <reference field="3" count="1" selected="0">
            <x v="2"/>
          </reference>
          <reference field="4" count="1">
            <x v="3"/>
          </reference>
        </references>
      </pivotArea>
    </format>
    <format dxfId="548">
      <pivotArea dataOnly="0" labelOnly="1" outline="0" fieldPosition="0">
        <references count="5">
          <reference field="0" count="1" selected="0">
            <x v="34"/>
          </reference>
          <reference field="1" count="1" selected="0">
            <x v="49"/>
          </reference>
          <reference field="2" count="1" selected="0">
            <x v="3"/>
          </reference>
          <reference field="3" count="1" selected="0">
            <x v="7"/>
          </reference>
          <reference field="4" count="1">
            <x v="1"/>
          </reference>
        </references>
      </pivotArea>
    </format>
    <format dxfId="547">
      <pivotArea dataOnly="0" labelOnly="1" outline="0" fieldPosition="0">
        <references count="5">
          <reference field="0" count="1" selected="0">
            <x v="35"/>
          </reference>
          <reference field="1" count="1" selected="0">
            <x v="0"/>
          </reference>
          <reference field="2" count="1" selected="0">
            <x v="0"/>
          </reference>
          <reference field="3" count="1" selected="0">
            <x v="1"/>
          </reference>
          <reference field="4" count="1">
            <x v="3"/>
          </reference>
        </references>
      </pivotArea>
    </format>
    <format dxfId="546">
      <pivotArea dataOnly="0" labelOnly="1" outline="0" fieldPosition="0">
        <references count="5">
          <reference field="0" count="1" selected="0">
            <x v="36"/>
          </reference>
          <reference field="1" count="1" selected="0">
            <x v="6"/>
          </reference>
          <reference field="2" count="1" selected="0">
            <x v="3"/>
          </reference>
          <reference field="3" count="1" selected="0">
            <x v="2"/>
          </reference>
          <reference field="4" count="1">
            <x v="4"/>
          </reference>
        </references>
      </pivotArea>
    </format>
    <format dxfId="545">
      <pivotArea dataOnly="0" labelOnly="1" outline="0" fieldPosition="0">
        <references count="5">
          <reference field="0" count="1" selected="0">
            <x v="37"/>
          </reference>
          <reference field="1" count="1" selected="0">
            <x v="4"/>
          </reference>
          <reference field="2" count="1" selected="0">
            <x v="0"/>
          </reference>
          <reference field="3" count="1" selected="0">
            <x v="3"/>
          </reference>
          <reference field="4" count="1">
            <x v="3"/>
          </reference>
        </references>
      </pivotArea>
    </format>
    <format dxfId="544">
      <pivotArea dataOnly="0" labelOnly="1" outline="0" fieldPosition="0">
        <references count="5">
          <reference field="0" count="1" selected="0">
            <x v="38"/>
          </reference>
          <reference field="1" count="1" selected="0">
            <x v="35"/>
          </reference>
          <reference field="2" count="1" selected="0">
            <x v="4"/>
          </reference>
          <reference field="3" count="1" selected="0">
            <x v="5"/>
          </reference>
          <reference field="4" count="1">
            <x v="4"/>
          </reference>
        </references>
      </pivotArea>
    </format>
    <format dxfId="543">
      <pivotArea dataOnly="0" labelOnly="1" outline="0" fieldPosition="0">
        <references count="5">
          <reference field="0" count="1" selected="0">
            <x v="42"/>
          </reference>
          <reference field="1" count="1" selected="0">
            <x v="12"/>
          </reference>
          <reference field="2" count="1" selected="0">
            <x v="4"/>
          </reference>
          <reference field="3" count="1" selected="0">
            <x v="4"/>
          </reference>
          <reference field="4" count="1">
            <x v="1"/>
          </reference>
        </references>
      </pivotArea>
    </format>
    <format dxfId="542">
      <pivotArea dataOnly="0" labelOnly="1" outline="0" fieldPosition="0">
        <references count="5">
          <reference field="0" count="1" selected="0">
            <x v="44"/>
          </reference>
          <reference field="1" count="1" selected="0">
            <x v="14"/>
          </reference>
          <reference field="2" count="1" selected="0">
            <x v="4"/>
          </reference>
          <reference field="3" count="1" selected="0">
            <x v="2"/>
          </reference>
          <reference field="4" count="1">
            <x v="4"/>
          </reference>
        </references>
      </pivotArea>
    </format>
    <format dxfId="541">
      <pivotArea dataOnly="0" labelOnly="1" outline="0" fieldPosition="0">
        <references count="5">
          <reference field="0" count="1" selected="0">
            <x v="45"/>
          </reference>
          <reference field="1" count="1" selected="0">
            <x v="50"/>
          </reference>
          <reference field="2" count="1" selected="0">
            <x v="3"/>
          </reference>
          <reference field="3" count="1" selected="0">
            <x v="4"/>
          </reference>
          <reference field="4" count="1">
            <x v="3"/>
          </reference>
        </references>
      </pivotArea>
    </format>
    <format dxfId="540">
      <pivotArea dataOnly="0" labelOnly="1" outline="0" fieldPosition="0">
        <references count="5">
          <reference field="0" count="1" selected="0">
            <x v="46"/>
          </reference>
          <reference field="1" count="1" selected="0">
            <x v="42"/>
          </reference>
          <reference field="2" count="1" selected="0">
            <x v="2"/>
          </reference>
          <reference field="3" count="1" selected="0">
            <x v="4"/>
          </reference>
          <reference field="4" count="1">
            <x v="2"/>
          </reference>
        </references>
      </pivotArea>
    </format>
    <format dxfId="539">
      <pivotArea dataOnly="0" labelOnly="1" outline="0" fieldPosition="0">
        <references count="5">
          <reference field="0" count="1" selected="0">
            <x v="47"/>
          </reference>
          <reference field="1" count="1" selected="0">
            <x v="9"/>
          </reference>
          <reference field="2" count="1" selected="0">
            <x v="3"/>
          </reference>
          <reference field="3" count="1" selected="0">
            <x v="4"/>
          </reference>
          <reference field="4" count="1">
            <x v="1"/>
          </reference>
        </references>
      </pivotArea>
    </format>
    <format dxfId="538">
      <pivotArea dataOnly="0" labelOnly="1" outline="0" fieldPosition="0">
        <references count="5">
          <reference field="0" count="1" selected="0">
            <x v="49"/>
          </reference>
          <reference field="1" count="1" selected="0">
            <x v="14"/>
          </reference>
          <reference field="2" count="1" selected="0">
            <x v="4"/>
          </reference>
          <reference field="3" count="1" selected="0">
            <x v="7"/>
          </reference>
          <reference field="4" count="1">
            <x v="2"/>
          </reference>
        </references>
      </pivotArea>
    </format>
    <format dxfId="537">
      <pivotArea dataOnly="0" labelOnly="1" outline="0" fieldPosition="0">
        <references count="5">
          <reference field="0" count="1" selected="0">
            <x v="50"/>
          </reference>
          <reference field="1" count="1" selected="0">
            <x v="23"/>
          </reference>
          <reference field="2" count="1" selected="0">
            <x v="2"/>
          </reference>
          <reference field="3" count="1" selected="0">
            <x v="4"/>
          </reference>
          <reference field="4" count="1">
            <x v="1"/>
          </reference>
        </references>
      </pivotArea>
    </format>
    <format dxfId="536">
      <pivotArea dataOnly="0" labelOnly="1" outline="0" fieldPosition="0">
        <references count="5">
          <reference field="0" count="1" selected="0">
            <x v="51"/>
          </reference>
          <reference field="1" count="1" selected="0">
            <x v="17"/>
          </reference>
          <reference field="2" count="1" selected="0">
            <x v="4"/>
          </reference>
          <reference field="3" count="1" selected="0">
            <x v="7"/>
          </reference>
          <reference field="4" count="1">
            <x v="4"/>
          </reference>
        </references>
      </pivotArea>
    </format>
    <format dxfId="535">
      <pivotArea dataOnly="0" labelOnly="1" outline="0" fieldPosition="0">
        <references count="5">
          <reference field="0" count="1" selected="0">
            <x v="52"/>
          </reference>
          <reference field="1" count="1" selected="0">
            <x v="16"/>
          </reference>
          <reference field="2" count="1" selected="0">
            <x v="5"/>
          </reference>
          <reference field="3" count="1" selected="0">
            <x v="3"/>
          </reference>
          <reference field="4" count="1">
            <x v="1"/>
          </reference>
        </references>
      </pivotArea>
    </format>
    <format dxfId="534">
      <pivotArea dataOnly="0" labelOnly="1" outline="0" fieldPosition="0">
        <references count="5">
          <reference field="0" count="1" selected="0">
            <x v="53"/>
          </reference>
          <reference field="1" count="1" selected="0">
            <x v="10"/>
          </reference>
          <reference field="2" count="1" selected="0">
            <x v="4"/>
          </reference>
          <reference field="3" count="1" selected="0">
            <x v="7"/>
          </reference>
          <reference field="4" count="1">
            <x v="0"/>
          </reference>
        </references>
      </pivotArea>
    </format>
    <format dxfId="533">
      <pivotArea dataOnly="0" labelOnly="1" outline="0" fieldPosition="0">
        <references count="5">
          <reference field="0" count="1" selected="0">
            <x v="54"/>
          </reference>
          <reference field="1" count="1" selected="0">
            <x v="40"/>
          </reference>
          <reference field="2" count="1" selected="0">
            <x v="2"/>
          </reference>
          <reference field="3" count="1" selected="0">
            <x v="2"/>
          </reference>
          <reference field="4" count="1">
            <x v="1"/>
          </reference>
        </references>
      </pivotArea>
    </format>
    <format dxfId="532">
      <pivotArea dataOnly="0" labelOnly="1" outline="0" fieldPosition="0">
        <references count="5">
          <reference field="0" count="1" selected="0">
            <x v="56"/>
          </reference>
          <reference field="1" count="1" selected="0">
            <x v="37"/>
          </reference>
          <reference field="2" count="1" selected="0">
            <x v="1"/>
          </reference>
          <reference field="3" count="1" selected="0">
            <x v="2"/>
          </reference>
          <reference field="4" count="1">
            <x v="3"/>
          </reference>
        </references>
      </pivotArea>
    </format>
    <format dxfId="531">
      <pivotArea dataOnly="0" labelOnly="1" outline="0" fieldPosition="0">
        <references count="5">
          <reference field="0" count="1" selected="0">
            <x v="57"/>
          </reference>
          <reference field="1" count="1" selected="0">
            <x v="48"/>
          </reference>
          <reference field="2" count="1" selected="0">
            <x v="5"/>
          </reference>
          <reference field="3" count="1" selected="0">
            <x v="1"/>
          </reference>
          <reference field="4" count="1">
            <x v="0"/>
          </reference>
        </references>
      </pivotArea>
    </format>
    <format dxfId="530">
      <pivotArea dataOnly="0" labelOnly="1" outline="0" fieldPosition="0">
        <references count="5">
          <reference field="0" count="1" selected="0">
            <x v="58"/>
          </reference>
          <reference field="1" count="1" selected="0">
            <x v="44"/>
          </reference>
          <reference field="2" count="1" selected="0">
            <x v="5"/>
          </reference>
          <reference field="3" count="1" selected="0">
            <x v="0"/>
          </reference>
          <reference field="4" count="1">
            <x v="4"/>
          </reference>
        </references>
      </pivotArea>
    </format>
    <format dxfId="529">
      <pivotArea dataOnly="0" labelOnly="1" outline="0" fieldPosition="0">
        <references count="5">
          <reference field="0" count="1" selected="0">
            <x v="59"/>
          </reference>
          <reference field="1" count="1" selected="0">
            <x v="24"/>
          </reference>
          <reference field="2" count="1" selected="0">
            <x v="0"/>
          </reference>
          <reference field="3" count="1" selected="0">
            <x v="6"/>
          </reference>
          <reference field="4" count="1">
            <x v="0"/>
          </reference>
        </references>
      </pivotArea>
    </format>
    <format dxfId="528">
      <pivotArea dataOnly="0" labelOnly="1" outline="0" fieldPosition="0">
        <references count="5">
          <reference field="0" count="1" selected="0">
            <x v="61"/>
          </reference>
          <reference field="1" count="1" selected="0">
            <x v="59"/>
          </reference>
          <reference field="2" count="1" selected="0">
            <x v="2"/>
          </reference>
          <reference field="3" count="1" selected="0">
            <x v="2"/>
          </reference>
          <reference field="4" count="1">
            <x v="3"/>
          </reference>
        </references>
      </pivotArea>
    </format>
    <format dxfId="527">
      <pivotArea dataOnly="0" labelOnly="1" outline="0" fieldPosition="0">
        <references count="5">
          <reference field="0" count="1" selected="0">
            <x v="62"/>
          </reference>
          <reference field="1" count="1" selected="0">
            <x v="10"/>
          </reference>
          <reference field="2" count="1" selected="0">
            <x v="4"/>
          </reference>
          <reference field="3" count="1" selected="0">
            <x v="5"/>
          </reference>
          <reference field="4" count="1">
            <x v="0"/>
          </reference>
        </references>
      </pivotArea>
    </format>
    <format dxfId="526">
      <pivotArea dataOnly="0" labelOnly="1" outline="0" fieldPosition="0">
        <references count="5">
          <reference field="0" count="1" selected="0">
            <x v="64"/>
          </reference>
          <reference field="1" count="1" selected="0">
            <x v="4"/>
          </reference>
          <reference field="2" count="1" selected="0">
            <x v="0"/>
          </reference>
          <reference field="3" count="1" selected="0">
            <x v="0"/>
          </reference>
          <reference field="4" count="1">
            <x v="1"/>
          </reference>
        </references>
      </pivotArea>
    </format>
    <format dxfId="525">
      <pivotArea dataOnly="0" labelOnly="1" outline="0" fieldPosition="0">
        <references count="5">
          <reference field="0" count="1" selected="0">
            <x v="65"/>
          </reference>
          <reference field="1" count="1" selected="0">
            <x v="9"/>
          </reference>
          <reference field="2" count="1" selected="0">
            <x v="3"/>
          </reference>
          <reference field="3" count="1" selected="0">
            <x v="2"/>
          </reference>
          <reference field="4" count="1">
            <x v="0"/>
          </reference>
        </references>
      </pivotArea>
    </format>
    <format dxfId="524">
      <pivotArea dataOnly="0" labelOnly="1" outline="0" fieldPosition="0">
        <references count="5">
          <reference field="0" count="1" selected="0">
            <x v="66"/>
          </reference>
          <reference field="1" count="1" selected="0">
            <x v="43"/>
          </reference>
          <reference field="2" count="1" selected="0">
            <x v="0"/>
          </reference>
          <reference field="3" count="1" selected="0">
            <x v="4"/>
          </reference>
          <reference field="4" count="1">
            <x v="3"/>
          </reference>
        </references>
      </pivotArea>
    </format>
    <format dxfId="523">
      <pivotArea dataOnly="0" labelOnly="1" outline="0" fieldPosition="0">
        <references count="5">
          <reference field="0" count="1" selected="0">
            <x v="69"/>
          </reference>
          <reference field="1" count="1" selected="0">
            <x v="20"/>
          </reference>
          <reference field="2" count="1" selected="0">
            <x v="4"/>
          </reference>
          <reference field="3" count="1" selected="0">
            <x v="1"/>
          </reference>
          <reference field="4" count="1">
            <x v="0"/>
          </reference>
        </references>
      </pivotArea>
    </format>
    <format dxfId="522">
      <pivotArea dataOnly="0" labelOnly="1" outline="0" fieldPosition="0">
        <references count="5">
          <reference field="0" count="1" selected="0">
            <x v="70"/>
          </reference>
          <reference field="1" count="1" selected="0">
            <x v="1"/>
          </reference>
          <reference field="2" count="1" selected="0">
            <x v="5"/>
          </reference>
          <reference field="3" count="1" selected="0">
            <x v="0"/>
          </reference>
          <reference field="4" count="1">
            <x v="1"/>
          </reference>
        </references>
      </pivotArea>
    </format>
    <format dxfId="521">
      <pivotArea dataOnly="0" labelOnly="1" outline="0" fieldPosition="0">
        <references count="5">
          <reference field="0" count="1" selected="0">
            <x v="71"/>
          </reference>
          <reference field="1" count="1" selected="0">
            <x v="30"/>
          </reference>
          <reference field="2" count="1" selected="0">
            <x v="1"/>
          </reference>
          <reference field="3" count="1" selected="0">
            <x v="6"/>
          </reference>
          <reference field="4" count="1">
            <x v="0"/>
          </reference>
        </references>
      </pivotArea>
    </format>
    <format dxfId="520">
      <pivotArea dataOnly="0" labelOnly="1" outline="0" fieldPosition="0">
        <references count="5">
          <reference field="0" count="1" selected="0">
            <x v="72"/>
          </reference>
          <reference field="1" count="1" selected="0">
            <x v="33"/>
          </reference>
          <reference field="2" count="1" selected="0">
            <x v="4"/>
          </reference>
          <reference field="3" count="1" selected="0">
            <x v="2"/>
          </reference>
          <reference field="4" count="1">
            <x v="1"/>
          </reference>
        </references>
      </pivotArea>
    </format>
    <format dxfId="519">
      <pivotArea dataOnly="0" labelOnly="1" outline="0" fieldPosition="0">
        <references count="5">
          <reference field="0" count="1" selected="0">
            <x v="73"/>
          </reference>
          <reference field="1" count="1" selected="0">
            <x v="44"/>
          </reference>
          <reference field="2" count="1" selected="0">
            <x v="5"/>
          </reference>
          <reference field="3" count="1" selected="0">
            <x v="5"/>
          </reference>
          <reference field="4" count="1">
            <x v="4"/>
          </reference>
        </references>
      </pivotArea>
    </format>
    <format dxfId="518">
      <pivotArea dataOnly="0" labelOnly="1" outline="0" fieldPosition="0">
        <references count="5">
          <reference field="0" count="1" selected="0">
            <x v="74"/>
          </reference>
          <reference field="1" count="1" selected="0">
            <x v="59"/>
          </reference>
          <reference field="2" count="1" selected="0">
            <x v="2"/>
          </reference>
          <reference field="3" count="1" selected="0">
            <x v="1"/>
          </reference>
          <reference field="4" count="1">
            <x v="0"/>
          </reference>
        </references>
      </pivotArea>
    </format>
    <format dxfId="517">
      <pivotArea dataOnly="0" labelOnly="1" outline="0" fieldPosition="0">
        <references count="5">
          <reference field="0" count="1" selected="0">
            <x v="75"/>
          </reference>
          <reference field="1" count="1" selected="0">
            <x v="5"/>
          </reference>
          <reference field="2" count="1" selected="0">
            <x v="0"/>
          </reference>
          <reference field="3" count="1" selected="0">
            <x v="7"/>
          </reference>
          <reference field="4" count="1">
            <x v="1"/>
          </reference>
        </references>
      </pivotArea>
    </format>
    <format dxfId="516">
      <pivotArea dataOnly="0" labelOnly="1" outline="0" fieldPosition="0">
        <references count="5">
          <reference field="0" count="1" selected="0">
            <x v="76"/>
          </reference>
          <reference field="1" count="1" selected="0">
            <x v="55"/>
          </reference>
          <reference field="2" count="1" selected="0">
            <x v="1"/>
          </reference>
          <reference field="3" count="1" selected="0">
            <x v="3"/>
          </reference>
          <reference field="4" count="1">
            <x v="4"/>
          </reference>
        </references>
      </pivotArea>
    </format>
    <format dxfId="515">
      <pivotArea dataOnly="0" labelOnly="1" outline="0" fieldPosition="0">
        <references count="5">
          <reference field="0" count="1" selected="0">
            <x v="77"/>
          </reference>
          <reference field="1" count="1" selected="0">
            <x v="59"/>
          </reference>
          <reference field="2" count="1" selected="0">
            <x v="2"/>
          </reference>
          <reference field="3" count="1" selected="0">
            <x v="4"/>
          </reference>
          <reference field="4" count="1">
            <x v="3"/>
          </reference>
        </references>
      </pivotArea>
    </format>
    <format dxfId="514">
      <pivotArea dataOnly="0" labelOnly="1" outline="0" fieldPosition="0">
        <references count="5">
          <reference field="0" count="1" selected="0">
            <x v="78"/>
          </reference>
          <reference field="1" count="1" selected="0">
            <x v="4"/>
          </reference>
          <reference field="2" count="1" selected="0">
            <x v="0"/>
          </reference>
          <reference field="3" count="1" selected="0">
            <x v="4"/>
          </reference>
          <reference field="4" count="1">
            <x v="4"/>
          </reference>
        </references>
      </pivotArea>
    </format>
    <format dxfId="513">
      <pivotArea dataOnly="0" labelOnly="1" outline="0" fieldPosition="0">
        <references count="5">
          <reference field="0" count="1" selected="0">
            <x v="79"/>
          </reference>
          <reference field="1" count="1" selected="0">
            <x v="9"/>
          </reference>
          <reference field="2" count="1" selected="0">
            <x v="3"/>
          </reference>
          <reference field="3" count="1" selected="0">
            <x v="0"/>
          </reference>
          <reference field="4" count="1">
            <x v="0"/>
          </reference>
        </references>
      </pivotArea>
    </format>
    <format dxfId="512">
      <pivotArea dataOnly="0" labelOnly="1" outline="0" fieldPosition="0">
        <references count="5">
          <reference field="0" count="1" selected="0">
            <x v="80"/>
          </reference>
          <reference field="1" count="1" selected="0">
            <x v="48"/>
          </reference>
          <reference field="2" count="1" selected="0">
            <x v="5"/>
          </reference>
          <reference field="3" count="1" selected="0">
            <x v="7"/>
          </reference>
          <reference field="4" count="1">
            <x v="2"/>
          </reference>
        </references>
      </pivotArea>
    </format>
    <format dxfId="511">
      <pivotArea dataOnly="0" labelOnly="1" outline="0" fieldPosition="0">
        <references count="5">
          <reference field="0" count="1" selected="0">
            <x v="81"/>
          </reference>
          <reference field="1" count="1" selected="0">
            <x v="54"/>
          </reference>
          <reference field="2" count="1" selected="0">
            <x v="2"/>
          </reference>
          <reference field="3" count="1" selected="0">
            <x v="1"/>
          </reference>
          <reference field="4" count="1">
            <x v="4"/>
          </reference>
        </references>
      </pivotArea>
    </format>
    <format dxfId="510">
      <pivotArea dataOnly="0" labelOnly="1" outline="0" fieldPosition="0">
        <references count="5">
          <reference field="0" count="1" selected="0">
            <x v="82"/>
          </reference>
          <reference field="1" count="1" selected="0">
            <x v="52"/>
          </reference>
          <reference field="2" count="1" selected="0">
            <x v="1"/>
          </reference>
          <reference field="3" count="1" selected="0">
            <x v="1"/>
          </reference>
          <reference field="4" count="1">
            <x v="0"/>
          </reference>
        </references>
      </pivotArea>
    </format>
    <format dxfId="509">
      <pivotArea dataOnly="0" labelOnly="1" outline="0" fieldPosition="0">
        <references count="5">
          <reference field="0" count="1" selected="0">
            <x v="84"/>
          </reference>
          <reference field="1" count="1" selected="0">
            <x v="39"/>
          </reference>
          <reference field="2" count="1" selected="0">
            <x v="2"/>
          </reference>
          <reference field="3" count="1" selected="0">
            <x v="2"/>
          </reference>
          <reference field="4" count="1">
            <x v="4"/>
          </reference>
        </references>
      </pivotArea>
    </format>
    <format dxfId="508">
      <pivotArea dataOnly="0" labelOnly="1" outline="0" fieldPosition="0">
        <references count="5">
          <reference field="0" count="1" selected="0">
            <x v="85"/>
          </reference>
          <reference field="1" count="1" selected="0">
            <x v="10"/>
          </reference>
          <reference field="2" count="1" selected="0">
            <x v="4"/>
          </reference>
          <reference field="3" count="1" selected="0">
            <x v="0"/>
          </reference>
          <reference field="4" count="1">
            <x v="2"/>
          </reference>
        </references>
      </pivotArea>
    </format>
    <format dxfId="507">
      <pivotArea dataOnly="0" labelOnly="1" outline="0" fieldPosition="0">
        <references count="5">
          <reference field="0" count="1" selected="0">
            <x v="86"/>
          </reference>
          <reference field="1" count="1" selected="0">
            <x v="29"/>
          </reference>
          <reference field="2" count="1" selected="0">
            <x v="1"/>
          </reference>
          <reference field="3" count="1" selected="0">
            <x v="1"/>
          </reference>
          <reference field="4" count="1">
            <x v="1"/>
          </reference>
        </references>
      </pivotArea>
    </format>
    <format dxfId="506">
      <pivotArea dataOnly="0" labelOnly="1" outline="0" fieldPosition="0">
        <references count="5">
          <reference field="0" count="1" selected="0">
            <x v="87"/>
          </reference>
          <reference field="1" count="1" selected="0">
            <x v="4"/>
          </reference>
          <reference field="2" count="1" selected="0">
            <x v="0"/>
          </reference>
          <reference field="3" count="1" selected="0">
            <x v="1"/>
          </reference>
          <reference field="4" count="1">
            <x v="0"/>
          </reference>
        </references>
      </pivotArea>
    </format>
    <format dxfId="505">
      <pivotArea dataOnly="0" labelOnly="1" outline="0" fieldPosition="0">
        <references count="5">
          <reference field="0" count="1" selected="0">
            <x v="88"/>
          </reference>
          <reference field="1" count="1" selected="0">
            <x v="2"/>
          </reference>
          <reference field="2" count="1" selected="0">
            <x v="3"/>
          </reference>
          <reference field="3" count="1" selected="0">
            <x v="1"/>
          </reference>
          <reference field="4" count="1">
            <x v="3"/>
          </reference>
        </references>
      </pivotArea>
    </format>
    <format dxfId="504">
      <pivotArea dataOnly="0" labelOnly="1" outline="0" fieldPosition="0">
        <references count="5">
          <reference field="0" count="1" selected="0">
            <x v="89"/>
          </reference>
          <reference field="1" count="1" selected="0">
            <x v="52"/>
          </reference>
          <reference field="2" count="1" selected="0">
            <x v="1"/>
          </reference>
          <reference field="3" count="1" selected="0">
            <x v="3"/>
          </reference>
          <reference field="4" count="1">
            <x v="0"/>
          </reference>
        </references>
      </pivotArea>
    </format>
    <format dxfId="503">
      <pivotArea dataOnly="0" labelOnly="1" outline="0" fieldPosition="0">
        <references count="5">
          <reference field="0" count="1" selected="0">
            <x v="90"/>
          </reference>
          <reference field="1" count="1" selected="0">
            <x v="37"/>
          </reference>
          <reference field="2" count="1" selected="0">
            <x v="1"/>
          </reference>
          <reference field="3" count="1" selected="0">
            <x v="1"/>
          </reference>
          <reference field="4" count="1">
            <x v="2"/>
          </reference>
        </references>
      </pivotArea>
    </format>
    <format dxfId="502">
      <pivotArea dataOnly="0" labelOnly="1" outline="0" fieldPosition="0">
        <references count="5">
          <reference field="0" count="1" selected="0">
            <x v="91"/>
          </reference>
          <reference field="1" count="1" selected="0">
            <x v="51"/>
          </reference>
          <reference field="2" count="1" selected="0">
            <x v="0"/>
          </reference>
          <reference field="3" count="1" selected="0">
            <x v="4"/>
          </reference>
          <reference field="4" count="1">
            <x v="0"/>
          </reference>
        </references>
      </pivotArea>
    </format>
    <format dxfId="501">
      <pivotArea dataOnly="0" labelOnly="1" outline="0" fieldPosition="0">
        <references count="5">
          <reference field="0" count="1" selected="0">
            <x v="93"/>
          </reference>
          <reference field="1" count="1" selected="0">
            <x v="5"/>
          </reference>
          <reference field="2" count="1" selected="0">
            <x v="0"/>
          </reference>
          <reference field="3" count="1" selected="0">
            <x v="7"/>
          </reference>
          <reference field="4" count="1">
            <x v="4"/>
          </reference>
        </references>
      </pivotArea>
    </format>
    <format dxfId="500">
      <pivotArea dataOnly="0" labelOnly="1" outline="0" fieldPosition="0">
        <references count="5">
          <reference field="0" count="1" selected="0">
            <x v="94"/>
          </reference>
          <reference field="1" count="1" selected="0">
            <x v="42"/>
          </reference>
          <reference field="2" count="1" selected="0">
            <x v="2"/>
          </reference>
          <reference field="3" count="1" selected="0">
            <x v="2"/>
          </reference>
          <reference field="4" count="1">
            <x v="1"/>
          </reference>
        </references>
      </pivotArea>
    </format>
    <format dxfId="499">
      <pivotArea dataOnly="0" labelOnly="1" outline="0" fieldPosition="0">
        <references count="5">
          <reference field="0" count="1" selected="0">
            <x v="95"/>
          </reference>
          <reference field="1" count="1" selected="0">
            <x v="51"/>
          </reference>
          <reference field="2" count="1" selected="0">
            <x v="0"/>
          </reference>
          <reference field="3" count="1" selected="0">
            <x v="6"/>
          </reference>
          <reference field="4" count="1">
            <x v="4"/>
          </reference>
        </references>
      </pivotArea>
    </format>
    <format dxfId="498">
      <pivotArea dataOnly="0" labelOnly="1" outline="0" fieldPosition="0">
        <references count="5">
          <reference field="0" count="1" selected="0">
            <x v="96"/>
          </reference>
          <reference field="1" count="1" selected="0">
            <x v="31"/>
          </reference>
          <reference field="2" count="1" selected="0">
            <x v="3"/>
          </reference>
          <reference field="3" count="1" selected="0">
            <x v="0"/>
          </reference>
          <reference field="4" count="1">
            <x v="2"/>
          </reference>
        </references>
      </pivotArea>
    </format>
    <format dxfId="497">
      <pivotArea dataOnly="0" labelOnly="1" outline="0" fieldPosition="0">
        <references count="5">
          <reference field="0" count="1" selected="0">
            <x v="97"/>
          </reference>
          <reference field="1" count="1" selected="0">
            <x v="38"/>
          </reference>
          <reference field="2" count="1" selected="0">
            <x v="5"/>
          </reference>
          <reference field="3" count="1" selected="0">
            <x v="5"/>
          </reference>
          <reference field="4" count="1">
            <x v="4"/>
          </reference>
        </references>
      </pivotArea>
    </format>
    <format dxfId="496">
      <pivotArea dataOnly="0" labelOnly="1" outline="0" fieldPosition="0">
        <references count="5">
          <reference field="0" count="1" selected="0">
            <x v="98"/>
          </reference>
          <reference field="1" count="1" selected="0">
            <x v="1"/>
          </reference>
          <reference field="2" count="1" selected="0">
            <x v="5"/>
          </reference>
          <reference field="3" count="1" selected="0">
            <x v="1"/>
          </reference>
          <reference field="4" count="1">
            <x v="3"/>
          </reference>
        </references>
      </pivotArea>
    </format>
    <format dxfId="495">
      <pivotArea dataOnly="0" labelOnly="1" outline="0" fieldPosition="0">
        <references count="5">
          <reference field="0" count="1" selected="0">
            <x v="99"/>
          </reference>
          <reference field="1" count="1" selected="0">
            <x v="27"/>
          </reference>
          <reference field="2" count="1" selected="0">
            <x v="0"/>
          </reference>
          <reference field="3" count="1" selected="0">
            <x v="5"/>
          </reference>
          <reference field="4" count="1">
            <x v="1"/>
          </reference>
        </references>
      </pivotArea>
    </format>
    <format dxfId="494">
      <pivotArea dataOnly="0" labelOnly="1" outline="0" fieldPosition="0">
        <references count="5">
          <reference field="0" count="1" selected="0">
            <x v="100"/>
          </reference>
          <reference field="1" count="1" selected="0">
            <x v="5"/>
          </reference>
          <reference field="2" count="1" selected="0">
            <x v="0"/>
          </reference>
          <reference field="3" count="1" selected="0">
            <x v="1"/>
          </reference>
          <reference field="4" count="1">
            <x v="3"/>
          </reference>
        </references>
      </pivotArea>
    </format>
    <format dxfId="493">
      <pivotArea dataOnly="0" labelOnly="1" outline="0" fieldPosition="0">
        <references count="5">
          <reference field="0" count="1" selected="0">
            <x v="101"/>
          </reference>
          <reference field="1" count="1" selected="0">
            <x v="49"/>
          </reference>
          <reference field="2" count="1" selected="0">
            <x v="3"/>
          </reference>
          <reference field="3" count="1" selected="0">
            <x v="4"/>
          </reference>
          <reference field="4" count="1">
            <x v="0"/>
          </reference>
        </references>
      </pivotArea>
    </format>
    <format dxfId="492">
      <pivotArea dataOnly="0" labelOnly="1" outline="0" fieldPosition="0">
        <references count="5">
          <reference field="0" count="1" selected="0">
            <x v="103"/>
          </reference>
          <reference field="1" count="1" selected="0">
            <x v="42"/>
          </reference>
          <reference field="2" count="1" selected="0">
            <x v="2"/>
          </reference>
          <reference field="3" count="1" selected="0">
            <x v="7"/>
          </reference>
          <reference field="4" count="1">
            <x v="4"/>
          </reference>
        </references>
      </pivotArea>
    </format>
    <format dxfId="491">
      <pivotArea dataOnly="0" labelOnly="1" outline="0" fieldPosition="0">
        <references count="5">
          <reference field="0" count="1" selected="0">
            <x v="104"/>
          </reference>
          <reference field="1" count="1" selected="0">
            <x v="25"/>
          </reference>
          <reference field="2" count="1" selected="0">
            <x v="1"/>
          </reference>
          <reference field="3" count="1" selected="0">
            <x v="2"/>
          </reference>
          <reference field="4" count="1">
            <x v="1"/>
          </reference>
        </references>
      </pivotArea>
    </format>
    <format dxfId="490">
      <pivotArea dataOnly="0" labelOnly="1" outline="0" fieldPosition="0">
        <references count="5">
          <reference field="0" count="1" selected="0">
            <x v="105"/>
          </reference>
          <reference field="1" count="1" selected="0">
            <x v="26"/>
          </reference>
          <reference field="2" count="1" selected="0">
            <x v="5"/>
          </reference>
          <reference field="3" count="1" selected="0">
            <x v="7"/>
          </reference>
          <reference field="4" count="1">
            <x v="0"/>
          </reference>
        </references>
      </pivotArea>
    </format>
    <format dxfId="489">
      <pivotArea dataOnly="0" labelOnly="1" outline="0" fieldPosition="0">
        <references count="5">
          <reference field="0" count="1" selected="0">
            <x v="106"/>
          </reference>
          <reference field="1" count="1" selected="0">
            <x v="6"/>
          </reference>
          <reference field="2" count="1" selected="0">
            <x v="3"/>
          </reference>
          <reference field="3" count="1" selected="0">
            <x v="3"/>
          </reference>
          <reference field="4" count="1">
            <x v="1"/>
          </reference>
        </references>
      </pivotArea>
    </format>
    <format dxfId="488">
      <pivotArea dataOnly="0" labelOnly="1" outline="0" fieldPosition="0">
        <references count="5">
          <reference field="0" count="1" selected="0">
            <x v="107"/>
          </reference>
          <reference field="1" count="1" selected="0">
            <x v="0"/>
          </reference>
          <reference field="2" count="1" selected="0">
            <x v="0"/>
          </reference>
          <reference field="3" count="1" selected="0">
            <x v="4"/>
          </reference>
          <reference field="4" count="1">
            <x v="4"/>
          </reference>
        </references>
      </pivotArea>
    </format>
    <format dxfId="487">
      <pivotArea dataOnly="0" labelOnly="1" outline="0" fieldPosition="0">
        <references count="5">
          <reference field="0" count="1" selected="0">
            <x v="108"/>
          </reference>
          <reference field="1" count="1" selected="0">
            <x v="44"/>
          </reference>
          <reference field="2" count="1" selected="0">
            <x v="5"/>
          </reference>
          <reference field="3" count="1" selected="0">
            <x v="7"/>
          </reference>
          <reference field="4" count="1">
            <x v="3"/>
          </reference>
        </references>
      </pivotArea>
    </format>
    <format dxfId="486">
      <pivotArea dataOnly="0" labelOnly="1" outline="0" fieldPosition="0">
        <references count="5">
          <reference field="0" count="1" selected="0">
            <x v="111"/>
          </reference>
          <reference field="1" count="1" selected="0">
            <x v="49"/>
          </reference>
          <reference field="2" count="1" selected="0">
            <x v="3"/>
          </reference>
          <reference field="3" count="1" selected="0">
            <x v="3"/>
          </reference>
          <reference field="4" count="1">
            <x v="4"/>
          </reference>
        </references>
      </pivotArea>
    </format>
    <format dxfId="485">
      <pivotArea dataOnly="0" labelOnly="1" outline="0" fieldPosition="0">
        <references count="5">
          <reference field="0" count="1" selected="0">
            <x v="112"/>
          </reference>
          <reference field="1" count="1" selected="0">
            <x v="57"/>
          </reference>
          <reference field="2" count="1" selected="0">
            <x v="0"/>
          </reference>
          <reference field="3" count="1" selected="0">
            <x v="5"/>
          </reference>
          <reference field="4" count="1">
            <x v="3"/>
          </reference>
        </references>
      </pivotArea>
    </format>
    <format dxfId="484">
      <pivotArea dataOnly="0" labelOnly="1" outline="0" fieldPosition="0">
        <references count="5">
          <reference field="0" count="1" selected="0">
            <x v="115"/>
          </reference>
          <reference field="1" count="1" selected="0">
            <x v="1"/>
          </reference>
          <reference field="2" count="1" selected="0">
            <x v="5"/>
          </reference>
          <reference field="3" count="1" selected="0">
            <x v="6"/>
          </reference>
          <reference field="4" count="1">
            <x v="2"/>
          </reference>
        </references>
      </pivotArea>
    </format>
    <format dxfId="483">
      <pivotArea dataOnly="0" labelOnly="1" outline="0" fieldPosition="0">
        <references count="5">
          <reference field="0" count="1" selected="0">
            <x v="116"/>
          </reference>
          <reference field="1" count="1" selected="0">
            <x v="37"/>
          </reference>
          <reference field="2" count="1" selected="0">
            <x v="1"/>
          </reference>
          <reference field="3" count="1" selected="0">
            <x v="6"/>
          </reference>
          <reference field="4" count="1">
            <x v="3"/>
          </reference>
        </references>
      </pivotArea>
    </format>
    <format dxfId="482">
      <pivotArea dataOnly="0" labelOnly="1" outline="0" fieldPosition="0">
        <references count="5">
          <reference field="0" count="1" selected="0">
            <x v="117"/>
          </reference>
          <reference field="1" count="1" selected="0">
            <x v="39"/>
          </reference>
          <reference field="2" count="1" selected="0">
            <x v="2"/>
          </reference>
          <reference field="3" count="1" selected="0">
            <x v="5"/>
          </reference>
          <reference field="4" count="1">
            <x v="1"/>
          </reference>
        </references>
      </pivotArea>
    </format>
    <format dxfId="481">
      <pivotArea dataOnly="0" labelOnly="1" outline="0" fieldPosition="0">
        <references count="5">
          <reference field="0" count="1" selected="0">
            <x v="118"/>
          </reference>
          <reference field="1" count="1" selected="0">
            <x v="7"/>
          </reference>
          <reference field="2" count="1" selected="0">
            <x v="3"/>
          </reference>
          <reference field="3" count="1" selected="0">
            <x v="6"/>
          </reference>
          <reference field="4" count="1">
            <x v="0"/>
          </reference>
        </references>
      </pivotArea>
    </format>
    <format dxfId="480">
      <pivotArea dataOnly="0" labelOnly="1" outline="0" fieldPosition="0">
        <references count="5">
          <reference field="0" count="1" selected="0">
            <x v="119"/>
          </reference>
          <reference field="1" count="1" selected="0">
            <x v="44"/>
          </reference>
          <reference field="2" count="1" selected="0">
            <x v="5"/>
          </reference>
          <reference field="3" count="1" selected="0">
            <x v="1"/>
          </reference>
          <reference field="4" count="1">
            <x v="4"/>
          </reference>
        </references>
      </pivotArea>
    </format>
    <format dxfId="479">
      <pivotArea dataOnly="0" labelOnly="1" outline="0" fieldPosition="0">
        <references count="5">
          <reference field="0" count="1" selected="0">
            <x v="120"/>
          </reference>
          <reference field="1" count="1" selected="0">
            <x v="8"/>
          </reference>
          <reference field="2" count="1" selected="0">
            <x v="5"/>
          </reference>
          <reference field="3" count="1" selected="0">
            <x v="4"/>
          </reference>
          <reference field="4" count="1">
            <x v="2"/>
          </reference>
        </references>
      </pivotArea>
    </format>
    <format dxfId="478">
      <pivotArea dataOnly="0" labelOnly="1" outline="0" fieldPosition="0">
        <references count="5">
          <reference field="0" count="1" selected="0">
            <x v="121"/>
          </reference>
          <reference field="1" count="1" selected="0">
            <x v="50"/>
          </reference>
          <reference field="2" count="1" selected="0">
            <x v="3"/>
          </reference>
          <reference field="3" count="1" selected="0">
            <x v="6"/>
          </reference>
          <reference field="4" count="1">
            <x v="0"/>
          </reference>
        </references>
      </pivotArea>
    </format>
    <format dxfId="477">
      <pivotArea dataOnly="0" labelOnly="1" outline="0" fieldPosition="0">
        <references count="5">
          <reference field="0" count="1" selected="0">
            <x v="122"/>
          </reference>
          <reference field="1" count="1" selected="0">
            <x v="21"/>
          </reference>
          <reference field="2" count="1" selected="0">
            <x v="2"/>
          </reference>
          <reference field="3" count="1" selected="0">
            <x v="3"/>
          </reference>
          <reference field="4" count="1">
            <x v="3"/>
          </reference>
        </references>
      </pivotArea>
    </format>
    <format dxfId="476">
      <pivotArea dataOnly="0" labelOnly="1" outline="0" fieldPosition="0">
        <references count="5">
          <reference field="0" count="1" selected="0">
            <x v="123"/>
          </reference>
          <reference field="1" count="1" selected="0">
            <x v="39"/>
          </reference>
          <reference field="2" count="1" selected="0">
            <x v="2"/>
          </reference>
          <reference field="3" count="1" selected="0">
            <x v="1"/>
          </reference>
          <reference field="4" count="1">
            <x v="0"/>
          </reference>
        </references>
      </pivotArea>
    </format>
    <format dxfId="475">
      <pivotArea dataOnly="0" labelOnly="1" outline="0" fieldPosition="0">
        <references count="5">
          <reference field="0" count="1" selected="0">
            <x v="124"/>
          </reference>
          <reference field="1" count="1" selected="0">
            <x v="36"/>
          </reference>
          <reference field="2" count="1" selected="0">
            <x v="1"/>
          </reference>
          <reference field="3" count="1" selected="0">
            <x v="5"/>
          </reference>
          <reference field="4" count="1">
            <x v="1"/>
          </reference>
        </references>
      </pivotArea>
    </format>
    <format dxfId="474">
      <pivotArea dataOnly="0" labelOnly="1" outline="0" fieldPosition="0">
        <references count="5">
          <reference field="0" count="1" selected="0">
            <x v="125"/>
          </reference>
          <reference field="1" count="1" selected="0">
            <x v="2"/>
          </reference>
          <reference field="2" count="1" selected="0">
            <x v="3"/>
          </reference>
          <reference field="3" count="1" selected="0">
            <x v="5"/>
          </reference>
          <reference field="4" count="1">
            <x v="2"/>
          </reference>
        </references>
      </pivotArea>
    </format>
    <format dxfId="473">
      <pivotArea dataOnly="0" labelOnly="1" outline="0" fieldPosition="0">
        <references count="5">
          <reference field="0" count="1" selected="0">
            <x v="126"/>
          </reference>
          <reference field="1" count="1" selected="0">
            <x v="2"/>
          </reference>
          <reference field="2" count="1" selected="0">
            <x v="3"/>
          </reference>
          <reference field="3" count="1" selected="0">
            <x v="0"/>
          </reference>
          <reference field="4" count="1">
            <x v="0"/>
          </reference>
        </references>
      </pivotArea>
    </format>
    <format dxfId="472">
      <pivotArea dataOnly="0" labelOnly="1" outline="0" fieldPosition="0">
        <references count="5">
          <reference field="0" count="1" selected="0">
            <x v="127"/>
          </reference>
          <reference field="1" count="1" selected="0">
            <x v="35"/>
          </reference>
          <reference field="2" count="1" selected="0">
            <x v="4"/>
          </reference>
          <reference field="3" count="1" selected="0">
            <x v="4"/>
          </reference>
          <reference field="4" count="1">
            <x v="2"/>
          </reference>
        </references>
      </pivotArea>
    </format>
    <format dxfId="471">
      <pivotArea dataOnly="0" labelOnly="1" outline="0" fieldPosition="0">
        <references count="5">
          <reference field="0" count="1" selected="0">
            <x v="128"/>
          </reference>
          <reference field="1" count="1" selected="0">
            <x v="12"/>
          </reference>
          <reference field="2" count="1" selected="0">
            <x v="4"/>
          </reference>
          <reference field="3" count="1" selected="0">
            <x v="6"/>
          </reference>
          <reference field="4" count="1">
            <x v="0"/>
          </reference>
        </references>
      </pivotArea>
    </format>
    <format dxfId="470">
      <pivotArea dataOnly="0" labelOnly="1" outline="0" fieldPosition="0">
        <references count="5">
          <reference field="0" count="1" selected="0">
            <x v="129"/>
          </reference>
          <reference field="1" count="1" selected="0">
            <x v="1"/>
          </reference>
          <reference field="2" count="1" selected="0">
            <x v="5"/>
          </reference>
          <reference field="3" count="1" selected="0">
            <x v="5"/>
          </reference>
          <reference field="4" count="1">
            <x v="2"/>
          </reference>
        </references>
      </pivotArea>
    </format>
    <format dxfId="469">
      <pivotArea dataOnly="0" labelOnly="1" outline="0" fieldPosition="0">
        <references count="5">
          <reference field="0" count="1" selected="0">
            <x v="131"/>
          </reference>
          <reference field="1" count="1" selected="0">
            <x v="40"/>
          </reference>
          <reference field="2" count="1" selected="0">
            <x v="2"/>
          </reference>
          <reference field="3" count="1" selected="0">
            <x v="7"/>
          </reference>
          <reference field="4" count="1">
            <x v="1"/>
          </reference>
        </references>
      </pivotArea>
    </format>
    <format dxfId="468">
      <pivotArea dataOnly="0" labelOnly="1" outline="0" fieldPosition="0">
        <references count="5">
          <reference field="0" count="1" selected="0">
            <x v="132"/>
          </reference>
          <reference field="1" count="1" selected="0">
            <x v="14"/>
          </reference>
          <reference field="2" count="1" selected="0">
            <x v="4"/>
          </reference>
          <reference field="3" count="1" selected="0">
            <x v="3"/>
          </reference>
          <reference field="4" count="1">
            <x v="2"/>
          </reference>
        </references>
      </pivotArea>
    </format>
    <format dxfId="467">
      <pivotArea dataOnly="0" labelOnly="1" outline="0" fieldPosition="0">
        <references count="5">
          <reference field="0" count="1" selected="0">
            <x v="133"/>
          </reference>
          <reference field="1" count="1" selected="0">
            <x v="24"/>
          </reference>
          <reference field="2" count="1" selected="0">
            <x v="0"/>
          </reference>
          <reference field="3" count="1" selected="0">
            <x v="0"/>
          </reference>
          <reference field="4" count="1">
            <x v="0"/>
          </reference>
        </references>
      </pivotArea>
    </format>
    <format dxfId="466">
      <pivotArea dataOnly="0" labelOnly="1" outline="0" fieldPosition="0">
        <references count="5">
          <reference field="0" count="1" selected="0">
            <x v="136"/>
          </reference>
          <reference field="1" count="1" selected="0">
            <x v="52"/>
          </reference>
          <reference field="2" count="1" selected="0">
            <x v="1"/>
          </reference>
          <reference field="3" count="1" selected="0">
            <x v="5"/>
          </reference>
          <reference field="4" count="1">
            <x v="2"/>
          </reference>
        </references>
      </pivotArea>
    </format>
    <format dxfId="465">
      <pivotArea dataOnly="0" labelOnly="1" outline="0" fieldPosition="0">
        <references count="5">
          <reference field="0" count="1" selected="0">
            <x v="137"/>
          </reference>
          <reference field="1" count="1" selected="0">
            <x v="39"/>
          </reference>
          <reference field="2" count="1" selected="0">
            <x v="2"/>
          </reference>
          <reference field="3" count="1" selected="0">
            <x v="0"/>
          </reference>
          <reference field="4" count="1">
            <x v="1"/>
          </reference>
        </references>
      </pivotArea>
    </format>
    <format dxfId="464">
      <pivotArea dataOnly="0" labelOnly="1" outline="0" fieldPosition="0">
        <references count="5">
          <reference field="0" count="1" selected="0">
            <x v="138"/>
          </reference>
          <reference field="1" count="1" selected="0">
            <x v="45"/>
          </reference>
          <reference field="2" count="1" selected="0">
            <x v="5"/>
          </reference>
          <reference field="3" count="1" selected="0">
            <x v="4"/>
          </reference>
          <reference field="4" count="1">
            <x v="2"/>
          </reference>
        </references>
      </pivotArea>
    </format>
    <format dxfId="463">
      <pivotArea dataOnly="0" labelOnly="1" outline="0" fieldPosition="0">
        <references count="5">
          <reference field="0" count="1" selected="0">
            <x v="139"/>
          </reference>
          <reference field="1" count="1" selected="0">
            <x v="8"/>
          </reference>
          <reference field="2" count="1" selected="0">
            <x v="5"/>
          </reference>
          <reference field="3" count="1" selected="0">
            <x v="4"/>
          </reference>
          <reference field="4" count="1">
            <x v="4"/>
          </reference>
        </references>
      </pivotArea>
    </format>
    <format dxfId="462">
      <pivotArea dataOnly="0" labelOnly="1" outline="0" fieldPosition="0">
        <references count="5">
          <reference field="0" count="1" selected="0">
            <x v="140"/>
          </reference>
          <reference field="1" count="1" selected="0">
            <x v="40"/>
          </reference>
          <reference field="2" count="1" selected="0">
            <x v="2"/>
          </reference>
          <reference field="3" count="1" selected="0">
            <x v="6"/>
          </reference>
          <reference field="4" count="1">
            <x v="3"/>
          </reference>
        </references>
      </pivotArea>
    </format>
    <format dxfId="461">
      <pivotArea dataOnly="0" labelOnly="1" outline="0" fieldPosition="0">
        <references count="5">
          <reference field="0" count="1" selected="0">
            <x v="141"/>
          </reference>
          <reference field="1" count="1" selected="0">
            <x v="1"/>
          </reference>
          <reference field="2" count="1" selected="0">
            <x v="5"/>
          </reference>
          <reference field="3" count="1" selected="0">
            <x v="0"/>
          </reference>
          <reference field="4" count="1">
            <x v="0"/>
          </reference>
        </references>
      </pivotArea>
    </format>
    <format dxfId="460">
      <pivotArea dataOnly="0" labelOnly="1" outline="0" fieldPosition="0">
        <references count="5">
          <reference field="0" count="1" selected="0">
            <x v="142"/>
          </reference>
          <reference field="1" count="1" selected="0">
            <x v="34"/>
          </reference>
          <reference field="2" count="1" selected="0">
            <x v="5"/>
          </reference>
          <reference field="3" count="1" selected="0">
            <x v="1"/>
          </reference>
          <reference field="4" count="1">
            <x v="3"/>
          </reference>
        </references>
      </pivotArea>
    </format>
    <format dxfId="459">
      <pivotArea dataOnly="0" labelOnly="1" outline="0" fieldPosition="0">
        <references count="5">
          <reference field="0" count="1" selected="0">
            <x v="143"/>
          </reference>
          <reference field="1" count="1" selected="0">
            <x v="25"/>
          </reference>
          <reference field="2" count="1" selected="0">
            <x v="1"/>
          </reference>
          <reference field="3" count="1" selected="0">
            <x v="0"/>
          </reference>
          <reference field="4" count="1">
            <x v="1"/>
          </reference>
        </references>
      </pivotArea>
    </format>
    <format dxfId="458">
      <pivotArea dataOnly="0" labelOnly="1" outline="0" fieldPosition="0">
        <references count="5">
          <reference field="0" count="1" selected="0">
            <x v="145"/>
          </reference>
          <reference field="1" count="1" selected="0">
            <x v="58"/>
          </reference>
          <reference field="2" count="1" selected="0">
            <x v="1"/>
          </reference>
          <reference field="3" count="1" selected="0">
            <x v="2"/>
          </reference>
          <reference field="4" count="1">
            <x v="4"/>
          </reference>
        </references>
      </pivotArea>
    </format>
    <format dxfId="457">
      <pivotArea dataOnly="0" labelOnly="1" outline="0" fieldPosition="0">
        <references count="5">
          <reference field="0" count="1" selected="0">
            <x v="146"/>
          </reference>
          <reference field="1" count="1" selected="0">
            <x v="4"/>
          </reference>
          <reference field="2" count="1" selected="0">
            <x v="0"/>
          </reference>
          <reference field="3" count="1" selected="0">
            <x v="2"/>
          </reference>
          <reference field="4" count="1">
            <x v="1"/>
          </reference>
        </references>
      </pivotArea>
    </format>
    <format dxfId="456">
      <pivotArea dataOnly="0" labelOnly="1" outline="0" fieldPosition="0">
        <references count="5">
          <reference field="0" count="1" selected="0">
            <x v="147"/>
          </reference>
          <reference field="1" count="1" selected="0">
            <x v="42"/>
          </reference>
          <reference field="2" count="1" selected="0">
            <x v="2"/>
          </reference>
          <reference field="3" count="1" selected="0">
            <x v="5"/>
          </reference>
          <reference field="4" count="1">
            <x v="2"/>
          </reference>
        </references>
      </pivotArea>
    </format>
    <format dxfId="455">
      <pivotArea dataOnly="0" labelOnly="1" outline="0" fieldPosition="0">
        <references count="5">
          <reference field="0" count="1" selected="0">
            <x v="148"/>
          </reference>
          <reference field="1" count="1" selected="0">
            <x v="19"/>
          </reference>
          <reference field="2" count="1" selected="0">
            <x v="5"/>
          </reference>
          <reference field="3" count="1" selected="0">
            <x v="7"/>
          </reference>
          <reference field="4" count="1">
            <x v="0"/>
          </reference>
        </references>
      </pivotArea>
    </format>
    <format dxfId="454">
      <pivotArea dataOnly="0" labelOnly="1" outline="0" fieldPosition="0">
        <references count="5">
          <reference field="0" count="1" selected="0">
            <x v="149"/>
          </reference>
          <reference field="1" count="1" selected="0">
            <x v="6"/>
          </reference>
          <reference field="2" count="1" selected="0">
            <x v="3"/>
          </reference>
          <reference field="3" count="1" selected="0">
            <x v="3"/>
          </reference>
          <reference field="4" count="1">
            <x v="2"/>
          </reference>
        </references>
      </pivotArea>
    </format>
    <format dxfId="453">
      <pivotArea dataOnly="0" labelOnly="1" outline="0" fieldPosition="0">
        <references count="5">
          <reference field="0" count="1" selected="0">
            <x v="150"/>
          </reference>
          <reference field="1" count="1" selected="0">
            <x v="55"/>
          </reference>
          <reference field="2" count="1" selected="0">
            <x v="1"/>
          </reference>
          <reference field="3" count="1" selected="0">
            <x v="7"/>
          </reference>
          <reference field="4" count="1">
            <x v="0"/>
          </reference>
        </references>
      </pivotArea>
    </format>
    <format dxfId="452">
      <pivotArea dataOnly="0" labelOnly="1" outline="0" fieldPosition="0">
        <references count="5">
          <reference field="0" count="1" selected="0">
            <x v="151"/>
          </reference>
          <reference field="1" count="1" selected="0">
            <x v="18"/>
          </reference>
          <reference field="2" count="1" selected="0">
            <x v="2"/>
          </reference>
          <reference field="3" count="1" selected="0">
            <x v="6"/>
          </reference>
          <reference field="4" count="1">
            <x v="3"/>
          </reference>
        </references>
      </pivotArea>
    </format>
    <format dxfId="451">
      <pivotArea dataOnly="0" labelOnly="1" outline="0" fieldPosition="0">
        <references count="5">
          <reference field="0" count="1" selected="0">
            <x v="152"/>
          </reference>
          <reference field="1" count="1" selected="0">
            <x v="25"/>
          </reference>
          <reference field="2" count="1" selected="0">
            <x v="1"/>
          </reference>
          <reference field="3" count="1" selected="0">
            <x v="1"/>
          </reference>
          <reference field="4" count="1">
            <x v="4"/>
          </reference>
        </references>
      </pivotArea>
    </format>
    <format dxfId="450">
      <pivotArea dataOnly="0" labelOnly="1" outline="0" fieldPosition="0">
        <references count="5">
          <reference field="0" count="1" selected="0">
            <x v="153"/>
          </reference>
          <reference field="1" count="1" selected="0">
            <x v="1"/>
          </reference>
          <reference field="2" count="1" selected="0">
            <x v="5"/>
          </reference>
          <reference field="3" count="1" selected="0">
            <x v="1"/>
          </reference>
          <reference field="4" count="1">
            <x v="3"/>
          </reference>
        </references>
      </pivotArea>
    </format>
    <format dxfId="449">
      <pivotArea dataOnly="0" labelOnly="1" outline="0" fieldPosition="0">
        <references count="5">
          <reference field="0" count="1" selected="0">
            <x v="154"/>
          </reference>
          <reference field="1" count="1" selected="0">
            <x v="44"/>
          </reference>
          <reference field="2" count="1" selected="0">
            <x v="5"/>
          </reference>
          <reference field="3" count="1" selected="0">
            <x v="1"/>
          </reference>
          <reference field="4" count="1">
            <x v="1"/>
          </reference>
        </references>
      </pivotArea>
    </format>
    <format dxfId="448">
      <pivotArea dataOnly="0" labelOnly="1" outline="0" fieldPosition="0">
        <references count="5">
          <reference field="0" count="1" selected="0">
            <x v="155"/>
          </reference>
          <reference field="1" count="1" selected="0">
            <x v="34"/>
          </reference>
          <reference field="2" count="1" selected="0">
            <x v="5"/>
          </reference>
          <reference field="3" count="1" selected="0">
            <x v="5"/>
          </reference>
          <reference field="4" count="1">
            <x v="4"/>
          </reference>
        </references>
      </pivotArea>
    </format>
    <format dxfId="447">
      <pivotArea dataOnly="0" labelOnly="1" outline="0" fieldPosition="0">
        <references count="5">
          <reference field="0" count="1" selected="0">
            <x v="156"/>
          </reference>
          <reference field="1" count="1" selected="0">
            <x v="29"/>
          </reference>
          <reference field="2" count="1" selected="0">
            <x v="1"/>
          </reference>
          <reference field="3" count="1" selected="0">
            <x v="5"/>
          </reference>
          <reference field="4" count="1">
            <x v="1"/>
          </reference>
        </references>
      </pivotArea>
    </format>
    <format dxfId="446">
      <pivotArea dataOnly="0" labelOnly="1" outline="0" fieldPosition="0">
        <references count="5">
          <reference field="0" count="1" selected="0">
            <x v="157"/>
          </reference>
          <reference field="1" count="1" selected="0">
            <x v="38"/>
          </reference>
          <reference field="2" count="1" selected="0">
            <x v="5"/>
          </reference>
          <reference field="3" count="1" selected="0">
            <x v="4"/>
          </reference>
          <reference field="4" count="1">
            <x v="3"/>
          </reference>
        </references>
      </pivotArea>
    </format>
    <format dxfId="445">
      <pivotArea dataOnly="0" labelOnly="1" outline="0" fieldPosition="0">
        <references count="5">
          <reference field="0" count="1" selected="0">
            <x v="158"/>
          </reference>
          <reference field="1" count="1" selected="0">
            <x v="29"/>
          </reference>
          <reference field="2" count="1" selected="0">
            <x v="1"/>
          </reference>
          <reference field="3" count="1" selected="0">
            <x v="4"/>
          </reference>
          <reference field="4" count="1">
            <x v="2"/>
          </reference>
        </references>
      </pivotArea>
    </format>
    <format dxfId="444">
      <pivotArea dataOnly="0" labelOnly="1" outline="0" fieldPosition="0">
        <references count="5">
          <reference field="0" count="1" selected="0">
            <x v="159"/>
          </reference>
          <reference field="1" count="1" selected="0">
            <x v="57"/>
          </reference>
          <reference field="2" count="1" selected="0">
            <x v="0"/>
          </reference>
          <reference field="3" count="1" selected="0">
            <x v="2"/>
          </reference>
          <reference field="4" count="1">
            <x v="3"/>
          </reference>
        </references>
      </pivotArea>
    </format>
    <format dxfId="443">
      <pivotArea dataOnly="0" labelOnly="1" outline="0" fieldPosition="0">
        <references count="5">
          <reference field="0" count="1" selected="0">
            <x v="160"/>
          </reference>
          <reference field="1" count="1" selected="0">
            <x v="27"/>
          </reference>
          <reference field="2" count="1" selected="0">
            <x v="0"/>
          </reference>
          <reference field="3" count="1" selected="0">
            <x v="5"/>
          </reference>
          <reference field="4" count="1">
            <x v="2"/>
          </reference>
        </references>
      </pivotArea>
    </format>
    <format dxfId="442">
      <pivotArea dataOnly="0" labelOnly="1" outline="0" fieldPosition="0">
        <references count="5">
          <reference field="0" count="1" selected="0">
            <x v="161"/>
          </reference>
          <reference field="1" count="1" selected="0">
            <x v="23"/>
          </reference>
          <reference field="2" count="1" selected="0">
            <x v="2"/>
          </reference>
          <reference field="3" count="1" selected="0">
            <x v="5"/>
          </reference>
          <reference field="4" count="1">
            <x v="1"/>
          </reference>
        </references>
      </pivotArea>
    </format>
    <format dxfId="441">
      <pivotArea dataOnly="0" labelOnly="1" outline="0" fieldPosition="0">
        <references count="5">
          <reference field="0" count="1" selected="0">
            <x v="162"/>
          </reference>
          <reference field="1" count="1" selected="0">
            <x v="13"/>
          </reference>
          <reference field="2" count="1" selected="0">
            <x v="3"/>
          </reference>
          <reference field="3" count="1" selected="0">
            <x v="5"/>
          </reference>
          <reference field="4" count="1">
            <x v="3"/>
          </reference>
        </references>
      </pivotArea>
    </format>
    <format dxfId="440">
      <pivotArea dataOnly="0" labelOnly="1" outline="0" fieldPosition="0">
        <references count="5">
          <reference field="0" count="1" selected="0">
            <x v="164"/>
          </reference>
          <reference field="1" count="1" selected="0">
            <x v="50"/>
          </reference>
          <reference field="2" count="1" selected="0">
            <x v="3"/>
          </reference>
          <reference field="3" count="1" selected="0">
            <x v="1"/>
          </reference>
          <reference field="4" count="1">
            <x v="2"/>
          </reference>
        </references>
      </pivotArea>
    </format>
    <format dxfId="439">
      <pivotArea dataOnly="0" labelOnly="1" outline="0" fieldPosition="0">
        <references count="5">
          <reference field="0" count="1" selected="0">
            <x v="165"/>
          </reference>
          <reference field="1" count="1" selected="0">
            <x v="48"/>
          </reference>
          <reference field="2" count="1" selected="0">
            <x v="5"/>
          </reference>
          <reference field="3" count="1" selected="0">
            <x v="6"/>
          </reference>
          <reference field="4" count="1">
            <x v="3"/>
          </reference>
        </references>
      </pivotArea>
    </format>
    <format dxfId="438">
      <pivotArea dataOnly="0" labelOnly="1" outline="0" fieldPosition="0">
        <references count="5">
          <reference field="0" count="1" selected="0">
            <x v="166"/>
          </reference>
          <reference field="1" count="1" selected="0">
            <x v="40"/>
          </reference>
          <reference field="2" count="1" selected="0">
            <x v="2"/>
          </reference>
          <reference field="3" count="1" selected="0">
            <x v="0"/>
          </reference>
          <reference field="4" count="1">
            <x v="1"/>
          </reference>
        </references>
      </pivotArea>
    </format>
    <format dxfId="437">
      <pivotArea dataOnly="0" labelOnly="1" outline="0" fieldPosition="0">
        <references count="5">
          <reference field="0" count="1" selected="0">
            <x v="168"/>
          </reference>
          <reference field="1" count="1" selected="0">
            <x v="11"/>
          </reference>
          <reference field="2" count="1" selected="0">
            <x v="4"/>
          </reference>
          <reference field="3" count="1" selected="0">
            <x v="1"/>
          </reference>
          <reference field="4" count="1">
            <x v="0"/>
          </reference>
        </references>
      </pivotArea>
    </format>
    <format dxfId="436">
      <pivotArea dataOnly="0" labelOnly="1" outline="0" fieldPosition="0">
        <references count="5">
          <reference field="0" count="1" selected="0">
            <x v="170"/>
          </reference>
          <reference field="1" count="1" selected="0">
            <x v="33"/>
          </reference>
          <reference field="2" count="1" selected="0">
            <x v="4"/>
          </reference>
          <reference field="3" count="1" selected="0">
            <x v="6"/>
          </reference>
          <reference field="4" count="1">
            <x v="4"/>
          </reference>
        </references>
      </pivotArea>
    </format>
    <format dxfId="435">
      <pivotArea dataOnly="0" labelOnly="1" outline="0" fieldPosition="0">
        <references count="5">
          <reference field="0" count="1" selected="0">
            <x v="171"/>
          </reference>
          <reference field="1" count="1" selected="0">
            <x v="7"/>
          </reference>
          <reference field="2" count="1" selected="0">
            <x v="3"/>
          </reference>
          <reference field="3" count="1" selected="0">
            <x v="3"/>
          </reference>
          <reference field="4" count="1">
            <x v="1"/>
          </reference>
        </references>
      </pivotArea>
    </format>
    <format dxfId="434">
      <pivotArea dataOnly="0" labelOnly="1" outline="0" fieldPosition="0">
        <references count="5">
          <reference field="0" count="1" selected="0">
            <x v="173"/>
          </reference>
          <reference field="1" count="1" selected="0">
            <x v="48"/>
          </reference>
          <reference field="2" count="1" selected="0">
            <x v="5"/>
          </reference>
          <reference field="3" count="1" selected="0">
            <x v="7"/>
          </reference>
          <reference field="4" count="1">
            <x v="3"/>
          </reference>
        </references>
      </pivotArea>
    </format>
    <format dxfId="433">
      <pivotArea dataOnly="0" labelOnly="1" outline="0" fieldPosition="0">
        <references count="5">
          <reference field="0" count="1" selected="0">
            <x v="174"/>
          </reference>
          <reference field="1" count="1" selected="0">
            <x v="23"/>
          </reference>
          <reference field="2" count="1" selected="0">
            <x v="2"/>
          </reference>
          <reference field="3" count="1" selected="0">
            <x v="3"/>
          </reference>
          <reference field="4" count="1">
            <x v="2"/>
          </reference>
        </references>
      </pivotArea>
    </format>
    <format dxfId="432">
      <pivotArea dataOnly="0" labelOnly="1" outline="0" fieldPosition="0">
        <references count="5">
          <reference field="0" count="1" selected="0">
            <x v="175"/>
          </reference>
          <reference field="1" count="1" selected="0">
            <x v="2"/>
          </reference>
          <reference field="2" count="1" selected="0">
            <x v="3"/>
          </reference>
          <reference field="3" count="1" selected="0">
            <x v="1"/>
          </reference>
          <reference field="4" count="1">
            <x v="0"/>
          </reference>
        </references>
      </pivotArea>
    </format>
    <format dxfId="431">
      <pivotArea dataOnly="0" labelOnly="1" outline="0" fieldPosition="0">
        <references count="5">
          <reference field="0" count="1" selected="0">
            <x v="176"/>
          </reference>
          <reference field="1" count="1" selected="0">
            <x v="58"/>
          </reference>
          <reference field="2" count="1" selected="0">
            <x v="1"/>
          </reference>
          <reference field="3" count="1" selected="0">
            <x v="7"/>
          </reference>
          <reference field="4" count="1">
            <x v="1"/>
          </reference>
        </references>
      </pivotArea>
    </format>
    <format dxfId="430">
      <pivotArea dataOnly="0" labelOnly="1" outline="0" fieldPosition="0">
        <references count="5">
          <reference field="0" count="1" selected="0">
            <x v="177"/>
          </reference>
          <reference field="1" count="1" selected="0">
            <x v="42"/>
          </reference>
          <reference field="2" count="1" selected="0">
            <x v="2"/>
          </reference>
          <reference field="3" count="1" selected="0">
            <x v="0"/>
          </reference>
          <reference field="4" count="1">
            <x v="4"/>
          </reference>
        </references>
      </pivotArea>
    </format>
    <format dxfId="429">
      <pivotArea dataOnly="0" labelOnly="1" outline="0" fieldPosition="0">
        <references count="5">
          <reference field="0" count="1" selected="0">
            <x v="178"/>
          </reference>
          <reference field="1" count="1" selected="0">
            <x v="44"/>
          </reference>
          <reference field="2" count="1" selected="0">
            <x v="5"/>
          </reference>
          <reference field="3" count="1" selected="0">
            <x v="7"/>
          </reference>
          <reference field="4" count="1">
            <x v="0"/>
          </reference>
        </references>
      </pivotArea>
    </format>
    <format dxfId="428">
      <pivotArea dataOnly="0" labelOnly="1" outline="0" fieldPosition="0">
        <references count="5">
          <reference field="0" count="1" selected="0">
            <x v="179"/>
          </reference>
          <reference field="1" count="1" selected="0">
            <x v="8"/>
          </reference>
          <reference field="2" count="1" selected="0">
            <x v="5"/>
          </reference>
          <reference field="3" count="1" selected="0">
            <x v="2"/>
          </reference>
          <reference field="4" count="1">
            <x v="3"/>
          </reference>
        </references>
      </pivotArea>
    </format>
    <format dxfId="427">
      <pivotArea dataOnly="0" labelOnly="1" outline="0" fieldPosition="0">
        <references count="5">
          <reference field="0" count="1" selected="0">
            <x v="180"/>
          </reference>
          <reference field="1" count="1" selected="0">
            <x v="37"/>
          </reference>
          <reference field="2" count="1" selected="0">
            <x v="1"/>
          </reference>
          <reference field="3" count="1" selected="0">
            <x v="5"/>
          </reference>
          <reference field="4" count="1">
            <x v="1"/>
          </reference>
        </references>
      </pivotArea>
    </format>
    <format dxfId="426">
      <pivotArea dataOnly="0" labelOnly="1" outline="0" fieldPosition="0">
        <references count="5">
          <reference field="0" count="1" selected="0">
            <x v="181"/>
          </reference>
          <reference field="1" count="1" selected="0">
            <x v="51"/>
          </reference>
          <reference field="2" count="1" selected="0">
            <x v="0"/>
          </reference>
          <reference field="3" count="1" selected="0">
            <x v="0"/>
          </reference>
          <reference field="4" count="1">
            <x v="2"/>
          </reference>
        </references>
      </pivotArea>
    </format>
    <format dxfId="425">
      <pivotArea dataOnly="0" labelOnly="1" outline="0" fieldPosition="0">
        <references count="5">
          <reference field="0" count="1" selected="0">
            <x v="182"/>
          </reference>
          <reference field="1" count="1" selected="0">
            <x v="48"/>
          </reference>
          <reference field="2" count="1" selected="0">
            <x v="5"/>
          </reference>
          <reference field="3" count="1" selected="0">
            <x v="3"/>
          </reference>
          <reference field="4" count="1">
            <x v="0"/>
          </reference>
        </references>
      </pivotArea>
    </format>
    <format dxfId="424">
      <pivotArea dataOnly="0" labelOnly="1" outline="0" fieldPosition="0">
        <references count="5">
          <reference field="0" count="1" selected="0">
            <x v="184"/>
          </reference>
          <reference field="1" count="1" selected="0">
            <x v="26"/>
          </reference>
          <reference field="2" count="1" selected="0">
            <x v="5"/>
          </reference>
          <reference field="3" count="1" selected="0">
            <x v="6"/>
          </reference>
          <reference field="4" count="1">
            <x v="3"/>
          </reference>
        </references>
      </pivotArea>
    </format>
    <format dxfId="423">
      <pivotArea dataOnly="0" labelOnly="1" outline="0" fieldPosition="0">
        <references count="5">
          <reference field="0" count="1" selected="0">
            <x v="185"/>
          </reference>
          <reference field="1" count="1" selected="0">
            <x v="54"/>
          </reference>
          <reference field="2" count="1" selected="0">
            <x v="2"/>
          </reference>
          <reference field="3" count="1" selected="0">
            <x v="6"/>
          </reference>
          <reference field="4" count="1">
            <x v="1"/>
          </reference>
        </references>
      </pivotArea>
    </format>
    <format dxfId="422">
      <pivotArea dataOnly="0" labelOnly="1" outline="0" fieldPosition="0">
        <references count="5">
          <reference field="0" count="1" selected="0">
            <x v="186"/>
          </reference>
          <reference field="1" count="1" selected="0">
            <x v="53"/>
          </reference>
          <reference field="2" count="1" selected="0">
            <x v="1"/>
          </reference>
          <reference field="3" count="1" selected="0">
            <x v="1"/>
          </reference>
          <reference field="4" count="1">
            <x v="0"/>
          </reference>
        </references>
      </pivotArea>
    </format>
    <format dxfId="421">
      <pivotArea dataOnly="0" labelOnly="1" outline="0" fieldPosition="0">
        <references count="5">
          <reference field="0" count="1" selected="0">
            <x v="187"/>
          </reference>
          <reference field="1" count="1" selected="0">
            <x v="12"/>
          </reference>
          <reference field="2" count="1" selected="0">
            <x v="4"/>
          </reference>
          <reference field="3" count="1" selected="0">
            <x v="4"/>
          </reference>
          <reference field="4" count="1">
            <x v="1"/>
          </reference>
        </references>
      </pivotArea>
    </format>
    <format dxfId="420">
      <pivotArea dataOnly="0" labelOnly="1" outline="0" fieldPosition="0">
        <references count="5">
          <reference field="0" count="1" selected="0">
            <x v="189"/>
          </reference>
          <reference field="1" count="1" selected="0">
            <x v="52"/>
          </reference>
          <reference field="2" count="1" selected="0">
            <x v="1"/>
          </reference>
          <reference field="3" count="1" selected="0">
            <x v="5"/>
          </reference>
          <reference field="4" count="1">
            <x v="0"/>
          </reference>
        </references>
      </pivotArea>
    </format>
    <format dxfId="419">
      <pivotArea dataOnly="0" labelOnly="1" outline="0" fieldPosition="0">
        <references count="5">
          <reference field="0" count="1" selected="0">
            <x v="190"/>
          </reference>
          <reference field="1" count="1" selected="0">
            <x v="20"/>
          </reference>
          <reference field="2" count="1" selected="0">
            <x v="4"/>
          </reference>
          <reference field="3" count="1" selected="0">
            <x v="2"/>
          </reference>
          <reference field="4" count="1">
            <x v="3"/>
          </reference>
        </references>
      </pivotArea>
    </format>
    <format dxfId="418">
      <pivotArea dataOnly="0" labelOnly="1" outline="0" fieldPosition="0">
        <references count="5">
          <reference field="0" count="1" selected="0">
            <x v="191"/>
          </reference>
          <reference field="1" count="1" selected="0">
            <x v="8"/>
          </reference>
          <reference field="2" count="1" selected="0">
            <x v="5"/>
          </reference>
          <reference field="3" count="1" selected="0">
            <x v="2"/>
          </reference>
          <reference field="4" count="1">
            <x v="1"/>
          </reference>
        </references>
      </pivotArea>
    </format>
    <format dxfId="417">
      <pivotArea dataOnly="0" labelOnly="1" outline="0" fieldPosition="0">
        <references count="5">
          <reference field="0" count="1" selected="0">
            <x v="193"/>
          </reference>
          <reference field="1" count="1" selected="0">
            <x v="24"/>
          </reference>
          <reference field="2" count="1" selected="0">
            <x v="0"/>
          </reference>
          <reference field="3" count="1" selected="0">
            <x v="7"/>
          </reference>
          <reference field="4" count="1">
            <x v="0"/>
          </reference>
        </references>
      </pivotArea>
    </format>
    <format dxfId="416">
      <pivotArea dataOnly="0" labelOnly="1" outline="0" fieldPosition="0">
        <references count="5">
          <reference field="0" count="1" selected="0">
            <x v="194"/>
          </reference>
          <reference field="1" count="1" selected="0">
            <x v="4"/>
          </reference>
          <reference field="2" count="1" selected="0">
            <x v="0"/>
          </reference>
          <reference field="3" count="1" selected="0">
            <x v="6"/>
          </reference>
          <reference field="4" count="1">
            <x v="3"/>
          </reference>
        </references>
      </pivotArea>
    </format>
    <format dxfId="415">
      <pivotArea dataOnly="0" labelOnly="1" outline="0" fieldPosition="0">
        <references count="5">
          <reference field="0" count="1" selected="0">
            <x v="195"/>
          </reference>
          <reference field="1" count="1" selected="0">
            <x v="24"/>
          </reference>
          <reference field="2" count="1" selected="0">
            <x v="0"/>
          </reference>
          <reference field="3" count="1" selected="0">
            <x v="3"/>
          </reference>
          <reference field="4" count="1">
            <x v="4"/>
          </reference>
        </references>
      </pivotArea>
    </format>
    <format dxfId="414">
      <pivotArea dataOnly="0" labelOnly="1" outline="0" fieldPosition="0">
        <references count="5">
          <reference field="0" count="1" selected="0">
            <x v="196"/>
          </reference>
          <reference field="1" count="1" selected="0">
            <x v="18"/>
          </reference>
          <reference field="2" count="1" selected="0">
            <x v="2"/>
          </reference>
          <reference field="3" count="1" selected="0">
            <x v="3"/>
          </reference>
          <reference field="4" count="1">
            <x v="3"/>
          </reference>
        </references>
      </pivotArea>
    </format>
    <format dxfId="413">
      <pivotArea dataOnly="0" labelOnly="1" outline="0" fieldPosition="0">
        <references count="5">
          <reference field="0" count="1" selected="0">
            <x v="197"/>
          </reference>
          <reference field="1" count="1" selected="0">
            <x v="50"/>
          </reference>
          <reference field="2" count="1" selected="0">
            <x v="3"/>
          </reference>
          <reference field="3" count="1" selected="0">
            <x v="3"/>
          </reference>
          <reference field="4" count="1">
            <x v="2"/>
          </reference>
        </references>
      </pivotArea>
    </format>
    <format dxfId="412">
      <pivotArea dataOnly="0" labelOnly="1" outline="0" fieldPosition="0">
        <references count="5">
          <reference field="0" count="1" selected="0">
            <x v="198"/>
          </reference>
          <reference field="1" count="1" selected="0">
            <x v="17"/>
          </reference>
          <reference field="2" count="1" selected="0">
            <x v="4"/>
          </reference>
          <reference field="3" count="1" selected="0">
            <x v="1"/>
          </reference>
          <reference field="4" count="1">
            <x v="4"/>
          </reference>
        </references>
      </pivotArea>
    </format>
    <format dxfId="411">
      <pivotArea dataOnly="0" labelOnly="1" outline="0" fieldPosition="0">
        <references count="5">
          <reference field="0" count="1" selected="0">
            <x v="199"/>
          </reference>
          <reference field="1" count="1" selected="0">
            <x v="30"/>
          </reference>
          <reference field="2" count="1" selected="0">
            <x v="1"/>
          </reference>
          <reference field="3" count="1" selected="0">
            <x v="5"/>
          </reference>
          <reference field="4" count="1">
            <x v="3"/>
          </reference>
        </references>
      </pivotArea>
    </format>
    <format dxfId="410">
      <pivotArea dataOnly="0" labelOnly="1" outline="0" fieldPosition="0">
        <references count="5">
          <reference field="0" count="1" selected="0">
            <x v="200"/>
          </reference>
          <reference field="1" count="1" selected="0">
            <x v="52"/>
          </reference>
          <reference field="2" count="1" selected="0">
            <x v="1"/>
          </reference>
          <reference field="3" count="1" selected="0">
            <x v="1"/>
          </reference>
          <reference field="4" count="1">
            <x v="1"/>
          </reference>
        </references>
      </pivotArea>
    </format>
    <format dxfId="409">
      <pivotArea dataOnly="0" labelOnly="1" outline="0" fieldPosition="0">
        <references count="5">
          <reference field="0" count="1" selected="0">
            <x v="201"/>
          </reference>
          <reference field="1" count="1" selected="0">
            <x v="14"/>
          </reference>
          <reference field="2" count="1" selected="0">
            <x v="4"/>
          </reference>
          <reference field="3" count="1" selected="0">
            <x v="1"/>
          </reference>
          <reference field="4" count="1">
            <x v="3"/>
          </reference>
        </references>
      </pivotArea>
    </format>
    <format dxfId="408">
      <pivotArea dataOnly="0" labelOnly="1" outline="0" fieldPosition="0">
        <references count="5">
          <reference field="0" count="1" selected="0">
            <x v="202"/>
          </reference>
          <reference field="1" count="1" selected="0">
            <x v="3"/>
          </reference>
          <reference field="2" count="1" selected="0">
            <x v="4"/>
          </reference>
          <reference field="3" count="1" selected="0">
            <x v="0"/>
          </reference>
          <reference field="4" count="1">
            <x v="1"/>
          </reference>
        </references>
      </pivotArea>
    </format>
    <format dxfId="407">
      <pivotArea dataOnly="0" labelOnly="1" outline="0" fieldPosition="0">
        <references count="5">
          <reference field="0" count="1" selected="0">
            <x v="203"/>
          </reference>
          <reference field="1" count="1" selected="0">
            <x v="11"/>
          </reference>
          <reference field="2" count="1" selected="0">
            <x v="4"/>
          </reference>
          <reference field="3" count="1" selected="0">
            <x v="2"/>
          </reference>
          <reference field="4" count="1">
            <x v="4"/>
          </reference>
        </references>
      </pivotArea>
    </format>
    <format dxfId="406">
      <pivotArea dataOnly="0" labelOnly="1" outline="0" fieldPosition="0">
        <references count="5">
          <reference field="0" count="1" selected="0">
            <x v="204"/>
          </reference>
          <reference field="1" count="1" selected="0">
            <x v="59"/>
          </reference>
          <reference field="2" count="1" selected="0">
            <x v="2"/>
          </reference>
          <reference field="3" count="1" selected="0">
            <x v="2"/>
          </reference>
          <reference field="4" count="1">
            <x v="1"/>
          </reference>
        </references>
      </pivotArea>
    </format>
    <format dxfId="405">
      <pivotArea dataOnly="0" labelOnly="1" outline="0" fieldPosition="0">
        <references count="5">
          <reference field="0" count="1" selected="0">
            <x v="205"/>
          </reference>
          <reference field="1" count="1" selected="0">
            <x v="12"/>
          </reference>
          <reference field="2" count="1" selected="0">
            <x v="4"/>
          </reference>
          <reference field="3" count="1" selected="0">
            <x v="2"/>
          </reference>
          <reference field="4" count="1">
            <x v="2"/>
          </reference>
        </references>
      </pivotArea>
    </format>
    <format dxfId="404">
      <pivotArea dataOnly="0" labelOnly="1" outline="0" fieldPosition="0">
        <references count="5">
          <reference field="0" count="1" selected="0">
            <x v="206"/>
          </reference>
          <reference field="1" count="1" selected="0">
            <x v="42"/>
          </reference>
          <reference field="2" count="1" selected="0">
            <x v="2"/>
          </reference>
          <reference field="3" count="1" selected="0">
            <x v="2"/>
          </reference>
          <reference field="4" count="1">
            <x v="0"/>
          </reference>
        </references>
      </pivotArea>
    </format>
    <format dxfId="403">
      <pivotArea dataOnly="0" labelOnly="1" outline="0" fieldPosition="0">
        <references count="5">
          <reference field="0" count="1" selected="0">
            <x v="207"/>
          </reference>
          <reference field="1" count="1" selected="0">
            <x v="47"/>
          </reference>
          <reference field="2" count="1" selected="0">
            <x v="0"/>
          </reference>
          <reference field="3" count="1" selected="0">
            <x v="4"/>
          </reference>
          <reference field="4" count="1">
            <x v="3"/>
          </reference>
        </references>
      </pivotArea>
    </format>
    <format dxfId="402">
      <pivotArea dataOnly="0" labelOnly="1" outline="0" fieldPosition="0">
        <references count="5">
          <reference field="0" count="1" selected="0">
            <x v="208"/>
          </reference>
          <reference field="1" count="1" selected="0">
            <x v="16"/>
          </reference>
          <reference field="2" count="1" selected="0">
            <x v="5"/>
          </reference>
          <reference field="3" count="1" selected="0">
            <x v="0"/>
          </reference>
          <reference field="4" count="1">
            <x v="2"/>
          </reference>
        </references>
      </pivotArea>
    </format>
    <format dxfId="401">
      <pivotArea dataOnly="0" labelOnly="1" outline="0" fieldPosition="0">
        <references count="5">
          <reference field="0" count="1" selected="0">
            <x v="210"/>
          </reference>
          <reference field="1" count="1" selected="0">
            <x v="1"/>
          </reference>
          <reference field="2" count="1" selected="0">
            <x v="5"/>
          </reference>
          <reference field="3" count="1" selected="0">
            <x v="2"/>
          </reference>
          <reference field="4" count="1">
            <x v="3"/>
          </reference>
        </references>
      </pivotArea>
    </format>
    <format dxfId="400">
      <pivotArea dataOnly="0" labelOnly="1" outline="0" fieldPosition="0">
        <references count="5">
          <reference field="0" count="1" selected="0">
            <x v="211"/>
          </reference>
          <reference field="1" count="1" selected="0">
            <x v="4"/>
          </reference>
          <reference field="2" count="1" selected="0">
            <x v="0"/>
          </reference>
          <reference field="3" count="1" selected="0">
            <x v="2"/>
          </reference>
          <reference field="4" count="1">
            <x v="4"/>
          </reference>
        </references>
      </pivotArea>
    </format>
    <format dxfId="399">
      <pivotArea dataOnly="0" labelOnly="1" outline="0" fieldPosition="0">
        <references count="5">
          <reference field="0" count="1" selected="0">
            <x v="213"/>
          </reference>
          <reference field="1" count="1" selected="0">
            <x v="19"/>
          </reference>
          <reference field="2" count="1" selected="0">
            <x v="5"/>
          </reference>
          <reference field="3" count="1" selected="0">
            <x v="3"/>
          </reference>
          <reference field="4" count="1">
            <x v="2"/>
          </reference>
        </references>
      </pivotArea>
    </format>
    <format dxfId="398">
      <pivotArea dataOnly="0" labelOnly="1" outline="0" fieldPosition="0">
        <references count="5">
          <reference field="0" count="1" selected="0">
            <x v="214"/>
          </reference>
          <reference field="1" count="1" selected="0">
            <x v="38"/>
          </reference>
          <reference field="2" count="1" selected="0">
            <x v="5"/>
          </reference>
          <reference field="3" count="1" selected="0">
            <x v="1"/>
          </reference>
          <reference field="4" count="1">
            <x v="3"/>
          </reference>
        </references>
      </pivotArea>
    </format>
    <format dxfId="397">
      <pivotArea dataOnly="0" labelOnly="1" outline="0" fieldPosition="0">
        <references count="5">
          <reference field="0" count="1" selected="0">
            <x v="215"/>
          </reference>
          <reference field="1" count="1" selected="0">
            <x v="26"/>
          </reference>
          <reference field="2" count="1" selected="0">
            <x v="5"/>
          </reference>
          <reference field="3" count="1" selected="0">
            <x v="2"/>
          </reference>
          <reference field="4" count="1">
            <x v="0"/>
          </reference>
        </references>
      </pivotArea>
    </format>
    <format dxfId="396">
      <pivotArea dataOnly="0" labelOnly="1" outline="0" fieldPosition="0">
        <references count="5">
          <reference field="0" count="1" selected="0">
            <x v="216"/>
          </reference>
          <reference field="1" count="1" selected="0">
            <x v="57"/>
          </reference>
          <reference field="2" count="1" selected="0">
            <x v="0"/>
          </reference>
          <reference field="3" count="1" selected="0">
            <x v="4"/>
          </reference>
          <reference field="4" count="1">
            <x v="1"/>
          </reference>
        </references>
      </pivotArea>
    </format>
    <format dxfId="395">
      <pivotArea dataOnly="0" labelOnly="1" outline="0" fieldPosition="0">
        <references count="5">
          <reference field="0" count="1" selected="0">
            <x v="217"/>
          </reference>
          <reference field="1" count="1" selected="0">
            <x v="59"/>
          </reference>
          <reference field="2" count="1" selected="0">
            <x v="2"/>
          </reference>
          <reference field="3" count="1" selected="0">
            <x v="5"/>
          </reference>
          <reference field="4" count="1">
            <x v="3"/>
          </reference>
        </references>
      </pivotArea>
    </format>
    <format dxfId="394">
      <pivotArea dataOnly="0" labelOnly="1" outline="0" fieldPosition="0">
        <references count="5">
          <reference field="0" count="1" selected="0">
            <x v="220"/>
          </reference>
          <reference field="1" count="1" selected="0">
            <x v="53"/>
          </reference>
          <reference field="2" count="1" selected="0">
            <x v="1"/>
          </reference>
          <reference field="3" count="1" selected="0">
            <x v="0"/>
          </reference>
          <reference field="4" count="1">
            <x v="1"/>
          </reference>
        </references>
      </pivotArea>
    </format>
    <format dxfId="393">
      <pivotArea dataOnly="0" labelOnly="1" outline="0" fieldPosition="0">
        <references count="5">
          <reference field="0" count="1" selected="0">
            <x v="222"/>
          </reference>
          <reference field="1" count="1" selected="0">
            <x v="36"/>
          </reference>
          <reference field="2" count="1" selected="0">
            <x v="1"/>
          </reference>
          <reference field="3" count="1" selected="0">
            <x v="1"/>
          </reference>
          <reference field="4" count="1">
            <x v="4"/>
          </reference>
        </references>
      </pivotArea>
    </format>
    <format dxfId="392">
      <pivotArea dataOnly="0" labelOnly="1" outline="0" fieldPosition="0">
        <references count="5">
          <reference field="0" count="1" selected="0">
            <x v="223"/>
          </reference>
          <reference field="1" count="1" selected="0">
            <x v="15"/>
          </reference>
          <reference field="2" count="1" selected="0">
            <x v="2"/>
          </reference>
          <reference field="3" count="1" selected="0">
            <x v="7"/>
          </reference>
          <reference field="4" count="1">
            <x v="1"/>
          </reference>
        </references>
      </pivotArea>
    </format>
    <format dxfId="391">
      <pivotArea dataOnly="0" labelOnly="1" outline="0" fieldPosition="0">
        <references count="5">
          <reference field="0" count="1" selected="0">
            <x v="224"/>
          </reference>
          <reference field="1" count="1" selected="0">
            <x v="59"/>
          </reference>
          <reference field="2" count="1" selected="0">
            <x v="2"/>
          </reference>
          <reference field="3" count="1" selected="0">
            <x v="0"/>
          </reference>
          <reference field="4" count="1">
            <x v="0"/>
          </reference>
        </references>
      </pivotArea>
    </format>
    <format dxfId="390">
      <pivotArea dataOnly="0" labelOnly="1" outline="0" fieldPosition="0">
        <references count="5">
          <reference field="0" count="1" selected="0">
            <x v="225"/>
          </reference>
          <reference field="1" count="1" selected="0">
            <x v="26"/>
          </reference>
          <reference field="2" count="1" selected="0">
            <x v="5"/>
          </reference>
          <reference field="3" count="1" selected="0">
            <x v="2"/>
          </reference>
          <reference field="4" count="1">
            <x v="2"/>
          </reference>
        </references>
      </pivotArea>
    </format>
    <format dxfId="389">
      <pivotArea dataOnly="0" labelOnly="1" outline="0" fieldPosition="0">
        <references count="5">
          <reference field="0" count="1" selected="0">
            <x v="226"/>
          </reference>
          <reference field="1" count="1" selected="0">
            <x v="42"/>
          </reference>
          <reference field="2" count="1" selected="0">
            <x v="2"/>
          </reference>
          <reference field="3" count="1" selected="0">
            <x v="7"/>
          </reference>
          <reference field="4" count="1">
            <x v="3"/>
          </reference>
        </references>
      </pivotArea>
    </format>
    <format dxfId="388">
      <pivotArea dataOnly="0" labelOnly="1" outline="0" fieldPosition="0">
        <references count="5">
          <reference field="0" count="1" selected="0">
            <x v="227"/>
          </reference>
          <reference field="1" count="1" selected="0">
            <x v="52"/>
          </reference>
          <reference field="2" count="1" selected="0">
            <x v="1"/>
          </reference>
          <reference field="3" count="1" selected="0">
            <x v="4"/>
          </reference>
          <reference field="4" count="1">
            <x v="4"/>
          </reference>
        </references>
      </pivotArea>
    </format>
    <format dxfId="387">
      <pivotArea dataOnly="0" labelOnly="1" outline="0" fieldPosition="0">
        <references count="5">
          <reference field="0" count="1" selected="0">
            <x v="228"/>
          </reference>
          <reference field="1" count="1" selected="0">
            <x v="54"/>
          </reference>
          <reference field="2" count="1" selected="0">
            <x v="2"/>
          </reference>
          <reference field="3" count="1" selected="0">
            <x v="2"/>
          </reference>
          <reference field="4" count="1">
            <x v="3"/>
          </reference>
        </references>
      </pivotArea>
    </format>
    <format dxfId="386">
      <pivotArea dataOnly="0" labelOnly="1" outline="0" fieldPosition="0">
        <references count="5">
          <reference field="0" count="1" selected="0">
            <x v="229"/>
          </reference>
          <reference field="1" count="1" selected="0">
            <x v="53"/>
          </reference>
          <reference field="2" count="1" selected="0">
            <x v="1"/>
          </reference>
          <reference field="3" count="1" selected="0">
            <x v="7"/>
          </reference>
          <reference field="4" count="1">
            <x v="0"/>
          </reference>
        </references>
      </pivotArea>
    </format>
    <format dxfId="385">
      <pivotArea dataOnly="0" labelOnly="1" outline="0" fieldPosition="0">
        <references count="5">
          <reference field="0" count="1" selected="0">
            <x v="230"/>
          </reference>
          <reference field="1" count="1" selected="0">
            <x v="21"/>
          </reference>
          <reference field="2" count="1" selected="0">
            <x v="2"/>
          </reference>
          <reference field="3" count="1" selected="0">
            <x v="1"/>
          </reference>
          <reference field="4" count="1">
            <x v="3"/>
          </reference>
        </references>
      </pivotArea>
    </format>
    <format dxfId="384">
      <pivotArea dataOnly="0" labelOnly="1" outline="0" fieldPosition="0">
        <references count="5">
          <reference field="0" count="1" selected="0">
            <x v="231"/>
          </reference>
          <reference field="1" count="1" selected="0">
            <x v="52"/>
          </reference>
          <reference field="2" count="1" selected="0">
            <x v="1"/>
          </reference>
          <reference field="3" count="1" selected="0">
            <x v="1"/>
          </reference>
          <reference field="4" count="1">
            <x v="4"/>
          </reference>
        </references>
      </pivotArea>
    </format>
    <format dxfId="383">
      <pivotArea dataOnly="0" labelOnly="1" outline="0" fieldPosition="0">
        <references count="5">
          <reference field="0" count="1" selected="0">
            <x v="232"/>
          </reference>
          <reference field="1" count="1" selected="0">
            <x v="47"/>
          </reference>
          <reference field="2" count="1" selected="0">
            <x v="0"/>
          </reference>
          <reference field="3" count="1" selected="0">
            <x v="0"/>
          </reference>
          <reference field="4" count="1">
            <x v="1"/>
          </reference>
        </references>
      </pivotArea>
    </format>
    <format dxfId="382">
      <pivotArea dataOnly="0" labelOnly="1" outline="0" fieldPosition="0">
        <references count="5">
          <reference field="0" count="1" selected="0">
            <x v="233"/>
          </reference>
          <reference field="1" count="1" selected="0">
            <x v="33"/>
          </reference>
          <reference field="2" count="1" selected="0">
            <x v="4"/>
          </reference>
          <reference field="3" count="1" selected="0">
            <x v="3"/>
          </reference>
          <reference field="4" count="1">
            <x v="0"/>
          </reference>
        </references>
      </pivotArea>
    </format>
    <format dxfId="381">
      <pivotArea dataOnly="0" labelOnly="1" outline="0" fieldPosition="0">
        <references count="5">
          <reference field="0" count="1" selected="0">
            <x v="235"/>
          </reference>
          <reference field="1" count="1" selected="0">
            <x v="38"/>
          </reference>
          <reference field="2" count="1" selected="0">
            <x v="5"/>
          </reference>
          <reference field="3" count="1" selected="0">
            <x v="2"/>
          </reference>
          <reference field="4" count="1">
            <x v="4"/>
          </reference>
        </references>
      </pivotArea>
    </format>
    <format dxfId="380">
      <pivotArea dataOnly="0" labelOnly="1" outline="0" fieldPosition="0">
        <references count="5">
          <reference field="0" count="1" selected="0">
            <x v="236"/>
          </reference>
          <reference field="1" count="1" selected="0">
            <x v="7"/>
          </reference>
          <reference field="2" count="1" selected="0">
            <x v="3"/>
          </reference>
          <reference field="3" count="1" selected="0">
            <x v="1"/>
          </reference>
          <reference field="4" count="1">
            <x v="0"/>
          </reference>
        </references>
      </pivotArea>
    </format>
    <format dxfId="379">
      <pivotArea dataOnly="0" labelOnly="1" outline="0" fieldPosition="0">
        <references count="5">
          <reference field="0" count="1" selected="0">
            <x v="237"/>
          </reference>
          <reference field="1" count="1" selected="0">
            <x v="55"/>
          </reference>
          <reference field="2" count="1" selected="0">
            <x v="1"/>
          </reference>
          <reference field="3" count="1" selected="0">
            <x v="2"/>
          </reference>
          <reference field="4" count="1">
            <x v="4"/>
          </reference>
        </references>
      </pivotArea>
    </format>
    <format dxfId="378">
      <pivotArea dataOnly="0" labelOnly="1" outline="0" fieldPosition="0">
        <references count="5">
          <reference field="0" count="1" selected="0">
            <x v="238"/>
          </reference>
          <reference field="1" count="1" selected="0">
            <x v="9"/>
          </reference>
          <reference field="2" count="1" selected="0">
            <x v="3"/>
          </reference>
          <reference field="3" count="1" selected="0">
            <x v="2"/>
          </reference>
          <reference field="4" count="1">
            <x v="0"/>
          </reference>
        </references>
      </pivotArea>
    </format>
    <format dxfId="377">
      <pivotArea dataOnly="0" labelOnly="1" outline="0" fieldPosition="0">
        <references count="5">
          <reference field="0" count="1" selected="0">
            <x v="239"/>
          </reference>
          <reference field="1" count="1" selected="0">
            <x v="3"/>
          </reference>
          <reference field="2" count="1" selected="0">
            <x v="4"/>
          </reference>
          <reference field="3" count="1" selected="0">
            <x v="1"/>
          </reference>
          <reference field="4" count="1">
            <x v="2"/>
          </reference>
        </references>
      </pivotArea>
    </format>
    <format dxfId="376">
      <pivotArea dataOnly="0" labelOnly="1" outline="0" fieldPosition="0">
        <references count="5">
          <reference field="0" count="1" selected="0">
            <x v="241"/>
          </reference>
          <reference field="1" count="1" selected="0">
            <x v="58"/>
          </reference>
          <reference field="2" count="1" selected="0">
            <x v="1"/>
          </reference>
          <reference field="3" count="1" selected="0">
            <x v="5"/>
          </reference>
          <reference field="4" count="1">
            <x v="0"/>
          </reference>
        </references>
      </pivotArea>
    </format>
    <format dxfId="375">
      <pivotArea dataOnly="0" labelOnly="1" outline="0" fieldPosition="0">
        <references count="5">
          <reference field="0" count="1" selected="0">
            <x v="243"/>
          </reference>
          <reference field="1" count="1" selected="0">
            <x v="19"/>
          </reference>
          <reference field="2" count="1" selected="0">
            <x v="5"/>
          </reference>
          <reference field="3" count="1" selected="0">
            <x v="3"/>
          </reference>
          <reference field="4" count="1">
            <x v="4"/>
          </reference>
        </references>
      </pivotArea>
    </format>
    <format dxfId="374">
      <pivotArea dataOnly="0" labelOnly="1" outline="0" fieldPosition="0">
        <references count="5">
          <reference field="0" count="1" selected="0">
            <x v="244"/>
          </reference>
          <reference field="1" count="1" selected="0">
            <x v="34"/>
          </reference>
          <reference field="2" count="1" selected="0">
            <x v="5"/>
          </reference>
          <reference field="3" count="1" selected="0">
            <x v="5"/>
          </reference>
          <reference field="4" count="1">
            <x v="3"/>
          </reference>
        </references>
      </pivotArea>
    </format>
    <format dxfId="373">
      <pivotArea dataOnly="0" labelOnly="1" outline="0" fieldPosition="0">
        <references count="5">
          <reference field="0" count="1" selected="0">
            <x v="245"/>
          </reference>
          <reference field="1" count="1" selected="0">
            <x v="40"/>
          </reference>
          <reference field="2" count="1" selected="0">
            <x v="2"/>
          </reference>
          <reference field="3" count="1" selected="0">
            <x v="3"/>
          </reference>
          <reference field="4" count="1">
            <x v="2"/>
          </reference>
        </references>
      </pivotArea>
    </format>
    <format dxfId="372">
      <pivotArea dataOnly="0" labelOnly="1" outline="0" fieldPosition="0">
        <references count="5">
          <reference field="0" count="1" selected="0">
            <x v="246"/>
          </reference>
          <reference field="1" count="1" selected="0">
            <x v="37"/>
          </reference>
          <reference field="2" count="1" selected="0">
            <x v="1"/>
          </reference>
          <reference field="3" count="1" selected="0">
            <x v="2"/>
          </reference>
          <reference field="4" count="1">
            <x v="4"/>
          </reference>
        </references>
      </pivotArea>
    </format>
    <format dxfId="371">
      <pivotArea dataOnly="0" labelOnly="1" outline="0" fieldPosition="0">
        <references count="5">
          <reference field="0" count="1" selected="0">
            <x v="247"/>
          </reference>
          <reference field="1" count="1" selected="0">
            <x v="40"/>
          </reference>
          <reference field="2" count="1" selected="0">
            <x v="2"/>
          </reference>
          <reference field="3" count="1" selected="0">
            <x v="3"/>
          </reference>
          <reference field="4" count="1">
            <x v="0"/>
          </reference>
        </references>
      </pivotArea>
    </format>
    <format dxfId="370">
      <pivotArea dataOnly="0" labelOnly="1" outline="0" fieldPosition="0">
        <references count="5">
          <reference field="0" count="1" selected="0">
            <x v="249"/>
          </reference>
          <reference field="1" count="1" selected="0">
            <x v="43"/>
          </reference>
          <reference field="2" count="1" selected="0">
            <x v="0"/>
          </reference>
          <reference field="3" count="1" selected="0">
            <x v="3"/>
          </reference>
          <reference field="4" count="1">
            <x v="3"/>
          </reference>
        </references>
      </pivotArea>
    </format>
    <format dxfId="369">
      <pivotArea dataOnly="0" labelOnly="1" outline="0" fieldPosition="0">
        <references count="5">
          <reference field="0" count="1" selected="0">
            <x v="250"/>
          </reference>
          <reference field="1" count="1" selected="0">
            <x v="39"/>
          </reference>
          <reference field="2" count="1" selected="0">
            <x v="2"/>
          </reference>
          <reference field="3" count="1" selected="0">
            <x v="1"/>
          </reference>
          <reference field="4" count="1">
            <x v="1"/>
          </reference>
        </references>
      </pivotArea>
    </format>
    <format dxfId="368">
      <pivotArea dataOnly="0" labelOnly="1" outline="0" fieldPosition="0">
        <references count="5">
          <reference field="0" count="1" selected="0">
            <x v="251"/>
          </reference>
          <reference field="1" count="1" selected="0">
            <x v="35"/>
          </reference>
          <reference field="2" count="1" selected="0">
            <x v="4"/>
          </reference>
          <reference field="3" count="1" selected="0">
            <x v="7"/>
          </reference>
          <reference field="4" count="1">
            <x v="0"/>
          </reference>
        </references>
      </pivotArea>
    </format>
    <format dxfId="367">
      <pivotArea dataOnly="0" labelOnly="1" outline="0" fieldPosition="0">
        <references count="5">
          <reference field="0" count="1" selected="0">
            <x v="252"/>
          </reference>
          <reference field="1" count="1" selected="0">
            <x v="12"/>
          </reference>
          <reference field="2" count="1" selected="0">
            <x v="4"/>
          </reference>
          <reference field="3" count="1" selected="0">
            <x v="1"/>
          </reference>
          <reference field="4" count="1">
            <x v="4"/>
          </reference>
        </references>
      </pivotArea>
    </format>
    <format dxfId="366">
      <pivotArea dataOnly="0" labelOnly="1" outline="0" fieldPosition="0">
        <references count="5">
          <reference field="0" count="1" selected="0">
            <x v="253"/>
          </reference>
          <reference field="1" count="1" selected="0">
            <x v="28"/>
          </reference>
          <reference field="2" count="1" selected="0">
            <x v="3"/>
          </reference>
          <reference field="3" count="1" selected="0">
            <x v="6"/>
          </reference>
          <reference field="4" count="1">
            <x v="1"/>
          </reference>
        </references>
      </pivotArea>
    </format>
    <format dxfId="365">
      <pivotArea dataOnly="0" labelOnly="1" outline="0" fieldPosition="0">
        <references count="5">
          <reference field="0" count="1" selected="0">
            <x v="254"/>
          </reference>
          <reference field="1" count="1" selected="0">
            <x v="48"/>
          </reference>
          <reference field="2" count="1" selected="0">
            <x v="5"/>
          </reference>
          <reference field="3" count="1" selected="0">
            <x v="7"/>
          </reference>
          <reference field="4" count="1">
            <x v="4"/>
          </reference>
        </references>
      </pivotArea>
    </format>
    <format dxfId="364">
      <pivotArea dataOnly="0" labelOnly="1" outline="0" fieldPosition="0">
        <references count="5">
          <reference field="0" count="1" selected="0">
            <x v="255"/>
          </reference>
          <reference field="1" count="1" selected="0">
            <x v="20"/>
          </reference>
          <reference field="2" count="1" selected="0">
            <x v="4"/>
          </reference>
          <reference field="3" count="1" selected="0">
            <x v="3"/>
          </reference>
          <reference field="4" count="1">
            <x v="3"/>
          </reference>
        </references>
      </pivotArea>
    </format>
    <format dxfId="363">
      <pivotArea dataOnly="0" labelOnly="1" outline="0" fieldPosition="0">
        <references count="5">
          <reference field="0" count="1" selected="0">
            <x v="256"/>
          </reference>
          <reference field="1" count="1" selected="0">
            <x v="24"/>
          </reference>
          <reference field="2" count="1" selected="0">
            <x v="0"/>
          </reference>
          <reference field="3" count="1" selected="0">
            <x v="1"/>
          </reference>
          <reference field="4" count="1">
            <x v="1"/>
          </reference>
        </references>
      </pivotArea>
    </format>
    <format dxfId="362">
      <pivotArea dataOnly="0" labelOnly="1" outline="0" fieldPosition="0">
        <references count="5">
          <reference field="0" count="1" selected="0">
            <x v="257"/>
          </reference>
          <reference field="1" count="1" selected="0">
            <x v="8"/>
          </reference>
          <reference field="2" count="1" selected="0">
            <x v="5"/>
          </reference>
          <reference field="3" count="1" selected="0">
            <x v="0"/>
          </reference>
          <reference field="4" count="1">
            <x v="0"/>
          </reference>
        </references>
      </pivotArea>
    </format>
    <format dxfId="361">
      <pivotArea dataOnly="0" labelOnly="1" outline="0" fieldPosition="0">
        <references count="5">
          <reference field="0" count="1" selected="0">
            <x v="258"/>
          </reference>
          <reference field="1" count="1" selected="0">
            <x v="52"/>
          </reference>
          <reference field="2" count="1" selected="0">
            <x v="1"/>
          </reference>
          <reference field="3" count="1" selected="0">
            <x v="0"/>
          </reference>
          <reference field="4" count="1">
            <x v="1"/>
          </reference>
        </references>
      </pivotArea>
    </format>
    <format dxfId="360">
      <pivotArea dataOnly="0" labelOnly="1" outline="0" fieldPosition="0">
        <references count="5">
          <reference field="0" count="1" selected="0">
            <x v="259"/>
          </reference>
          <reference field="1" count="1" selected="0">
            <x v="54"/>
          </reference>
          <reference field="2" count="1" selected="0">
            <x v="2"/>
          </reference>
          <reference field="3" count="1" selected="0">
            <x v="1"/>
          </reference>
          <reference field="4" count="1">
            <x v="4"/>
          </reference>
        </references>
      </pivotArea>
    </format>
    <format dxfId="359">
      <pivotArea dataOnly="0" labelOnly="1" outline="0" fieldPosition="0">
        <references count="5">
          <reference field="0" count="1" selected="0">
            <x v="260"/>
          </reference>
          <reference field="1" count="1" selected="0">
            <x v="8"/>
          </reference>
          <reference field="2" count="1" selected="0">
            <x v="5"/>
          </reference>
          <reference field="3" count="1" selected="0">
            <x v="7"/>
          </reference>
          <reference field="4" count="1">
            <x v="3"/>
          </reference>
        </references>
      </pivotArea>
    </format>
    <format dxfId="358">
      <pivotArea dataOnly="0" labelOnly="1" outline="0" fieldPosition="0">
        <references count="5">
          <reference field="0" count="1" selected="0">
            <x v="261"/>
          </reference>
          <reference field="1" count="1" selected="0">
            <x v="11"/>
          </reference>
          <reference field="2" count="1" selected="0">
            <x v="4"/>
          </reference>
          <reference field="3" count="1" selected="0">
            <x v="4"/>
          </reference>
          <reference field="4" count="1">
            <x v="0"/>
          </reference>
        </references>
      </pivotArea>
    </format>
    <format dxfId="357">
      <pivotArea dataOnly="0" labelOnly="1" outline="0" fieldPosition="0">
        <references count="5">
          <reference field="0" count="1" selected="0">
            <x v="262"/>
          </reference>
          <reference field="1" count="1" selected="0">
            <x v="51"/>
          </reference>
          <reference field="2" count="1" selected="0">
            <x v="0"/>
          </reference>
          <reference field="3" count="1" selected="0">
            <x v="7"/>
          </reference>
          <reference field="4" count="1">
            <x v="3"/>
          </reference>
        </references>
      </pivotArea>
    </format>
    <format dxfId="356">
      <pivotArea dataOnly="0" labelOnly="1" outline="0" fieldPosition="0">
        <references count="5">
          <reference field="0" count="1" selected="0">
            <x v="263"/>
          </reference>
          <reference field="1" count="1" selected="0">
            <x v="50"/>
          </reference>
          <reference field="2" count="1" selected="0">
            <x v="3"/>
          </reference>
          <reference field="3" count="1" selected="0">
            <x v="6"/>
          </reference>
          <reference field="4" count="1">
            <x v="1"/>
          </reference>
        </references>
      </pivotArea>
    </format>
    <format dxfId="355">
      <pivotArea dataOnly="0" labelOnly="1" outline="0" fieldPosition="0">
        <references count="5">
          <reference field="0" count="1" selected="0">
            <x v="265"/>
          </reference>
          <reference field="1" count="1" selected="0">
            <x v="18"/>
          </reference>
          <reference field="2" count="1" selected="0">
            <x v="2"/>
          </reference>
          <reference field="3" count="1" selected="0">
            <x v="7"/>
          </reference>
          <reference field="4" count="1">
            <x v="3"/>
          </reference>
        </references>
      </pivotArea>
    </format>
    <format dxfId="354">
      <pivotArea dataOnly="0" labelOnly="1" outline="0" fieldPosition="0">
        <references count="5">
          <reference field="0" count="1" selected="0">
            <x v="267"/>
          </reference>
          <reference field="1" count="1" selected="0">
            <x v="32"/>
          </reference>
          <reference field="2" count="1" selected="0">
            <x v="1"/>
          </reference>
          <reference field="3" count="1" selected="0">
            <x v="7"/>
          </reference>
          <reference field="4" count="1">
            <x v="2"/>
          </reference>
        </references>
      </pivotArea>
    </format>
    <format dxfId="353">
      <pivotArea dataOnly="0" labelOnly="1" outline="0" fieldPosition="0">
        <references count="5">
          <reference field="0" count="1" selected="0">
            <x v="268"/>
          </reference>
          <reference field="1" count="1" selected="0">
            <x v="18"/>
          </reference>
          <reference field="2" count="1" selected="0">
            <x v="2"/>
          </reference>
          <reference field="3" count="1" selected="0">
            <x v="2"/>
          </reference>
          <reference field="4" count="1">
            <x v="3"/>
          </reference>
        </references>
      </pivotArea>
    </format>
    <format dxfId="352">
      <pivotArea dataOnly="0" labelOnly="1" outline="0" fieldPosition="0">
        <references count="5">
          <reference field="0" count="1" selected="0">
            <x v="269"/>
          </reference>
          <reference field="1" count="1" selected="0">
            <x v="26"/>
          </reference>
          <reference field="2" count="1" selected="0">
            <x v="5"/>
          </reference>
          <reference field="3" count="1" selected="0">
            <x v="2"/>
          </reference>
          <reference field="4" count="1">
            <x v="0"/>
          </reference>
        </references>
      </pivotArea>
    </format>
    <format dxfId="351">
      <pivotArea dataOnly="0" labelOnly="1" outline="0" fieldPosition="0">
        <references count="5">
          <reference field="0" count="1" selected="0">
            <x v="270"/>
          </reference>
          <reference field="1" count="1" selected="0">
            <x v="5"/>
          </reference>
          <reference field="2" count="1" selected="0">
            <x v="0"/>
          </reference>
          <reference field="3" count="1" selected="0">
            <x v="2"/>
          </reference>
          <reference field="4" count="1">
            <x v="2"/>
          </reference>
        </references>
      </pivotArea>
    </format>
    <format dxfId="350">
      <pivotArea dataOnly="0" labelOnly="1" outline="0" fieldPosition="0">
        <references count="5">
          <reference field="0" count="1" selected="0">
            <x v="272"/>
          </reference>
          <reference field="1" count="1" selected="0">
            <x v="40"/>
          </reference>
          <reference field="2" count="1" selected="0">
            <x v="2"/>
          </reference>
          <reference field="3" count="1" selected="0">
            <x v="4"/>
          </reference>
          <reference field="4" count="1">
            <x v="3"/>
          </reference>
        </references>
      </pivotArea>
    </format>
    <format dxfId="349">
      <pivotArea dataOnly="0" labelOnly="1" outline="0" fieldPosition="0">
        <references count="5">
          <reference field="0" count="1" selected="0">
            <x v="273"/>
          </reference>
          <reference field="1" count="1" selected="0">
            <x v="54"/>
          </reference>
          <reference field="2" count="1" selected="0">
            <x v="2"/>
          </reference>
          <reference field="3" count="1" selected="0">
            <x v="1"/>
          </reference>
          <reference field="4" count="1">
            <x v="4"/>
          </reference>
        </references>
      </pivotArea>
    </format>
    <format dxfId="348">
      <pivotArea dataOnly="0" labelOnly="1" outline="0" fieldPosition="0">
        <references count="5">
          <reference field="0" count="1" selected="0">
            <x v="274"/>
          </reference>
          <reference field="1" count="1" selected="0">
            <x v="32"/>
          </reference>
          <reference field="2" count="1" selected="0">
            <x v="1"/>
          </reference>
          <reference field="3" count="1" selected="0">
            <x v="2"/>
          </reference>
          <reference field="4" count="1">
            <x v="1"/>
          </reference>
        </references>
      </pivotArea>
    </format>
    <format dxfId="347">
      <pivotArea dataOnly="0" labelOnly="1" outline="0" fieldPosition="0">
        <references count="5">
          <reference field="0" count="1" selected="0">
            <x v="275"/>
          </reference>
          <reference field="1" count="1" selected="0">
            <x v="47"/>
          </reference>
          <reference field="2" count="1" selected="0">
            <x v="0"/>
          </reference>
          <reference field="3" count="1" selected="0">
            <x v="2"/>
          </reference>
          <reference field="4" count="1">
            <x v="3"/>
          </reference>
        </references>
      </pivotArea>
    </format>
    <format dxfId="346">
      <pivotArea dataOnly="0" labelOnly="1" outline="0" fieldPosition="0">
        <references count="5">
          <reference field="0" count="1" selected="0">
            <x v="280"/>
          </reference>
          <reference field="1" count="1" selected="0">
            <x v="39"/>
          </reference>
          <reference field="2" count="1" selected="0">
            <x v="2"/>
          </reference>
          <reference field="3" count="1" selected="0">
            <x v="2"/>
          </reference>
          <reference field="4" count="1">
            <x v="0"/>
          </reference>
        </references>
      </pivotArea>
    </format>
    <format dxfId="345">
      <pivotArea dataOnly="0" labelOnly="1" outline="0" fieldPosition="0">
        <references count="5">
          <reference field="0" count="1" selected="0">
            <x v="281"/>
          </reference>
          <reference field="1" count="1" selected="0">
            <x v="51"/>
          </reference>
          <reference field="2" count="1" selected="0">
            <x v="0"/>
          </reference>
          <reference field="3" count="1" selected="0">
            <x v="0"/>
          </reference>
          <reference field="4" count="1">
            <x v="1"/>
          </reference>
        </references>
      </pivotArea>
    </format>
    <format dxfId="344">
      <pivotArea dataOnly="0" labelOnly="1" outline="0" fieldPosition="0">
        <references count="5">
          <reference field="0" count="1" selected="0">
            <x v="282"/>
          </reference>
          <reference field="1" count="1" selected="0">
            <x v="1"/>
          </reference>
          <reference field="2" count="1" selected="0">
            <x v="5"/>
          </reference>
          <reference field="3" count="1" selected="0">
            <x v="4"/>
          </reference>
          <reference field="4" count="1">
            <x v="3"/>
          </reference>
        </references>
      </pivotArea>
    </format>
    <format dxfId="343">
      <pivotArea dataOnly="0" labelOnly="1" outline="0" fieldPosition="0">
        <references count="5">
          <reference field="0" count="1" selected="0">
            <x v="283"/>
          </reference>
          <reference field="1" count="1" selected="0">
            <x v="18"/>
          </reference>
          <reference field="2" count="1" selected="0">
            <x v="2"/>
          </reference>
          <reference field="3" count="1" selected="0">
            <x v="2"/>
          </reference>
          <reference field="4" count="1">
            <x v="2"/>
          </reference>
        </references>
      </pivotArea>
    </format>
    <format dxfId="342">
      <pivotArea dataOnly="0" labelOnly="1" outline="0" fieldPosition="0">
        <references count="5">
          <reference field="0" count="1" selected="0">
            <x v="284"/>
          </reference>
          <reference field="1" count="1" selected="0">
            <x v="34"/>
          </reference>
          <reference field="2" count="1" selected="0">
            <x v="5"/>
          </reference>
          <reference field="3" count="1" selected="0">
            <x v="1"/>
          </reference>
          <reference field="4" count="1">
            <x v="0"/>
          </reference>
        </references>
      </pivotArea>
    </format>
    <format dxfId="341">
      <pivotArea dataOnly="0" labelOnly="1" outline="0" fieldPosition="0">
        <references count="5">
          <reference field="0" count="1" selected="0">
            <x v="285"/>
          </reference>
          <reference field="1" count="1" selected="0">
            <x v="58"/>
          </reference>
          <reference field="2" count="1" selected="0">
            <x v="1"/>
          </reference>
          <reference field="3" count="1" selected="0">
            <x v="2"/>
          </reference>
          <reference field="4" count="1">
            <x v="2"/>
          </reference>
        </references>
      </pivotArea>
    </format>
    <format dxfId="340">
      <pivotArea dataOnly="0" labelOnly="1" outline="0" fieldPosition="0">
        <references count="5">
          <reference field="0" count="1" selected="0">
            <x v="287"/>
          </reference>
          <reference field="1" count="1" selected="0">
            <x v="27"/>
          </reference>
          <reference field="2" count="1" selected="0">
            <x v="0"/>
          </reference>
          <reference field="3" count="1" selected="0">
            <x v="3"/>
          </reference>
          <reference field="4" count="1">
            <x v="4"/>
          </reference>
        </references>
      </pivotArea>
    </format>
    <format dxfId="339">
      <pivotArea dataOnly="0" labelOnly="1" outline="0" fieldPosition="0">
        <references count="5">
          <reference field="0" count="1" selected="0">
            <x v="288"/>
          </reference>
          <reference field="1" count="1" selected="0">
            <x v="46"/>
          </reference>
          <reference field="2" count="1" selected="0">
            <x v="3"/>
          </reference>
          <reference field="3" count="1" selected="0">
            <x v="4"/>
          </reference>
          <reference field="4" count="1">
            <x v="0"/>
          </reference>
        </references>
      </pivotArea>
    </format>
    <format dxfId="338">
      <pivotArea dataOnly="0" labelOnly="1" outline="0" fieldPosition="0">
        <references count="5">
          <reference field="0" count="1" selected="0">
            <x v="290"/>
          </reference>
          <reference field="1" count="1" selected="0">
            <x v="41"/>
          </reference>
          <reference field="2" count="1" selected="0">
            <x v="0"/>
          </reference>
          <reference field="3" count="1" selected="0">
            <x v="3"/>
          </reference>
          <reference field="4" count="1">
            <x v="4"/>
          </reference>
        </references>
      </pivotArea>
    </format>
    <format dxfId="337">
      <pivotArea dataOnly="0" labelOnly="1" outline="0" fieldPosition="0">
        <references count="5">
          <reference field="0" count="1" selected="0">
            <x v="291"/>
          </reference>
          <reference field="1" count="1" selected="0">
            <x v="3"/>
          </reference>
          <reference field="2" count="1" selected="0">
            <x v="4"/>
          </reference>
          <reference field="3" count="1" selected="0">
            <x v="2"/>
          </reference>
          <reference field="4" count="1">
            <x v="3"/>
          </reference>
        </references>
      </pivotArea>
    </format>
    <format dxfId="336">
      <pivotArea dataOnly="0" labelOnly="1" outline="0" fieldPosition="0">
        <references count="5">
          <reference field="0" count="1" selected="0">
            <x v="292"/>
          </reference>
          <reference field="1" count="1" selected="0">
            <x v="56"/>
          </reference>
          <reference field="2" count="1" selected="0">
            <x v="4"/>
          </reference>
          <reference field="3" count="1" selected="0">
            <x v="5"/>
          </reference>
          <reference field="4" count="1">
            <x v="2"/>
          </reference>
        </references>
      </pivotArea>
    </format>
    <format dxfId="335">
      <pivotArea dataOnly="0" labelOnly="1" outline="0" fieldPosition="0">
        <references count="5">
          <reference field="0" count="1" selected="0">
            <x v="293"/>
          </reference>
          <reference field="1" count="1" selected="0">
            <x v="25"/>
          </reference>
          <reference field="2" count="1" selected="0">
            <x v="1"/>
          </reference>
          <reference field="3" count="1" selected="0">
            <x v="5"/>
          </reference>
          <reference field="4" count="1">
            <x v="3"/>
          </reference>
        </references>
      </pivotArea>
    </format>
    <format dxfId="334">
      <pivotArea dataOnly="0" labelOnly="1" outline="0" fieldPosition="0">
        <references count="5">
          <reference field="0" count="1" selected="0">
            <x v="294"/>
          </reference>
          <reference field="1" count="1" selected="0">
            <x v="14"/>
          </reference>
          <reference field="2" count="1" selected="0">
            <x v="4"/>
          </reference>
          <reference field="3" count="1" selected="0">
            <x v="0"/>
          </reference>
          <reference field="4" count="1">
            <x v="0"/>
          </reference>
        </references>
      </pivotArea>
    </format>
    <format dxfId="333">
      <pivotArea dataOnly="0" labelOnly="1" outline="0" fieldPosition="0">
        <references count="5">
          <reference field="0" count="1" selected="0">
            <x v="295"/>
          </reference>
          <reference field="1" count="1" selected="0">
            <x v="5"/>
          </reference>
          <reference field="2" count="1" selected="0">
            <x v="0"/>
          </reference>
          <reference field="3" count="1" selected="0">
            <x v="4"/>
          </reference>
          <reference field="4" count="1">
            <x v="4"/>
          </reference>
        </references>
      </pivotArea>
    </format>
    <format dxfId="332">
      <pivotArea dataOnly="0" labelOnly="1" outline="0" fieldPosition="0">
        <references count="5">
          <reference field="0" count="1" selected="0">
            <x v="297"/>
          </reference>
          <reference field="1" count="1" selected="0">
            <x v="20"/>
          </reference>
          <reference field="2" count="1" selected="0">
            <x v="4"/>
          </reference>
          <reference field="3" count="1" selected="0">
            <x v="0"/>
          </reference>
          <reference field="4" count="1">
            <x v="3"/>
          </reference>
        </references>
      </pivotArea>
    </format>
    <format dxfId="331">
      <pivotArea dataOnly="0" labelOnly="1" outline="0" fieldPosition="0">
        <references count="5">
          <reference field="0" count="1" selected="0">
            <x v="298"/>
          </reference>
          <reference field="1" count="1" selected="0">
            <x v="42"/>
          </reference>
          <reference field="2" count="1" selected="0">
            <x v="2"/>
          </reference>
          <reference field="3" count="1" selected="0">
            <x v="2"/>
          </reference>
          <reference field="4" count="1">
            <x v="1"/>
          </reference>
        </references>
      </pivotArea>
    </format>
    <format dxfId="330">
      <pivotArea dataOnly="0" labelOnly="1" outline="0" fieldPosition="0">
        <references count="6">
          <reference field="0" count="1" selected="0">
            <x v="0"/>
          </reference>
          <reference field="1" count="1" selected="0">
            <x v="0"/>
          </reference>
          <reference field="2" count="1" selected="0">
            <x v="0"/>
          </reference>
          <reference field="3" count="1" selected="0">
            <x v="7"/>
          </reference>
          <reference field="4" count="1" selected="0">
            <x v="0"/>
          </reference>
          <reference field="16" count="1">
            <x v="2"/>
          </reference>
        </references>
      </pivotArea>
    </format>
    <format dxfId="329">
      <pivotArea dataOnly="0" labelOnly="1" outline="0" fieldPosition="0">
        <references count="6">
          <reference field="0" count="1" selected="0">
            <x v="1"/>
          </reference>
          <reference field="1" count="1" selected="0">
            <x v="58"/>
          </reference>
          <reference field="2" count="1" selected="0">
            <x v="1"/>
          </reference>
          <reference field="3" count="1" selected="0">
            <x v="5"/>
          </reference>
          <reference field="4" count="1" selected="0">
            <x v="1"/>
          </reference>
          <reference field="16" count="1">
            <x v="2"/>
          </reference>
        </references>
      </pivotArea>
    </format>
    <format dxfId="328">
      <pivotArea dataOnly="0" labelOnly="1" outline="0" fieldPosition="0">
        <references count="6">
          <reference field="0" count="1" selected="0">
            <x v="2"/>
          </reference>
          <reference field="1" count="1" selected="0">
            <x v="35"/>
          </reference>
          <reference field="2" count="1" selected="0">
            <x v="4"/>
          </reference>
          <reference field="3" count="1" selected="0">
            <x v="6"/>
          </reference>
          <reference field="4" count="1" selected="0">
            <x v="3"/>
          </reference>
          <reference field="16" count="1">
            <x v="2"/>
          </reference>
        </references>
      </pivotArea>
    </format>
    <format dxfId="327">
      <pivotArea dataOnly="0" labelOnly="1" outline="0" fieldPosition="0">
        <references count="6">
          <reference field="0" count="1" selected="0">
            <x v="3"/>
          </reference>
          <reference field="1" count="1" selected="0">
            <x v="33"/>
          </reference>
          <reference field="2" count="1" selected="0">
            <x v="4"/>
          </reference>
          <reference field="3" count="1" selected="0">
            <x v="3"/>
          </reference>
          <reference field="4" count="1" selected="0">
            <x v="0"/>
          </reference>
          <reference field="16" count="1">
            <x v="2"/>
          </reference>
        </references>
      </pivotArea>
    </format>
    <format dxfId="326">
      <pivotArea dataOnly="0" labelOnly="1" outline="0" fieldPosition="0">
        <references count="6">
          <reference field="0" count="1" selected="0">
            <x v="4"/>
          </reference>
          <reference field="1" count="1" selected="0">
            <x v="8"/>
          </reference>
          <reference field="2" count="1" selected="0">
            <x v="5"/>
          </reference>
          <reference field="3" count="1" selected="0">
            <x v="3"/>
          </reference>
          <reference field="4" count="1" selected="0">
            <x v="2"/>
          </reference>
          <reference field="16" count="1">
            <x v="2"/>
          </reference>
        </references>
      </pivotArea>
    </format>
    <format dxfId="325">
      <pivotArea dataOnly="0" labelOnly="1" outline="0" fieldPosition="0">
        <references count="6">
          <reference field="0" count="1" selected="0">
            <x v="5"/>
          </reference>
          <reference field="1" count="1" selected="0">
            <x v="36"/>
          </reference>
          <reference field="2" count="1" selected="0">
            <x v="1"/>
          </reference>
          <reference field="3" count="1" selected="0">
            <x v="6"/>
          </reference>
          <reference field="4" count="1" selected="0">
            <x v="4"/>
          </reference>
          <reference field="16" count="1">
            <x v="2"/>
          </reference>
        </references>
      </pivotArea>
    </format>
    <format dxfId="324">
      <pivotArea dataOnly="0" labelOnly="1" outline="0" fieldPosition="0">
        <references count="6">
          <reference field="0" count="1" selected="0">
            <x v="6"/>
          </reference>
          <reference field="1" count="1" selected="0">
            <x v="23"/>
          </reference>
          <reference field="2" count="1" selected="0">
            <x v="2"/>
          </reference>
          <reference field="3" count="1" selected="0">
            <x v="0"/>
          </reference>
          <reference field="4" count="1" selected="0">
            <x v="4"/>
          </reference>
          <reference field="16" count="1">
            <x v="2"/>
          </reference>
        </references>
      </pivotArea>
    </format>
    <format dxfId="323">
      <pivotArea dataOnly="0" labelOnly="1" outline="0" fieldPosition="0">
        <references count="6">
          <reference field="0" count="1" selected="0">
            <x v="7"/>
          </reference>
          <reference field="1" count="1" selected="0">
            <x v="16"/>
          </reference>
          <reference field="2" count="1" selected="0">
            <x v="5"/>
          </reference>
          <reference field="3" count="1" selected="0">
            <x v="6"/>
          </reference>
          <reference field="4" count="1" selected="0">
            <x v="3"/>
          </reference>
          <reference field="16" count="1">
            <x v="2"/>
          </reference>
        </references>
      </pivotArea>
    </format>
    <format dxfId="322">
      <pivotArea dataOnly="0" labelOnly="1" outline="0" fieldPosition="0">
        <references count="6">
          <reference field="0" count="1" selected="0">
            <x v="8"/>
          </reference>
          <reference field="1" count="1" selected="0">
            <x v="9"/>
          </reference>
          <reference field="2" count="1" selected="0">
            <x v="3"/>
          </reference>
          <reference field="3" count="1" selected="0">
            <x v="0"/>
          </reference>
          <reference field="4" count="1" selected="0">
            <x v="1"/>
          </reference>
          <reference field="16" count="1">
            <x v="2"/>
          </reference>
        </references>
      </pivotArea>
    </format>
    <format dxfId="321">
      <pivotArea dataOnly="0" labelOnly="1" outline="0" fieldPosition="0">
        <references count="6">
          <reference field="0" count="1" selected="0">
            <x v="9"/>
          </reference>
          <reference field="1" count="1" selected="0">
            <x v="50"/>
          </reference>
          <reference field="2" count="1" selected="0">
            <x v="3"/>
          </reference>
          <reference field="3" count="1" selected="0">
            <x v="4"/>
          </reference>
          <reference field="4" count="1" selected="0">
            <x v="3"/>
          </reference>
          <reference field="16" count="1">
            <x v="2"/>
          </reference>
        </references>
      </pivotArea>
    </format>
    <format dxfId="320">
      <pivotArea dataOnly="0" labelOnly="1" outline="0" fieldPosition="0">
        <references count="6">
          <reference field="0" count="1" selected="0">
            <x v="10"/>
          </reference>
          <reference field="1" count="1" selected="0">
            <x v="14"/>
          </reference>
          <reference field="2" count="1" selected="0">
            <x v="4"/>
          </reference>
          <reference field="3" count="1" selected="0">
            <x v="4"/>
          </reference>
          <reference field="4" count="1" selected="0">
            <x v="2"/>
          </reference>
          <reference field="16" count="1">
            <x v="2"/>
          </reference>
        </references>
      </pivotArea>
    </format>
    <format dxfId="319">
      <pivotArea dataOnly="0" labelOnly="1" outline="0" fieldPosition="0">
        <references count="6">
          <reference field="0" count="1" selected="0">
            <x v="11"/>
          </reference>
          <reference field="1" count="1" selected="0">
            <x v="27"/>
          </reference>
          <reference field="2" count="1" selected="0">
            <x v="0"/>
          </reference>
          <reference field="3" count="1" selected="0">
            <x v="5"/>
          </reference>
          <reference field="4" count="1" selected="0">
            <x v="0"/>
          </reference>
          <reference field="16" count="1">
            <x v="2"/>
          </reference>
        </references>
      </pivotArea>
    </format>
    <format dxfId="318">
      <pivotArea dataOnly="0" labelOnly="1" outline="0" fieldPosition="0">
        <references count="6">
          <reference field="0" count="1" selected="0">
            <x v="12"/>
          </reference>
          <reference field="1" count="1" selected="0">
            <x v="28"/>
          </reference>
          <reference field="2" count="1" selected="0">
            <x v="3"/>
          </reference>
          <reference field="3" count="1" selected="0">
            <x v="5"/>
          </reference>
          <reference field="4" count="1" selected="0">
            <x v="0"/>
          </reference>
          <reference field="16" count="1">
            <x v="2"/>
          </reference>
        </references>
      </pivotArea>
    </format>
    <format dxfId="317">
      <pivotArea dataOnly="0" labelOnly="1" outline="0" fieldPosition="0">
        <references count="6">
          <reference field="0" count="1" selected="0">
            <x v="13"/>
          </reference>
          <reference field="1" count="1" selected="0">
            <x v="37"/>
          </reference>
          <reference field="2" count="1" selected="0">
            <x v="1"/>
          </reference>
          <reference field="3" count="1" selected="0">
            <x v="3"/>
          </reference>
          <reference field="4" count="1" selected="0">
            <x v="4"/>
          </reference>
          <reference field="16" count="1">
            <x v="2"/>
          </reference>
        </references>
      </pivotArea>
    </format>
    <format dxfId="316">
      <pivotArea dataOnly="0" labelOnly="1" outline="0" fieldPosition="0">
        <references count="6">
          <reference field="0" count="1" selected="0">
            <x v="14"/>
          </reference>
          <reference field="1" count="1" selected="0">
            <x v="15"/>
          </reference>
          <reference field="2" count="1" selected="0">
            <x v="2"/>
          </reference>
          <reference field="3" count="1" selected="0">
            <x v="5"/>
          </reference>
          <reference field="4" count="1" selected="0">
            <x v="4"/>
          </reference>
          <reference field="16" count="1">
            <x v="2"/>
          </reference>
        </references>
      </pivotArea>
    </format>
    <format dxfId="315">
      <pivotArea dataOnly="0" labelOnly="1" outline="0" fieldPosition="0">
        <references count="6">
          <reference field="0" count="1" selected="0">
            <x v="15"/>
          </reference>
          <reference field="1" count="1" selected="0">
            <x v="9"/>
          </reference>
          <reference field="2" count="1" selected="0">
            <x v="3"/>
          </reference>
          <reference field="3" count="1" selected="0">
            <x v="1"/>
          </reference>
          <reference field="4" count="1" selected="0">
            <x v="1"/>
          </reference>
          <reference field="16" count="1">
            <x v="1"/>
          </reference>
        </references>
      </pivotArea>
    </format>
    <format dxfId="314">
      <pivotArea dataOnly="0" labelOnly="1" outline="0" fieldPosition="0">
        <references count="6">
          <reference field="0" count="1" selected="0">
            <x v="16"/>
          </reference>
          <reference field="1" count="1" selected="0">
            <x v="3"/>
          </reference>
          <reference field="2" count="1" selected="0">
            <x v="4"/>
          </reference>
          <reference field="3" count="1" selected="0">
            <x v="4"/>
          </reference>
          <reference field="4" count="1" selected="0">
            <x v="3"/>
          </reference>
          <reference field="16" count="1">
            <x v="1"/>
          </reference>
        </references>
      </pivotArea>
    </format>
    <format dxfId="313">
      <pivotArea dataOnly="0" labelOnly="1" outline="0" fieldPosition="0">
        <references count="6">
          <reference field="0" count="1" selected="0">
            <x v="17"/>
          </reference>
          <reference field="1" count="1" selected="0">
            <x v="58"/>
          </reference>
          <reference field="2" count="1" selected="0">
            <x v="1"/>
          </reference>
          <reference field="3" count="1" selected="0">
            <x v="2"/>
          </reference>
          <reference field="4" count="1" selected="0">
            <x v="3"/>
          </reference>
          <reference field="16" count="1">
            <x v="1"/>
          </reference>
        </references>
      </pivotArea>
    </format>
    <format dxfId="312">
      <pivotArea dataOnly="0" labelOnly="1" outline="0" fieldPosition="0">
        <references count="6">
          <reference field="0" count="1" selected="0">
            <x v="18"/>
          </reference>
          <reference field="1" count="1" selected="0">
            <x v="40"/>
          </reference>
          <reference field="2" count="1" selected="0">
            <x v="2"/>
          </reference>
          <reference field="3" count="1" selected="0">
            <x v="4"/>
          </reference>
          <reference field="4" count="1" selected="0">
            <x v="1"/>
          </reference>
          <reference field="16" count="1">
            <x v="1"/>
          </reference>
        </references>
      </pivotArea>
    </format>
    <format dxfId="311">
      <pivotArea dataOnly="0" labelOnly="1" outline="0" fieldPosition="0">
        <references count="6">
          <reference field="0" count="1" selected="0">
            <x v="19"/>
          </reference>
          <reference field="1" count="1" selected="0">
            <x v="12"/>
          </reference>
          <reference field="2" count="1" selected="0">
            <x v="4"/>
          </reference>
          <reference field="3" count="1" selected="0">
            <x v="7"/>
          </reference>
          <reference field="4" count="1" selected="0">
            <x v="3"/>
          </reference>
          <reference field="16" count="1">
            <x v="1"/>
          </reference>
        </references>
      </pivotArea>
    </format>
    <format dxfId="310">
      <pivotArea dataOnly="0" labelOnly="1" outline="0" fieldPosition="0">
        <references count="6">
          <reference field="0" count="1" selected="0">
            <x v="20"/>
          </reference>
          <reference field="1" count="1" selected="0">
            <x v="17"/>
          </reference>
          <reference field="2" count="1" selected="0">
            <x v="4"/>
          </reference>
          <reference field="3" count="1" selected="0">
            <x v="1"/>
          </reference>
          <reference field="4" count="1" selected="0">
            <x v="1"/>
          </reference>
          <reference field="16" count="1">
            <x v="1"/>
          </reference>
        </references>
      </pivotArea>
    </format>
    <format dxfId="309">
      <pivotArea dataOnly="0" labelOnly="1" outline="0" fieldPosition="0">
        <references count="6">
          <reference field="0" count="1" selected="0">
            <x v="21"/>
          </reference>
          <reference field="1" count="1" selected="0">
            <x v="4"/>
          </reference>
          <reference field="2" count="1" selected="0">
            <x v="0"/>
          </reference>
          <reference field="3" count="1" selected="0">
            <x v="7"/>
          </reference>
          <reference field="4" count="1" selected="0">
            <x v="3"/>
          </reference>
          <reference field="16" count="1">
            <x v="1"/>
          </reference>
        </references>
      </pivotArea>
    </format>
    <format dxfId="308">
      <pivotArea dataOnly="0" labelOnly="1" outline="0" fieldPosition="0">
        <references count="6">
          <reference field="0" count="1" selected="0">
            <x v="22"/>
          </reference>
          <reference field="1" count="1" selected="0">
            <x v="49"/>
          </reference>
          <reference field="2" count="1" selected="0">
            <x v="3"/>
          </reference>
          <reference field="3" count="1" selected="0">
            <x v="7"/>
          </reference>
          <reference field="4" count="1" selected="0">
            <x v="4"/>
          </reference>
          <reference field="16" count="1">
            <x v="1"/>
          </reference>
        </references>
      </pivotArea>
    </format>
    <format dxfId="307">
      <pivotArea dataOnly="0" labelOnly="1" outline="0" fieldPosition="0">
        <references count="6">
          <reference field="0" count="1" selected="0">
            <x v="23"/>
          </reference>
          <reference field="1" count="1" selected="0">
            <x v="31"/>
          </reference>
          <reference field="2" count="1" selected="0">
            <x v="3"/>
          </reference>
          <reference field="3" count="1" selected="0">
            <x v="6"/>
          </reference>
          <reference field="4" count="1" selected="0">
            <x v="1"/>
          </reference>
          <reference field="16" count="1">
            <x v="1"/>
          </reference>
        </references>
      </pivotArea>
    </format>
    <format dxfId="306">
      <pivotArea dataOnly="0" labelOnly="1" outline="0" fieldPosition="0">
        <references count="6">
          <reference field="0" count="1" selected="0">
            <x v="24"/>
          </reference>
          <reference field="1" count="1" selected="0">
            <x v="21"/>
          </reference>
          <reference field="2" count="1" selected="0">
            <x v="2"/>
          </reference>
          <reference field="3" count="1" selected="0">
            <x v="0"/>
          </reference>
          <reference field="4" count="1" selected="0">
            <x v="3"/>
          </reference>
          <reference field="16" count="1">
            <x v="1"/>
          </reference>
        </references>
      </pivotArea>
    </format>
    <format dxfId="305">
      <pivotArea dataOnly="0" labelOnly="1" outline="0" fieldPosition="0">
        <references count="6">
          <reference field="0" count="1" selected="0">
            <x v="25"/>
          </reference>
          <reference field="1" count="1" selected="0">
            <x v="23"/>
          </reference>
          <reference field="2" count="1" selected="0">
            <x v="2"/>
          </reference>
          <reference field="3" count="1" selected="0">
            <x v="7"/>
          </reference>
          <reference field="4" count="1" selected="0">
            <x v="2"/>
          </reference>
          <reference field="16" count="1">
            <x v="1"/>
          </reference>
        </references>
      </pivotArea>
    </format>
    <format dxfId="304">
      <pivotArea dataOnly="0" labelOnly="1" outline="0" fieldPosition="0">
        <references count="6">
          <reference field="0" count="1" selected="0">
            <x v="26"/>
          </reference>
          <reference field="1" count="1" selected="0">
            <x v="9"/>
          </reference>
          <reference field="2" count="1" selected="0">
            <x v="3"/>
          </reference>
          <reference field="3" count="1" selected="0">
            <x v="1"/>
          </reference>
          <reference field="4" count="1" selected="0">
            <x v="1"/>
          </reference>
          <reference field="16" count="1">
            <x v="1"/>
          </reference>
        </references>
      </pivotArea>
    </format>
    <format dxfId="303">
      <pivotArea dataOnly="0" labelOnly="1" outline="0" fieldPosition="0">
        <references count="6">
          <reference field="0" count="1" selected="0">
            <x v="27"/>
          </reference>
          <reference field="1" count="1" selected="0">
            <x v="22"/>
          </reference>
          <reference field="2" count="1" selected="0">
            <x v="2"/>
          </reference>
          <reference field="3" count="1" selected="0">
            <x v="5"/>
          </reference>
          <reference field="4" count="1" selected="0">
            <x v="3"/>
          </reference>
          <reference field="16" count="1">
            <x v="1"/>
          </reference>
        </references>
      </pivotArea>
    </format>
    <format dxfId="302">
      <pivotArea dataOnly="0" labelOnly="1" outline="0" fieldPosition="0">
        <references count="6">
          <reference field="0" count="1" selected="0">
            <x v="28"/>
          </reference>
          <reference field="1" count="1" selected="0">
            <x v="19"/>
          </reference>
          <reference field="2" count="1" selected="0">
            <x v="5"/>
          </reference>
          <reference field="3" count="1" selected="0">
            <x v="0"/>
          </reference>
          <reference field="4" count="1" selected="0">
            <x v="4"/>
          </reference>
          <reference field="16" count="1">
            <x v="1"/>
          </reference>
        </references>
      </pivotArea>
    </format>
    <format dxfId="301">
      <pivotArea dataOnly="0" labelOnly="1" outline="0" fieldPosition="0">
        <references count="6">
          <reference field="0" count="1" selected="0">
            <x v="29"/>
          </reference>
          <reference field="1" count="1" selected="0">
            <x v="4"/>
          </reference>
          <reference field="2" count="1" selected="0">
            <x v="0"/>
          </reference>
          <reference field="3" count="1" selected="0">
            <x v="6"/>
          </reference>
          <reference field="4" count="1" selected="0">
            <x v="3"/>
          </reference>
          <reference field="16" count="1">
            <x v="1"/>
          </reference>
        </references>
      </pivotArea>
    </format>
    <format dxfId="300">
      <pivotArea dataOnly="0" labelOnly="1" outline="0" fieldPosition="0">
        <references count="6">
          <reference field="0" count="1" selected="0">
            <x v="30"/>
          </reference>
          <reference field="1" count="1" selected="0">
            <x v="23"/>
          </reference>
          <reference field="2" count="1" selected="0">
            <x v="2"/>
          </reference>
          <reference field="3" count="1" selected="0">
            <x v="3"/>
          </reference>
          <reference field="4" count="1" selected="0">
            <x v="1"/>
          </reference>
          <reference field="16" count="1">
            <x v="1"/>
          </reference>
        </references>
      </pivotArea>
    </format>
    <format dxfId="299">
      <pivotArea dataOnly="0" labelOnly="1" outline="0" fieldPosition="0">
        <references count="6">
          <reference field="0" count="1" selected="0">
            <x v="31"/>
          </reference>
          <reference field="1" count="1" selected="0">
            <x v="34"/>
          </reference>
          <reference field="2" count="1" selected="0">
            <x v="5"/>
          </reference>
          <reference field="3" count="1" selected="0">
            <x v="7"/>
          </reference>
          <reference field="4" count="1" selected="0">
            <x v="0"/>
          </reference>
          <reference field="16" count="1">
            <x v="1"/>
          </reference>
        </references>
      </pivotArea>
    </format>
    <format dxfId="298">
      <pivotArea dataOnly="0" labelOnly="1" outline="0" fieldPosition="0">
        <references count="6">
          <reference field="0" count="1" selected="0">
            <x v="32"/>
          </reference>
          <reference field="1" count="1" selected="0">
            <x v="53"/>
          </reference>
          <reference field="2" count="1" selected="0">
            <x v="1"/>
          </reference>
          <reference field="3" count="1" selected="0">
            <x v="0"/>
          </reference>
          <reference field="4" count="1" selected="0">
            <x v="2"/>
          </reference>
          <reference field="16" count="1">
            <x v="1"/>
          </reference>
        </references>
      </pivotArea>
    </format>
    <format dxfId="297">
      <pivotArea dataOnly="0" labelOnly="1" outline="0" fieldPosition="0">
        <references count="6">
          <reference field="0" count="1" selected="0">
            <x v="33"/>
          </reference>
          <reference field="1" count="1" selected="0">
            <x v="45"/>
          </reference>
          <reference field="2" count="1" selected="0">
            <x v="5"/>
          </reference>
          <reference field="3" count="1" selected="0">
            <x v="2"/>
          </reference>
          <reference field="4" count="1" selected="0">
            <x v="3"/>
          </reference>
          <reference field="16" count="1">
            <x v="1"/>
          </reference>
        </references>
      </pivotArea>
    </format>
    <format dxfId="296">
      <pivotArea dataOnly="0" labelOnly="1" outline="0" fieldPosition="0">
        <references count="6">
          <reference field="0" count="1" selected="0">
            <x v="34"/>
          </reference>
          <reference field="1" count="1" selected="0">
            <x v="49"/>
          </reference>
          <reference field="2" count="1" selected="0">
            <x v="3"/>
          </reference>
          <reference field="3" count="1" selected="0">
            <x v="7"/>
          </reference>
          <reference field="4" count="1" selected="0">
            <x v="1"/>
          </reference>
          <reference field="16" count="1">
            <x v="1"/>
          </reference>
        </references>
      </pivotArea>
    </format>
    <format dxfId="295">
      <pivotArea dataOnly="0" labelOnly="1" outline="0" fieldPosition="0">
        <references count="6">
          <reference field="0" count="1" selected="0">
            <x v="35"/>
          </reference>
          <reference field="1" count="1" selected="0">
            <x v="0"/>
          </reference>
          <reference field="2" count="1" selected="0">
            <x v="0"/>
          </reference>
          <reference field="3" count="1" selected="0">
            <x v="1"/>
          </reference>
          <reference field="4" count="1" selected="0">
            <x v="3"/>
          </reference>
          <reference field="16" count="1">
            <x v="1"/>
          </reference>
        </references>
      </pivotArea>
    </format>
    <format dxfId="294">
      <pivotArea dataOnly="0" labelOnly="1" outline="0" fieldPosition="0">
        <references count="6">
          <reference field="0" count="1" selected="0">
            <x v="36"/>
          </reference>
          <reference field="1" count="1" selected="0">
            <x v="6"/>
          </reference>
          <reference field="2" count="1" selected="0">
            <x v="3"/>
          </reference>
          <reference field="3" count="1" selected="0">
            <x v="2"/>
          </reference>
          <reference field="4" count="1" selected="0">
            <x v="4"/>
          </reference>
          <reference field="16" count="1">
            <x v="1"/>
          </reference>
        </references>
      </pivotArea>
    </format>
    <format dxfId="293">
      <pivotArea dataOnly="0" labelOnly="1" outline="0" fieldPosition="0">
        <references count="6">
          <reference field="0" count="1" selected="0">
            <x v="37"/>
          </reference>
          <reference field="1" count="1" selected="0">
            <x v="4"/>
          </reference>
          <reference field="2" count="1" selected="0">
            <x v="0"/>
          </reference>
          <reference field="3" count="1" selected="0">
            <x v="3"/>
          </reference>
          <reference field="4" count="1" selected="0">
            <x v="3"/>
          </reference>
          <reference field="16" count="1">
            <x v="1"/>
          </reference>
        </references>
      </pivotArea>
    </format>
    <format dxfId="292">
      <pivotArea dataOnly="0" labelOnly="1" outline="0" fieldPosition="0">
        <references count="6">
          <reference field="0" count="1" selected="0">
            <x v="38"/>
          </reference>
          <reference field="1" count="1" selected="0">
            <x v="35"/>
          </reference>
          <reference field="2" count="1" selected="0">
            <x v="4"/>
          </reference>
          <reference field="3" count="1" selected="0">
            <x v="5"/>
          </reference>
          <reference field="4" count="1" selected="0">
            <x v="4"/>
          </reference>
          <reference field="16" count="1">
            <x v="1"/>
          </reference>
        </references>
      </pivotArea>
    </format>
    <format dxfId="291">
      <pivotArea dataOnly="0" labelOnly="1" outline="0" fieldPosition="0">
        <references count="6">
          <reference field="0" count="1" selected="0">
            <x v="39"/>
          </reference>
          <reference field="1" count="1" selected="0">
            <x v="41"/>
          </reference>
          <reference field="2" count="1" selected="0">
            <x v="0"/>
          </reference>
          <reference field="3" count="1" selected="0">
            <x v="3"/>
          </reference>
          <reference field="4" count="1" selected="0">
            <x v="4"/>
          </reference>
          <reference field="16" count="1">
            <x v="1"/>
          </reference>
        </references>
      </pivotArea>
    </format>
    <format dxfId="290">
      <pivotArea dataOnly="0" labelOnly="1" outline="0" fieldPosition="0">
        <references count="6">
          <reference field="0" count="1" selected="0">
            <x v="40"/>
          </reference>
          <reference field="1" count="1" selected="0">
            <x v="47"/>
          </reference>
          <reference field="2" count="1" selected="0">
            <x v="0"/>
          </reference>
          <reference field="3" count="1" selected="0">
            <x v="3"/>
          </reference>
          <reference field="4" count="1" selected="0">
            <x v="4"/>
          </reference>
          <reference field="16" count="1">
            <x v="1"/>
          </reference>
        </references>
      </pivotArea>
    </format>
    <format dxfId="289">
      <pivotArea dataOnly="0" labelOnly="1" outline="0" fieldPosition="0">
        <references count="6">
          <reference field="0" count="1" selected="0">
            <x v="41"/>
          </reference>
          <reference field="1" count="1" selected="0">
            <x v="22"/>
          </reference>
          <reference field="2" count="1" selected="0">
            <x v="2"/>
          </reference>
          <reference field="3" count="1" selected="0">
            <x v="6"/>
          </reference>
          <reference field="4" count="1" selected="0">
            <x v="4"/>
          </reference>
          <reference field="16" count="1">
            <x v="1"/>
          </reference>
        </references>
      </pivotArea>
    </format>
    <format dxfId="288">
      <pivotArea dataOnly="0" labelOnly="1" outline="0" fieldPosition="0">
        <references count="6">
          <reference field="0" count="1" selected="0">
            <x v="42"/>
          </reference>
          <reference field="1" count="1" selected="0">
            <x v="12"/>
          </reference>
          <reference field="2" count="1" selected="0">
            <x v="4"/>
          </reference>
          <reference field="3" count="1" selected="0">
            <x v="4"/>
          </reference>
          <reference field="4" count="1" selected="0">
            <x v="1"/>
          </reference>
          <reference field="16" count="1">
            <x v="1"/>
          </reference>
        </references>
      </pivotArea>
    </format>
    <format dxfId="287">
      <pivotArea dataOnly="0" labelOnly="1" outline="0" fieldPosition="0">
        <references count="6">
          <reference field="0" count="1" selected="0">
            <x v="43"/>
          </reference>
          <reference field="1" count="1" selected="0">
            <x v="30"/>
          </reference>
          <reference field="2" count="1" selected="0">
            <x v="1"/>
          </reference>
          <reference field="3" count="1" selected="0">
            <x v="6"/>
          </reference>
          <reference field="4" count="1" selected="0">
            <x v="1"/>
          </reference>
          <reference field="16" count="1">
            <x v="1"/>
          </reference>
        </references>
      </pivotArea>
    </format>
    <format dxfId="286">
      <pivotArea dataOnly="0" labelOnly="1" outline="0" fieldPosition="0">
        <references count="6">
          <reference field="0" count="1" selected="0">
            <x v="44"/>
          </reference>
          <reference field="1" count="1" selected="0">
            <x v="14"/>
          </reference>
          <reference field="2" count="1" selected="0">
            <x v="4"/>
          </reference>
          <reference field="3" count="1" selected="0">
            <x v="2"/>
          </reference>
          <reference field="4" count="1" selected="0">
            <x v="4"/>
          </reference>
          <reference field="16" count="1">
            <x v="1"/>
          </reference>
        </references>
      </pivotArea>
    </format>
    <format dxfId="285">
      <pivotArea dataOnly="0" labelOnly="1" outline="0" fieldPosition="0">
        <references count="6">
          <reference field="0" count="1" selected="0">
            <x v="45"/>
          </reference>
          <reference field="1" count="1" selected="0">
            <x v="50"/>
          </reference>
          <reference field="2" count="1" selected="0">
            <x v="3"/>
          </reference>
          <reference field="3" count="1" selected="0">
            <x v="4"/>
          </reference>
          <reference field="4" count="1" selected="0">
            <x v="3"/>
          </reference>
          <reference field="16" count="1">
            <x v="1"/>
          </reference>
        </references>
      </pivotArea>
    </format>
    <format dxfId="284">
      <pivotArea dataOnly="0" labelOnly="1" outline="0" fieldPosition="0">
        <references count="6">
          <reference field="0" count="1" selected="0">
            <x v="46"/>
          </reference>
          <reference field="1" count="1" selected="0">
            <x v="42"/>
          </reference>
          <reference field="2" count="1" selected="0">
            <x v="2"/>
          </reference>
          <reference field="3" count="1" selected="0">
            <x v="4"/>
          </reference>
          <reference field="4" count="1" selected="0">
            <x v="2"/>
          </reference>
          <reference field="16" count="1">
            <x v="1"/>
          </reference>
        </references>
      </pivotArea>
    </format>
    <format dxfId="283">
      <pivotArea dataOnly="0" labelOnly="1" outline="0" fieldPosition="0">
        <references count="6">
          <reference field="0" count="1" selected="0">
            <x v="47"/>
          </reference>
          <reference field="1" count="1" selected="0">
            <x v="9"/>
          </reference>
          <reference field="2" count="1" selected="0">
            <x v="3"/>
          </reference>
          <reference field="3" count="1" selected="0">
            <x v="4"/>
          </reference>
          <reference field="4" count="1" selected="0">
            <x v="1"/>
          </reference>
          <reference field="16" count="1">
            <x v="1"/>
          </reference>
        </references>
      </pivotArea>
    </format>
    <format dxfId="282">
      <pivotArea dataOnly="0" labelOnly="1" outline="0" fieldPosition="0">
        <references count="6">
          <reference field="0" count="1" selected="0">
            <x v="48"/>
          </reference>
          <reference field="1" count="1" selected="0">
            <x v="31"/>
          </reference>
          <reference field="2" count="1" selected="0">
            <x v="3"/>
          </reference>
          <reference field="3" count="1" selected="0">
            <x v="1"/>
          </reference>
          <reference field="4" count="1" selected="0">
            <x v="1"/>
          </reference>
          <reference field="16" count="1">
            <x v="1"/>
          </reference>
        </references>
      </pivotArea>
    </format>
    <format dxfId="281">
      <pivotArea dataOnly="0" labelOnly="1" outline="0" fieldPosition="0">
        <references count="6">
          <reference field="0" count="1" selected="0">
            <x v="49"/>
          </reference>
          <reference field="1" count="1" selected="0">
            <x v="14"/>
          </reference>
          <reference field="2" count="1" selected="0">
            <x v="4"/>
          </reference>
          <reference field="3" count="1" selected="0">
            <x v="7"/>
          </reference>
          <reference field="4" count="1" selected="0">
            <x v="2"/>
          </reference>
          <reference field="16" count="1">
            <x v="1"/>
          </reference>
        </references>
      </pivotArea>
    </format>
    <format dxfId="280">
      <pivotArea dataOnly="0" labelOnly="1" outline="0" fieldPosition="0">
        <references count="6">
          <reference field="0" count="1" selected="0">
            <x v="50"/>
          </reference>
          <reference field="1" count="1" selected="0">
            <x v="23"/>
          </reference>
          <reference field="2" count="1" selected="0">
            <x v="2"/>
          </reference>
          <reference field="3" count="1" selected="0">
            <x v="4"/>
          </reference>
          <reference field="4" count="1" selected="0">
            <x v="1"/>
          </reference>
          <reference field="16" count="1">
            <x v="1"/>
          </reference>
        </references>
      </pivotArea>
    </format>
    <format dxfId="279">
      <pivotArea dataOnly="0" labelOnly="1" outline="0" fieldPosition="0">
        <references count="6">
          <reference field="0" count="1" selected="0">
            <x v="51"/>
          </reference>
          <reference field="1" count="1" selected="0">
            <x v="17"/>
          </reference>
          <reference field="2" count="1" selected="0">
            <x v="4"/>
          </reference>
          <reference field="3" count="1" selected="0">
            <x v="7"/>
          </reference>
          <reference field="4" count="1" selected="0">
            <x v="4"/>
          </reference>
          <reference field="16" count="1">
            <x v="1"/>
          </reference>
        </references>
      </pivotArea>
    </format>
    <format dxfId="278">
      <pivotArea dataOnly="0" labelOnly="1" outline="0" fieldPosition="0">
        <references count="6">
          <reference field="0" count="1" selected="0">
            <x v="52"/>
          </reference>
          <reference field="1" count="1" selected="0">
            <x v="16"/>
          </reference>
          <reference field="2" count="1" selected="0">
            <x v="5"/>
          </reference>
          <reference field="3" count="1" selected="0">
            <x v="3"/>
          </reference>
          <reference field="4" count="1" selected="0">
            <x v="1"/>
          </reference>
          <reference field="16" count="1">
            <x v="1"/>
          </reference>
        </references>
      </pivotArea>
    </format>
    <format dxfId="277">
      <pivotArea dataOnly="0" labelOnly="1" outline="0" fieldPosition="0">
        <references count="6">
          <reference field="0" count="1" selected="0">
            <x v="53"/>
          </reference>
          <reference field="1" count="1" selected="0">
            <x v="10"/>
          </reference>
          <reference field="2" count="1" selected="0">
            <x v="4"/>
          </reference>
          <reference field="3" count="1" selected="0">
            <x v="7"/>
          </reference>
          <reference field="4" count="1" selected="0">
            <x v="0"/>
          </reference>
          <reference field="16" count="1">
            <x v="1"/>
          </reference>
        </references>
      </pivotArea>
    </format>
    <format dxfId="276">
      <pivotArea dataOnly="0" labelOnly="1" outline="0" fieldPosition="0">
        <references count="6">
          <reference field="0" count="1" selected="0">
            <x v="54"/>
          </reference>
          <reference field="1" count="1" selected="0">
            <x v="40"/>
          </reference>
          <reference field="2" count="1" selected="0">
            <x v="2"/>
          </reference>
          <reference field="3" count="1" selected="0">
            <x v="2"/>
          </reference>
          <reference field="4" count="1" selected="0">
            <x v="1"/>
          </reference>
          <reference field="16" count="1">
            <x v="1"/>
          </reference>
        </references>
      </pivotArea>
    </format>
    <format dxfId="275">
      <pivotArea dataOnly="0" labelOnly="1" outline="0" fieldPosition="0">
        <references count="6">
          <reference field="0" count="1" selected="0">
            <x v="55"/>
          </reference>
          <reference field="1" count="1" selected="0">
            <x v="13"/>
          </reference>
          <reference field="2" count="1" selected="0">
            <x v="3"/>
          </reference>
          <reference field="3" count="1" selected="0">
            <x v="5"/>
          </reference>
          <reference field="4" count="1" selected="0">
            <x v="1"/>
          </reference>
          <reference field="16" count="1">
            <x v="1"/>
          </reference>
        </references>
      </pivotArea>
    </format>
    <format dxfId="274">
      <pivotArea dataOnly="0" labelOnly="1" outline="0" fieldPosition="0">
        <references count="6">
          <reference field="0" count="1" selected="0">
            <x v="56"/>
          </reference>
          <reference field="1" count="1" selected="0">
            <x v="37"/>
          </reference>
          <reference field="2" count="1" selected="0">
            <x v="1"/>
          </reference>
          <reference field="3" count="1" selected="0">
            <x v="2"/>
          </reference>
          <reference field="4" count="1" selected="0">
            <x v="3"/>
          </reference>
          <reference field="16" count="1">
            <x v="1"/>
          </reference>
        </references>
      </pivotArea>
    </format>
    <format dxfId="273">
      <pivotArea dataOnly="0" labelOnly="1" outline="0" fieldPosition="0">
        <references count="6">
          <reference field="0" count="1" selected="0">
            <x v="57"/>
          </reference>
          <reference field="1" count="1" selected="0">
            <x v="48"/>
          </reference>
          <reference field="2" count="1" selected="0">
            <x v="5"/>
          </reference>
          <reference field="3" count="1" selected="0">
            <x v="1"/>
          </reference>
          <reference field="4" count="1" selected="0">
            <x v="0"/>
          </reference>
          <reference field="16" count="1">
            <x v="1"/>
          </reference>
        </references>
      </pivotArea>
    </format>
    <format dxfId="272">
      <pivotArea dataOnly="0" labelOnly="1" outline="0" fieldPosition="0">
        <references count="6">
          <reference field="0" count="1" selected="0">
            <x v="58"/>
          </reference>
          <reference field="1" count="1" selected="0">
            <x v="44"/>
          </reference>
          <reference field="2" count="1" selected="0">
            <x v="5"/>
          </reference>
          <reference field="3" count="1" selected="0">
            <x v="0"/>
          </reference>
          <reference field="4" count="1" selected="0">
            <x v="4"/>
          </reference>
          <reference field="16" count="1">
            <x v="1"/>
          </reference>
        </references>
      </pivotArea>
    </format>
    <format dxfId="271">
      <pivotArea dataOnly="0" labelOnly="1" outline="0" fieldPosition="0">
        <references count="6">
          <reference field="0" count="1" selected="0">
            <x v="59"/>
          </reference>
          <reference field="1" count="1" selected="0">
            <x v="24"/>
          </reference>
          <reference field="2" count="1" selected="0">
            <x v="0"/>
          </reference>
          <reference field="3" count="1" selected="0">
            <x v="6"/>
          </reference>
          <reference field="4" count="1" selected="0">
            <x v="0"/>
          </reference>
          <reference field="16" count="1">
            <x v="1"/>
          </reference>
        </references>
      </pivotArea>
    </format>
    <format dxfId="270">
      <pivotArea dataOnly="0" labelOnly="1" outline="0" fieldPosition="0">
        <references count="6">
          <reference field="0" count="1" selected="0">
            <x v="60"/>
          </reference>
          <reference field="1" count="1" selected="0">
            <x v="34"/>
          </reference>
          <reference field="2" count="1" selected="0">
            <x v="5"/>
          </reference>
          <reference field="3" count="1" selected="0">
            <x v="4"/>
          </reference>
          <reference field="4" count="1" selected="0">
            <x v="0"/>
          </reference>
          <reference field="16" count="1">
            <x v="1"/>
          </reference>
        </references>
      </pivotArea>
    </format>
    <format dxfId="269">
      <pivotArea dataOnly="0" labelOnly="1" outline="0" fieldPosition="0">
        <references count="6">
          <reference field="0" count="1" selected="0">
            <x v="61"/>
          </reference>
          <reference field="1" count="1" selected="0">
            <x v="59"/>
          </reference>
          <reference field="2" count="1" selected="0">
            <x v="2"/>
          </reference>
          <reference field="3" count="1" selected="0">
            <x v="2"/>
          </reference>
          <reference field="4" count="1" selected="0">
            <x v="3"/>
          </reference>
          <reference field="16" count="1">
            <x v="1"/>
          </reference>
        </references>
      </pivotArea>
    </format>
    <format dxfId="268">
      <pivotArea dataOnly="0" labelOnly="1" outline="0" fieldPosition="0">
        <references count="6">
          <reference field="0" count="1" selected="0">
            <x v="62"/>
          </reference>
          <reference field="1" count="1" selected="0">
            <x v="10"/>
          </reference>
          <reference field="2" count="1" selected="0">
            <x v="4"/>
          </reference>
          <reference field="3" count="1" selected="0">
            <x v="5"/>
          </reference>
          <reference field="4" count="1" selected="0">
            <x v="0"/>
          </reference>
          <reference field="16" count="1">
            <x v="1"/>
          </reference>
        </references>
      </pivotArea>
    </format>
    <format dxfId="267">
      <pivotArea dataOnly="0" labelOnly="1" outline="0" fieldPosition="0">
        <references count="6">
          <reference field="0" count="1" selected="0">
            <x v="63"/>
          </reference>
          <reference field="1" count="1" selected="0">
            <x v="16"/>
          </reference>
          <reference field="2" count="1" selected="0">
            <x v="5"/>
          </reference>
          <reference field="3" count="1" selected="0">
            <x v="3"/>
          </reference>
          <reference field="4" count="1" selected="0">
            <x v="0"/>
          </reference>
          <reference field="16" count="1">
            <x v="1"/>
          </reference>
        </references>
      </pivotArea>
    </format>
    <format dxfId="266">
      <pivotArea dataOnly="0" labelOnly="1" outline="0" fieldPosition="0">
        <references count="6">
          <reference field="0" count="1" selected="0">
            <x v="64"/>
          </reference>
          <reference field="1" count="1" selected="0">
            <x v="4"/>
          </reference>
          <reference field="2" count="1" selected="0">
            <x v="0"/>
          </reference>
          <reference field="3" count="1" selected="0">
            <x v="0"/>
          </reference>
          <reference field="4" count="1" selected="0">
            <x v="1"/>
          </reference>
          <reference field="16" count="1">
            <x v="1"/>
          </reference>
        </references>
      </pivotArea>
    </format>
    <format dxfId="265">
      <pivotArea dataOnly="0" labelOnly="1" outline="0" fieldPosition="0">
        <references count="6">
          <reference field="0" count="1" selected="0">
            <x v="65"/>
          </reference>
          <reference field="1" count="1" selected="0">
            <x v="9"/>
          </reference>
          <reference field="2" count="1" selected="0">
            <x v="3"/>
          </reference>
          <reference field="3" count="1" selected="0">
            <x v="2"/>
          </reference>
          <reference field="4" count="1" selected="0">
            <x v="0"/>
          </reference>
          <reference field="16" count="1">
            <x v="1"/>
          </reference>
        </references>
      </pivotArea>
    </format>
    <format dxfId="264">
      <pivotArea dataOnly="0" labelOnly="1" outline="0" fieldPosition="0">
        <references count="6">
          <reference field="0" count="1" selected="0">
            <x v="66"/>
          </reference>
          <reference field="1" count="1" selected="0">
            <x v="43"/>
          </reference>
          <reference field="2" count="1" selected="0">
            <x v="0"/>
          </reference>
          <reference field="3" count="1" selected="0">
            <x v="4"/>
          </reference>
          <reference field="4" count="1" selected="0">
            <x v="3"/>
          </reference>
          <reference field="16" count="1">
            <x v="1"/>
          </reference>
        </references>
      </pivotArea>
    </format>
    <format dxfId="263">
      <pivotArea dataOnly="0" labelOnly="1" outline="0" fieldPosition="0">
        <references count="6">
          <reference field="0" count="1" selected="0">
            <x v="67"/>
          </reference>
          <reference field="1" count="1" selected="0">
            <x v="44"/>
          </reference>
          <reference field="2" count="1" selected="0">
            <x v="5"/>
          </reference>
          <reference field="3" count="1" selected="0">
            <x v="5"/>
          </reference>
          <reference field="4" count="1" selected="0">
            <x v="3"/>
          </reference>
          <reference field="16" count="1">
            <x v="1"/>
          </reference>
        </references>
      </pivotArea>
    </format>
    <format dxfId="262">
      <pivotArea dataOnly="0" labelOnly="1" outline="0" fieldPosition="0">
        <references count="6">
          <reference field="0" count="1" selected="0">
            <x v="68"/>
          </reference>
          <reference field="1" count="1" selected="0">
            <x v="1"/>
          </reference>
          <reference field="2" count="1" selected="0">
            <x v="5"/>
          </reference>
          <reference field="3" count="1" selected="0">
            <x v="2"/>
          </reference>
          <reference field="4" count="1" selected="0">
            <x v="3"/>
          </reference>
          <reference field="16" count="1">
            <x v="1"/>
          </reference>
        </references>
      </pivotArea>
    </format>
    <format dxfId="261">
      <pivotArea dataOnly="0" labelOnly="1" outline="0" fieldPosition="0">
        <references count="6">
          <reference field="0" count="1" selected="0">
            <x v="69"/>
          </reference>
          <reference field="1" count="1" selected="0">
            <x v="20"/>
          </reference>
          <reference field="2" count="1" selected="0">
            <x v="4"/>
          </reference>
          <reference field="3" count="1" selected="0">
            <x v="1"/>
          </reference>
          <reference field="4" count="1" selected="0">
            <x v="0"/>
          </reference>
          <reference field="16" count="1">
            <x v="1"/>
          </reference>
        </references>
      </pivotArea>
    </format>
    <format dxfId="260">
      <pivotArea dataOnly="0" labelOnly="1" outline="0" fieldPosition="0">
        <references count="6">
          <reference field="0" count="1" selected="0">
            <x v="70"/>
          </reference>
          <reference field="1" count="1" selected="0">
            <x v="1"/>
          </reference>
          <reference field="2" count="1" selected="0">
            <x v="5"/>
          </reference>
          <reference field="3" count="1" selected="0">
            <x v="0"/>
          </reference>
          <reference field="4" count="1" selected="0">
            <x v="1"/>
          </reference>
          <reference field="16" count="1">
            <x v="1"/>
          </reference>
        </references>
      </pivotArea>
    </format>
    <format dxfId="259">
      <pivotArea dataOnly="0" labelOnly="1" outline="0" fieldPosition="0">
        <references count="6">
          <reference field="0" count="1" selected="0">
            <x v="71"/>
          </reference>
          <reference field="1" count="1" selected="0">
            <x v="30"/>
          </reference>
          <reference field="2" count="1" selected="0">
            <x v="1"/>
          </reference>
          <reference field="3" count="1" selected="0">
            <x v="6"/>
          </reference>
          <reference field="4" count="1" selected="0">
            <x v="0"/>
          </reference>
          <reference field="16" count="1">
            <x v="1"/>
          </reference>
        </references>
      </pivotArea>
    </format>
    <format dxfId="258">
      <pivotArea dataOnly="0" labelOnly="1" outline="0" fieldPosition="0">
        <references count="6">
          <reference field="0" count="1" selected="0">
            <x v="72"/>
          </reference>
          <reference field="1" count="1" selected="0">
            <x v="33"/>
          </reference>
          <reference field="2" count="1" selected="0">
            <x v="4"/>
          </reference>
          <reference field="3" count="1" selected="0">
            <x v="2"/>
          </reference>
          <reference field="4" count="1" selected="0">
            <x v="1"/>
          </reference>
          <reference field="16" count="1">
            <x v="1"/>
          </reference>
        </references>
      </pivotArea>
    </format>
    <format dxfId="257">
      <pivotArea dataOnly="0" labelOnly="1" outline="0" fieldPosition="0">
        <references count="6">
          <reference field="0" count="1" selected="0">
            <x v="73"/>
          </reference>
          <reference field="1" count="1" selected="0">
            <x v="44"/>
          </reference>
          <reference field="2" count="1" selected="0">
            <x v="5"/>
          </reference>
          <reference field="3" count="1" selected="0">
            <x v="5"/>
          </reference>
          <reference field="4" count="1" selected="0">
            <x v="4"/>
          </reference>
          <reference field="16" count="1">
            <x v="1"/>
          </reference>
        </references>
      </pivotArea>
    </format>
    <format dxfId="256">
      <pivotArea dataOnly="0" labelOnly="1" outline="0" fieldPosition="0">
        <references count="6">
          <reference field="0" count="1" selected="0">
            <x v="74"/>
          </reference>
          <reference field="1" count="1" selected="0">
            <x v="59"/>
          </reference>
          <reference field="2" count="1" selected="0">
            <x v="2"/>
          </reference>
          <reference field="3" count="1" selected="0">
            <x v="1"/>
          </reference>
          <reference field="4" count="1" selected="0">
            <x v="0"/>
          </reference>
          <reference field="16" count="1">
            <x v="1"/>
          </reference>
        </references>
      </pivotArea>
    </format>
    <format dxfId="255">
      <pivotArea dataOnly="0" labelOnly="1" outline="0" fieldPosition="0">
        <references count="6">
          <reference field="0" count="1" selected="0">
            <x v="75"/>
          </reference>
          <reference field="1" count="1" selected="0">
            <x v="5"/>
          </reference>
          <reference field="2" count="1" selected="0">
            <x v="0"/>
          </reference>
          <reference field="3" count="1" selected="0">
            <x v="7"/>
          </reference>
          <reference field="4" count="1" selected="0">
            <x v="1"/>
          </reference>
          <reference field="16" count="1">
            <x v="0"/>
          </reference>
        </references>
      </pivotArea>
    </format>
    <format dxfId="254">
      <pivotArea dataOnly="0" labelOnly="1" outline="0" fieldPosition="0">
        <references count="6">
          <reference field="0" count="1" selected="0">
            <x v="76"/>
          </reference>
          <reference field="1" count="1" selected="0">
            <x v="55"/>
          </reference>
          <reference field="2" count="1" selected="0">
            <x v="1"/>
          </reference>
          <reference field="3" count="1" selected="0">
            <x v="3"/>
          </reference>
          <reference field="4" count="1" selected="0">
            <x v="4"/>
          </reference>
          <reference field="16" count="1">
            <x v="1"/>
          </reference>
        </references>
      </pivotArea>
    </format>
    <format dxfId="253">
      <pivotArea dataOnly="0" labelOnly="1" outline="0" fieldPosition="0">
        <references count="6">
          <reference field="0" count="1" selected="0">
            <x v="77"/>
          </reference>
          <reference field="1" count="1" selected="0">
            <x v="59"/>
          </reference>
          <reference field="2" count="1" selected="0">
            <x v="2"/>
          </reference>
          <reference field="3" count="1" selected="0">
            <x v="4"/>
          </reference>
          <reference field="4" count="1" selected="0">
            <x v="3"/>
          </reference>
          <reference field="16" count="1">
            <x v="1"/>
          </reference>
        </references>
      </pivotArea>
    </format>
    <format dxfId="252">
      <pivotArea dataOnly="0" labelOnly="1" outline="0" fieldPosition="0">
        <references count="6">
          <reference field="0" count="1" selected="0">
            <x v="78"/>
          </reference>
          <reference field="1" count="1" selected="0">
            <x v="4"/>
          </reference>
          <reference field="2" count="1" selected="0">
            <x v="0"/>
          </reference>
          <reference field="3" count="1" selected="0">
            <x v="4"/>
          </reference>
          <reference field="4" count="1" selected="0">
            <x v="4"/>
          </reference>
          <reference field="16" count="1">
            <x v="0"/>
          </reference>
        </references>
      </pivotArea>
    </format>
    <format dxfId="251">
      <pivotArea dataOnly="0" labelOnly="1" outline="0" fieldPosition="0">
        <references count="6">
          <reference field="0" count="1" selected="0">
            <x v="79"/>
          </reference>
          <reference field="1" count="1" selected="0">
            <x v="9"/>
          </reference>
          <reference field="2" count="1" selected="0">
            <x v="3"/>
          </reference>
          <reference field="3" count="1" selected="0">
            <x v="0"/>
          </reference>
          <reference field="4" count="1" selected="0">
            <x v="0"/>
          </reference>
          <reference field="16" count="1">
            <x v="0"/>
          </reference>
        </references>
      </pivotArea>
    </format>
    <format dxfId="250">
      <pivotArea dataOnly="0" labelOnly="1" outline="0" fieldPosition="0">
        <references count="6">
          <reference field="0" count="1" selected="0">
            <x v="80"/>
          </reference>
          <reference field="1" count="1" selected="0">
            <x v="48"/>
          </reference>
          <reference field="2" count="1" selected="0">
            <x v="5"/>
          </reference>
          <reference field="3" count="1" selected="0">
            <x v="7"/>
          </reference>
          <reference field="4" count="1" selected="0">
            <x v="2"/>
          </reference>
          <reference field="16" count="1">
            <x v="1"/>
          </reference>
        </references>
      </pivotArea>
    </format>
    <format dxfId="249">
      <pivotArea dataOnly="0" labelOnly="1" outline="0" fieldPosition="0">
        <references count="6">
          <reference field="0" count="1" selected="0">
            <x v="81"/>
          </reference>
          <reference field="1" count="1" selected="0">
            <x v="54"/>
          </reference>
          <reference field="2" count="1" selected="0">
            <x v="2"/>
          </reference>
          <reference field="3" count="1" selected="0">
            <x v="1"/>
          </reference>
          <reference field="4" count="1" selected="0">
            <x v="4"/>
          </reference>
          <reference field="16" count="1">
            <x v="0"/>
          </reference>
        </references>
      </pivotArea>
    </format>
    <format dxfId="248">
      <pivotArea dataOnly="0" labelOnly="1" outline="0" fieldPosition="0">
        <references count="6">
          <reference field="0" count="1" selected="0">
            <x v="82"/>
          </reference>
          <reference field="1" count="1" selected="0">
            <x v="52"/>
          </reference>
          <reference field="2" count="1" selected="0">
            <x v="1"/>
          </reference>
          <reference field="3" count="1" selected="0">
            <x v="1"/>
          </reference>
          <reference field="4" count="1" selected="0">
            <x v="0"/>
          </reference>
          <reference field="16" count="1">
            <x v="2"/>
          </reference>
        </references>
      </pivotArea>
    </format>
    <format dxfId="247">
      <pivotArea dataOnly="0" labelOnly="1" outline="0" fieldPosition="0">
        <references count="6">
          <reference field="0" count="1" selected="0">
            <x v="83"/>
          </reference>
          <reference field="1" count="1" selected="0">
            <x v="46"/>
          </reference>
          <reference field="2" count="1" selected="0">
            <x v="3"/>
          </reference>
          <reference field="3" count="1" selected="0">
            <x v="4"/>
          </reference>
          <reference field="4" count="1" selected="0">
            <x v="0"/>
          </reference>
          <reference field="16" count="1">
            <x v="0"/>
          </reference>
        </references>
      </pivotArea>
    </format>
    <format dxfId="246">
      <pivotArea dataOnly="0" labelOnly="1" outline="0" fieldPosition="0">
        <references count="6">
          <reference field="0" count="1" selected="0">
            <x v="84"/>
          </reference>
          <reference field="1" count="1" selected="0">
            <x v="39"/>
          </reference>
          <reference field="2" count="1" selected="0">
            <x v="2"/>
          </reference>
          <reference field="3" count="1" selected="0">
            <x v="2"/>
          </reference>
          <reference field="4" count="1" selected="0">
            <x v="4"/>
          </reference>
          <reference field="16" count="1">
            <x v="0"/>
          </reference>
        </references>
      </pivotArea>
    </format>
    <format dxfId="245">
      <pivotArea dataOnly="0" labelOnly="1" outline="0" fieldPosition="0">
        <references count="6">
          <reference field="0" count="1" selected="0">
            <x v="85"/>
          </reference>
          <reference field="1" count="1" selected="0">
            <x v="10"/>
          </reference>
          <reference field="2" count="1" selected="0">
            <x v="4"/>
          </reference>
          <reference field="3" count="1" selected="0">
            <x v="0"/>
          </reference>
          <reference field="4" count="1" selected="0">
            <x v="2"/>
          </reference>
          <reference field="16" count="1">
            <x v="1"/>
          </reference>
        </references>
      </pivotArea>
    </format>
    <format dxfId="244">
      <pivotArea dataOnly="0" labelOnly="1" outline="0" fieldPosition="0">
        <references count="6">
          <reference field="0" count="1" selected="0">
            <x v="86"/>
          </reference>
          <reference field="1" count="1" selected="0">
            <x v="29"/>
          </reference>
          <reference field="2" count="1" selected="0">
            <x v="1"/>
          </reference>
          <reference field="3" count="1" selected="0">
            <x v="1"/>
          </reference>
          <reference field="4" count="1" selected="0">
            <x v="1"/>
          </reference>
          <reference field="16" count="1">
            <x v="0"/>
          </reference>
        </references>
      </pivotArea>
    </format>
    <format dxfId="243">
      <pivotArea dataOnly="0" labelOnly="1" outline="0" fieldPosition="0">
        <references count="6">
          <reference field="0" count="1" selected="0">
            <x v="87"/>
          </reference>
          <reference field="1" count="1" selected="0">
            <x v="4"/>
          </reference>
          <reference field="2" count="1" selected="0">
            <x v="0"/>
          </reference>
          <reference field="3" count="1" selected="0">
            <x v="1"/>
          </reference>
          <reference field="4" count="1" selected="0">
            <x v="0"/>
          </reference>
          <reference field="16" count="1">
            <x v="0"/>
          </reference>
        </references>
      </pivotArea>
    </format>
    <format dxfId="242">
      <pivotArea dataOnly="0" labelOnly="1" outline="0" fieldPosition="0">
        <references count="6">
          <reference field="0" count="1" selected="0">
            <x v="88"/>
          </reference>
          <reference field="1" count="1" selected="0">
            <x v="2"/>
          </reference>
          <reference field="2" count="1" selected="0">
            <x v="3"/>
          </reference>
          <reference field="3" count="1" selected="0">
            <x v="1"/>
          </reference>
          <reference field="4" count="1" selected="0">
            <x v="3"/>
          </reference>
          <reference field="16" count="1">
            <x v="0"/>
          </reference>
        </references>
      </pivotArea>
    </format>
    <format dxfId="241">
      <pivotArea dataOnly="0" labelOnly="1" outline="0" fieldPosition="0">
        <references count="6">
          <reference field="0" count="1" selected="0">
            <x v="89"/>
          </reference>
          <reference field="1" count="1" selected="0">
            <x v="52"/>
          </reference>
          <reference field="2" count="1" selected="0">
            <x v="1"/>
          </reference>
          <reference field="3" count="1" selected="0">
            <x v="3"/>
          </reference>
          <reference field="4" count="1" selected="0">
            <x v="0"/>
          </reference>
          <reference field="16" count="1">
            <x v="0"/>
          </reference>
        </references>
      </pivotArea>
    </format>
    <format dxfId="240">
      <pivotArea dataOnly="0" labelOnly="1" outline="0" fieldPosition="0">
        <references count="6">
          <reference field="0" count="1" selected="0">
            <x v="90"/>
          </reference>
          <reference field="1" count="1" selected="0">
            <x v="37"/>
          </reference>
          <reference field="2" count="1" selected="0">
            <x v="1"/>
          </reference>
          <reference field="3" count="1" selected="0">
            <x v="1"/>
          </reference>
          <reference field="4" count="1" selected="0">
            <x v="2"/>
          </reference>
          <reference field="16" count="1">
            <x v="0"/>
          </reference>
        </references>
      </pivotArea>
    </format>
    <format dxfId="239">
      <pivotArea dataOnly="0" labelOnly="1" outline="0" fieldPosition="0">
        <references count="6">
          <reference field="0" count="1" selected="0">
            <x v="91"/>
          </reference>
          <reference field="1" count="1" selected="0">
            <x v="51"/>
          </reference>
          <reference field="2" count="1" selected="0">
            <x v="0"/>
          </reference>
          <reference field="3" count="1" selected="0">
            <x v="4"/>
          </reference>
          <reference field="4" count="1" selected="0">
            <x v="0"/>
          </reference>
          <reference field="16" count="1">
            <x v="1"/>
          </reference>
        </references>
      </pivotArea>
    </format>
    <format dxfId="238">
      <pivotArea dataOnly="0" labelOnly="1" outline="0" fieldPosition="0">
        <references count="6">
          <reference field="0" count="1" selected="0">
            <x v="92"/>
          </reference>
          <reference field="1" count="1" selected="0">
            <x v="5"/>
          </reference>
          <reference field="2" count="1" selected="0">
            <x v="0"/>
          </reference>
          <reference field="3" count="1" selected="0">
            <x v="4"/>
          </reference>
          <reference field="4" count="1" selected="0">
            <x v="0"/>
          </reference>
          <reference field="16" count="1">
            <x v="0"/>
          </reference>
        </references>
      </pivotArea>
    </format>
    <format dxfId="237">
      <pivotArea dataOnly="0" labelOnly="1" outline="0" fieldPosition="0">
        <references count="6">
          <reference field="0" count="1" selected="0">
            <x v="93"/>
          </reference>
          <reference field="1" count="1" selected="0">
            <x v="5"/>
          </reference>
          <reference field="2" count="1" selected="0">
            <x v="0"/>
          </reference>
          <reference field="3" count="1" selected="0">
            <x v="7"/>
          </reference>
          <reference field="4" count="1" selected="0">
            <x v="4"/>
          </reference>
          <reference field="16" count="1">
            <x v="1"/>
          </reference>
        </references>
      </pivotArea>
    </format>
    <format dxfId="236">
      <pivotArea dataOnly="0" labelOnly="1" outline="0" fieldPosition="0">
        <references count="6">
          <reference field="0" count="1" selected="0">
            <x v="94"/>
          </reference>
          <reference field="1" count="1" selected="0">
            <x v="42"/>
          </reference>
          <reference field="2" count="1" selected="0">
            <x v="2"/>
          </reference>
          <reference field="3" count="1" selected="0">
            <x v="2"/>
          </reference>
          <reference field="4" count="1" selected="0">
            <x v="1"/>
          </reference>
          <reference field="16" count="1">
            <x v="0"/>
          </reference>
        </references>
      </pivotArea>
    </format>
    <format dxfId="235">
      <pivotArea dataOnly="0" labelOnly="1" outline="0" fieldPosition="0">
        <references count="6">
          <reference field="0" count="1" selected="0">
            <x v="95"/>
          </reference>
          <reference field="1" count="1" selected="0">
            <x v="51"/>
          </reference>
          <reference field="2" count="1" selected="0">
            <x v="0"/>
          </reference>
          <reference field="3" count="1" selected="0">
            <x v="6"/>
          </reference>
          <reference field="4" count="1" selected="0">
            <x v="4"/>
          </reference>
          <reference field="16" count="1">
            <x v="0"/>
          </reference>
        </references>
      </pivotArea>
    </format>
    <format dxfId="234">
      <pivotArea dataOnly="0" labelOnly="1" outline="0" fieldPosition="0">
        <references count="6">
          <reference field="0" count="1" selected="0">
            <x v="96"/>
          </reference>
          <reference field="1" count="1" selected="0">
            <x v="31"/>
          </reference>
          <reference field="2" count="1" selected="0">
            <x v="3"/>
          </reference>
          <reference field="3" count="1" selected="0">
            <x v="0"/>
          </reference>
          <reference field="4" count="1" selected="0">
            <x v="2"/>
          </reference>
          <reference field="16" count="1">
            <x v="0"/>
          </reference>
        </references>
      </pivotArea>
    </format>
    <format dxfId="233">
      <pivotArea dataOnly="0" labelOnly="1" outline="0" fieldPosition="0">
        <references count="6">
          <reference field="0" count="1" selected="0">
            <x v="97"/>
          </reference>
          <reference field="1" count="1" selected="0">
            <x v="38"/>
          </reference>
          <reference field="2" count="1" selected="0">
            <x v="5"/>
          </reference>
          <reference field="3" count="1" selected="0">
            <x v="5"/>
          </reference>
          <reference field="4" count="1" selected="0">
            <x v="4"/>
          </reference>
          <reference field="16" count="1">
            <x v="0"/>
          </reference>
        </references>
      </pivotArea>
    </format>
    <format dxfId="232">
      <pivotArea dataOnly="0" labelOnly="1" outline="0" fieldPosition="0">
        <references count="6">
          <reference field="0" count="1" selected="0">
            <x v="98"/>
          </reference>
          <reference field="1" count="1" selected="0">
            <x v="1"/>
          </reference>
          <reference field="2" count="1" selected="0">
            <x v="5"/>
          </reference>
          <reference field="3" count="1" selected="0">
            <x v="1"/>
          </reference>
          <reference field="4" count="1" selected="0">
            <x v="3"/>
          </reference>
          <reference field="16" count="1">
            <x v="0"/>
          </reference>
        </references>
      </pivotArea>
    </format>
    <format dxfId="231">
      <pivotArea dataOnly="0" labelOnly="1" outline="0" fieldPosition="0">
        <references count="6">
          <reference field="0" count="1" selected="0">
            <x v="99"/>
          </reference>
          <reference field="1" count="1" selected="0">
            <x v="27"/>
          </reference>
          <reference field="2" count="1" selected="0">
            <x v="0"/>
          </reference>
          <reference field="3" count="1" selected="0">
            <x v="5"/>
          </reference>
          <reference field="4" count="1" selected="0">
            <x v="1"/>
          </reference>
          <reference field="16" count="1">
            <x v="0"/>
          </reference>
        </references>
      </pivotArea>
    </format>
    <format dxfId="230">
      <pivotArea dataOnly="0" labelOnly="1" outline="0" fieldPosition="0">
        <references count="6">
          <reference field="0" count="1" selected="0">
            <x v="100"/>
          </reference>
          <reference field="1" count="1" selected="0">
            <x v="5"/>
          </reference>
          <reference field="2" count="1" selected="0">
            <x v="0"/>
          </reference>
          <reference field="3" count="1" selected="0">
            <x v="1"/>
          </reference>
          <reference field="4" count="1" selected="0">
            <x v="3"/>
          </reference>
          <reference field="16" count="1">
            <x v="1"/>
          </reference>
        </references>
      </pivotArea>
    </format>
    <format dxfId="229">
      <pivotArea dataOnly="0" labelOnly="1" outline="0" fieldPosition="0">
        <references count="6">
          <reference field="0" count="1" selected="0">
            <x v="101"/>
          </reference>
          <reference field="1" count="1" selected="0">
            <x v="49"/>
          </reference>
          <reference field="2" count="1" selected="0">
            <x v="3"/>
          </reference>
          <reference field="3" count="1" selected="0">
            <x v="4"/>
          </reference>
          <reference field="4" count="1" selected="0">
            <x v="0"/>
          </reference>
          <reference field="16" count="1">
            <x v="0"/>
          </reference>
        </references>
      </pivotArea>
    </format>
    <format dxfId="228">
      <pivotArea dataOnly="0" labelOnly="1" outline="0" fieldPosition="0">
        <references count="6">
          <reference field="0" count="1" selected="0">
            <x v="102"/>
          </reference>
          <reference field="1" count="1" selected="0">
            <x v="35"/>
          </reference>
          <reference field="2" count="1" selected="0">
            <x v="4"/>
          </reference>
          <reference field="3" count="1" selected="0">
            <x v="1"/>
          </reference>
          <reference field="4" count="1" selected="0">
            <x v="0"/>
          </reference>
          <reference field="16" count="1">
            <x v="1"/>
          </reference>
        </references>
      </pivotArea>
    </format>
    <format dxfId="227">
      <pivotArea dataOnly="0" labelOnly="1" outline="0" fieldPosition="0">
        <references count="6">
          <reference field="0" count="1" selected="0">
            <x v="103"/>
          </reference>
          <reference field="1" count="1" selected="0">
            <x v="42"/>
          </reference>
          <reference field="2" count="1" selected="0">
            <x v="2"/>
          </reference>
          <reference field="3" count="1" selected="0">
            <x v="7"/>
          </reference>
          <reference field="4" count="1" selected="0">
            <x v="4"/>
          </reference>
          <reference field="16" count="1">
            <x v="0"/>
          </reference>
        </references>
      </pivotArea>
    </format>
    <format dxfId="226">
      <pivotArea dataOnly="0" labelOnly="1" outline="0" fieldPosition="0">
        <references count="6">
          <reference field="0" count="1" selected="0">
            <x v="104"/>
          </reference>
          <reference field="1" count="1" selected="0">
            <x v="25"/>
          </reference>
          <reference field="2" count="1" selected="0">
            <x v="1"/>
          </reference>
          <reference field="3" count="1" selected="0">
            <x v="2"/>
          </reference>
          <reference field="4" count="1" selected="0">
            <x v="1"/>
          </reference>
          <reference field="16" count="1">
            <x v="1"/>
          </reference>
        </references>
      </pivotArea>
    </format>
    <format dxfId="225">
      <pivotArea dataOnly="0" labelOnly="1" outline="0" fieldPosition="0">
        <references count="6">
          <reference field="0" count="1" selected="0">
            <x v="105"/>
          </reference>
          <reference field="1" count="1" selected="0">
            <x v="26"/>
          </reference>
          <reference field="2" count="1" selected="0">
            <x v="5"/>
          </reference>
          <reference field="3" count="1" selected="0">
            <x v="7"/>
          </reference>
          <reference field="4" count="1" selected="0">
            <x v="0"/>
          </reference>
          <reference field="16" count="1">
            <x v="1"/>
          </reference>
        </references>
      </pivotArea>
    </format>
    <format dxfId="224">
      <pivotArea dataOnly="0" labelOnly="1" outline="0" fieldPosition="0">
        <references count="6">
          <reference field="0" count="1" selected="0">
            <x v="106"/>
          </reference>
          <reference field="1" count="1" selected="0">
            <x v="6"/>
          </reference>
          <reference field="2" count="1" selected="0">
            <x v="3"/>
          </reference>
          <reference field="3" count="1" selected="0">
            <x v="3"/>
          </reference>
          <reference field="4" count="1" selected="0">
            <x v="1"/>
          </reference>
          <reference field="16" count="1">
            <x v="1"/>
          </reference>
        </references>
      </pivotArea>
    </format>
    <format dxfId="223">
      <pivotArea dataOnly="0" labelOnly="1" outline="0" fieldPosition="0">
        <references count="6">
          <reference field="0" count="1" selected="0">
            <x v="107"/>
          </reference>
          <reference field="1" count="1" selected="0">
            <x v="0"/>
          </reference>
          <reference field="2" count="1" selected="0">
            <x v="0"/>
          </reference>
          <reference field="3" count="1" selected="0">
            <x v="4"/>
          </reference>
          <reference field="4" count="1" selected="0">
            <x v="4"/>
          </reference>
          <reference field="16" count="1">
            <x v="0"/>
          </reference>
        </references>
      </pivotArea>
    </format>
    <format dxfId="222">
      <pivotArea dataOnly="0" labelOnly="1" outline="0" fieldPosition="0">
        <references count="6">
          <reference field="0" count="1" selected="0">
            <x v="108"/>
          </reference>
          <reference field="1" count="1" selected="0">
            <x v="44"/>
          </reference>
          <reference field="2" count="1" selected="0">
            <x v="5"/>
          </reference>
          <reference field="3" count="1" selected="0">
            <x v="7"/>
          </reference>
          <reference field="4" count="1" selected="0">
            <x v="3"/>
          </reference>
          <reference field="16" count="1">
            <x v="0"/>
          </reference>
        </references>
      </pivotArea>
    </format>
    <format dxfId="221">
      <pivotArea dataOnly="0" labelOnly="1" outline="0" fieldPosition="0">
        <references count="6">
          <reference field="0" count="1" selected="0">
            <x v="109"/>
          </reference>
          <reference field="1" count="1" selected="0">
            <x v="8"/>
          </reference>
          <reference field="2" count="1" selected="0">
            <x v="5"/>
          </reference>
          <reference field="3" count="1" selected="0">
            <x v="0"/>
          </reference>
          <reference field="4" count="1" selected="0">
            <x v="3"/>
          </reference>
          <reference field="16" count="1">
            <x v="0"/>
          </reference>
        </references>
      </pivotArea>
    </format>
    <format dxfId="220">
      <pivotArea dataOnly="0" labelOnly="1" outline="0" fieldPosition="0">
        <references count="6">
          <reference field="0" count="1" selected="0">
            <x v="110"/>
          </reference>
          <reference field="1" count="1" selected="0">
            <x v="44"/>
          </reference>
          <reference field="2" count="1" selected="0">
            <x v="5"/>
          </reference>
          <reference field="3" count="1" selected="0">
            <x v="1"/>
          </reference>
          <reference field="4" count="1" selected="0">
            <x v="3"/>
          </reference>
          <reference field="16" count="1">
            <x v="0"/>
          </reference>
        </references>
      </pivotArea>
    </format>
    <format dxfId="219">
      <pivotArea dataOnly="0" labelOnly="1" outline="0" fieldPosition="0">
        <references count="6">
          <reference field="0" count="1" selected="0">
            <x v="111"/>
          </reference>
          <reference field="1" count="1" selected="0">
            <x v="49"/>
          </reference>
          <reference field="2" count="1" selected="0">
            <x v="3"/>
          </reference>
          <reference field="3" count="1" selected="0">
            <x v="3"/>
          </reference>
          <reference field="4" count="1" selected="0">
            <x v="4"/>
          </reference>
          <reference field="16" count="1">
            <x v="0"/>
          </reference>
        </references>
      </pivotArea>
    </format>
    <format dxfId="218">
      <pivotArea dataOnly="0" labelOnly="1" outline="0" fieldPosition="0">
        <references count="6">
          <reference field="0" count="1" selected="0">
            <x v="112"/>
          </reference>
          <reference field="1" count="1" selected="0">
            <x v="57"/>
          </reference>
          <reference field="2" count="1" selected="0">
            <x v="0"/>
          </reference>
          <reference field="3" count="1" selected="0">
            <x v="5"/>
          </reference>
          <reference field="4" count="1" selected="0">
            <x v="3"/>
          </reference>
          <reference field="16" count="1">
            <x v="0"/>
          </reference>
        </references>
      </pivotArea>
    </format>
    <format dxfId="217">
      <pivotArea dataOnly="0" labelOnly="1" outline="0" fieldPosition="0">
        <references count="6">
          <reference field="0" count="1" selected="0">
            <x v="113"/>
          </reference>
          <reference field="1" count="1" selected="0">
            <x v="21"/>
          </reference>
          <reference field="2" count="1" selected="0">
            <x v="2"/>
          </reference>
          <reference field="3" count="1" selected="0">
            <x v="3"/>
          </reference>
          <reference field="4" count="1" selected="0">
            <x v="3"/>
          </reference>
          <reference field="16" count="1">
            <x v="0"/>
          </reference>
        </references>
      </pivotArea>
    </format>
    <format dxfId="216">
      <pivotArea dataOnly="0" labelOnly="1" outline="0" fieldPosition="0">
        <references count="6">
          <reference field="0" count="1" selected="0">
            <x v="114"/>
          </reference>
          <reference field="1" count="1" selected="0">
            <x v="54"/>
          </reference>
          <reference field="2" count="1" selected="0">
            <x v="2"/>
          </reference>
          <reference field="3" count="1" selected="0">
            <x v="3"/>
          </reference>
          <reference field="4" count="1" selected="0">
            <x v="3"/>
          </reference>
          <reference field="16" count="1">
            <x v="0"/>
          </reference>
        </references>
      </pivotArea>
    </format>
    <format dxfId="215">
      <pivotArea dataOnly="0" labelOnly="1" outline="0" fieldPosition="0">
        <references count="6">
          <reference field="0" count="1" selected="0">
            <x v="115"/>
          </reference>
          <reference field="1" count="1" selected="0">
            <x v="1"/>
          </reference>
          <reference field="2" count="1" selected="0">
            <x v="5"/>
          </reference>
          <reference field="3" count="1" selected="0">
            <x v="6"/>
          </reference>
          <reference field="4" count="1" selected="0">
            <x v="2"/>
          </reference>
          <reference field="16" count="1">
            <x v="0"/>
          </reference>
        </references>
      </pivotArea>
    </format>
    <format dxfId="214">
      <pivotArea dataOnly="0" labelOnly="1" outline="0" fieldPosition="0">
        <references count="6">
          <reference field="0" count="1" selected="0">
            <x v="116"/>
          </reference>
          <reference field="1" count="1" selected="0">
            <x v="37"/>
          </reference>
          <reference field="2" count="1" selected="0">
            <x v="1"/>
          </reference>
          <reference field="3" count="1" selected="0">
            <x v="6"/>
          </reference>
          <reference field="4" count="1" selected="0">
            <x v="3"/>
          </reference>
          <reference field="16" count="1">
            <x v="0"/>
          </reference>
        </references>
      </pivotArea>
    </format>
    <format dxfId="213">
      <pivotArea dataOnly="0" labelOnly="1" outline="0" fieldPosition="0">
        <references count="6">
          <reference field="0" count="1" selected="0">
            <x v="117"/>
          </reference>
          <reference field="1" count="1" selected="0">
            <x v="39"/>
          </reference>
          <reference field="2" count="1" selected="0">
            <x v="2"/>
          </reference>
          <reference field="3" count="1" selected="0">
            <x v="5"/>
          </reference>
          <reference field="4" count="1" selected="0">
            <x v="1"/>
          </reference>
          <reference field="16" count="1">
            <x v="1"/>
          </reference>
        </references>
      </pivotArea>
    </format>
    <format dxfId="212">
      <pivotArea dataOnly="0" labelOnly="1" outline="0" fieldPosition="0">
        <references count="6">
          <reference field="0" count="1" selected="0">
            <x v="118"/>
          </reference>
          <reference field="1" count="1" selected="0">
            <x v="7"/>
          </reference>
          <reference field="2" count="1" selected="0">
            <x v="3"/>
          </reference>
          <reference field="3" count="1" selected="0">
            <x v="6"/>
          </reference>
          <reference field="4" count="1" selected="0">
            <x v="0"/>
          </reference>
          <reference field="16" count="1">
            <x v="1"/>
          </reference>
        </references>
      </pivotArea>
    </format>
    <format dxfId="211">
      <pivotArea dataOnly="0" labelOnly="1" outline="0" fieldPosition="0">
        <references count="6">
          <reference field="0" count="1" selected="0">
            <x v="119"/>
          </reference>
          <reference field="1" count="1" selected="0">
            <x v="44"/>
          </reference>
          <reference field="2" count="1" selected="0">
            <x v="5"/>
          </reference>
          <reference field="3" count="1" selected="0">
            <x v="1"/>
          </reference>
          <reference field="4" count="1" selected="0">
            <x v="4"/>
          </reference>
          <reference field="16" count="1">
            <x v="0"/>
          </reference>
        </references>
      </pivotArea>
    </format>
    <format dxfId="210">
      <pivotArea dataOnly="0" labelOnly="1" outline="0" fieldPosition="0">
        <references count="6">
          <reference field="0" count="1" selected="0">
            <x v="120"/>
          </reference>
          <reference field="1" count="1" selected="0">
            <x v="8"/>
          </reference>
          <reference field="2" count="1" selected="0">
            <x v="5"/>
          </reference>
          <reference field="3" count="1" selected="0">
            <x v="4"/>
          </reference>
          <reference field="4" count="1" selected="0">
            <x v="2"/>
          </reference>
          <reference field="16" count="1">
            <x v="0"/>
          </reference>
        </references>
      </pivotArea>
    </format>
    <format dxfId="209">
      <pivotArea dataOnly="0" labelOnly="1" outline="0" fieldPosition="0">
        <references count="6">
          <reference field="0" count="1" selected="0">
            <x v="121"/>
          </reference>
          <reference field="1" count="1" selected="0">
            <x v="50"/>
          </reference>
          <reference field="2" count="1" selected="0">
            <x v="3"/>
          </reference>
          <reference field="3" count="1" selected="0">
            <x v="6"/>
          </reference>
          <reference field="4" count="1" selected="0">
            <x v="0"/>
          </reference>
          <reference field="16" count="1">
            <x v="1"/>
          </reference>
        </references>
      </pivotArea>
    </format>
    <format dxfId="208">
      <pivotArea dataOnly="0" labelOnly="1" outline="0" fieldPosition="0">
        <references count="6">
          <reference field="0" count="1" selected="0">
            <x v="122"/>
          </reference>
          <reference field="1" count="1" selected="0">
            <x v="21"/>
          </reference>
          <reference field="2" count="1" selected="0">
            <x v="2"/>
          </reference>
          <reference field="3" count="1" selected="0">
            <x v="3"/>
          </reference>
          <reference field="4" count="1" selected="0">
            <x v="3"/>
          </reference>
          <reference field="16" count="1">
            <x v="1"/>
          </reference>
        </references>
      </pivotArea>
    </format>
    <format dxfId="207">
      <pivotArea dataOnly="0" labelOnly="1" outline="0" fieldPosition="0">
        <references count="6">
          <reference field="0" count="1" selected="0">
            <x v="123"/>
          </reference>
          <reference field="1" count="1" selected="0">
            <x v="39"/>
          </reference>
          <reference field="2" count="1" selected="0">
            <x v="2"/>
          </reference>
          <reference field="3" count="1" selected="0">
            <x v="1"/>
          </reference>
          <reference field="4" count="1" selected="0">
            <x v="0"/>
          </reference>
          <reference field="16" count="1">
            <x v="1"/>
          </reference>
        </references>
      </pivotArea>
    </format>
    <format dxfId="206">
      <pivotArea dataOnly="0" labelOnly="1" outline="0" fieldPosition="0">
        <references count="6">
          <reference field="0" count="1" selected="0">
            <x v="124"/>
          </reference>
          <reference field="1" count="1" selected="0">
            <x v="36"/>
          </reference>
          <reference field="2" count="1" selected="0">
            <x v="1"/>
          </reference>
          <reference field="3" count="1" selected="0">
            <x v="5"/>
          </reference>
          <reference field="4" count="1" selected="0">
            <x v="1"/>
          </reference>
          <reference field="16" count="1">
            <x v="1"/>
          </reference>
        </references>
      </pivotArea>
    </format>
    <format dxfId="205">
      <pivotArea dataOnly="0" labelOnly="1" outline="0" fieldPosition="0">
        <references count="6">
          <reference field="0" count="1" selected="0">
            <x v="125"/>
          </reference>
          <reference field="1" count="1" selected="0">
            <x v="2"/>
          </reference>
          <reference field="2" count="1" selected="0">
            <x v="3"/>
          </reference>
          <reference field="3" count="1" selected="0">
            <x v="5"/>
          </reference>
          <reference field="4" count="1" selected="0">
            <x v="2"/>
          </reference>
          <reference field="16" count="1">
            <x v="0"/>
          </reference>
        </references>
      </pivotArea>
    </format>
    <format dxfId="204">
      <pivotArea dataOnly="0" labelOnly="1" outline="0" fieldPosition="0">
        <references count="6">
          <reference field="0" count="1" selected="0">
            <x v="126"/>
          </reference>
          <reference field="1" count="1" selected="0">
            <x v="2"/>
          </reference>
          <reference field="2" count="1" selected="0">
            <x v="3"/>
          </reference>
          <reference field="3" count="1" selected="0">
            <x v="0"/>
          </reference>
          <reference field="4" count="1" selected="0">
            <x v="0"/>
          </reference>
          <reference field="16" count="1">
            <x v="0"/>
          </reference>
        </references>
      </pivotArea>
    </format>
    <format dxfId="203">
      <pivotArea dataOnly="0" labelOnly="1" outline="0" fieldPosition="0">
        <references count="6">
          <reference field="0" count="1" selected="0">
            <x v="127"/>
          </reference>
          <reference field="1" count="1" selected="0">
            <x v="35"/>
          </reference>
          <reference field="2" count="1" selected="0">
            <x v="4"/>
          </reference>
          <reference field="3" count="1" selected="0">
            <x v="4"/>
          </reference>
          <reference field="4" count="1" selected="0">
            <x v="2"/>
          </reference>
          <reference field="16" count="1">
            <x v="0"/>
          </reference>
        </references>
      </pivotArea>
    </format>
    <format dxfId="202">
      <pivotArea dataOnly="0" labelOnly="1" outline="0" fieldPosition="0">
        <references count="6">
          <reference field="0" count="1" selected="0">
            <x v="128"/>
          </reference>
          <reference field="1" count="1" selected="0">
            <x v="12"/>
          </reference>
          <reference field="2" count="1" selected="0">
            <x v="4"/>
          </reference>
          <reference field="3" count="1" selected="0">
            <x v="6"/>
          </reference>
          <reference field="4" count="1" selected="0">
            <x v="0"/>
          </reference>
          <reference field="16" count="1">
            <x v="0"/>
          </reference>
        </references>
      </pivotArea>
    </format>
    <format dxfId="201">
      <pivotArea dataOnly="0" labelOnly="1" outline="0" fieldPosition="0">
        <references count="6">
          <reference field="0" count="1" selected="0">
            <x v="129"/>
          </reference>
          <reference field="1" count="1" selected="0">
            <x v="1"/>
          </reference>
          <reference field="2" count="1" selected="0">
            <x v="5"/>
          </reference>
          <reference field="3" count="1" selected="0">
            <x v="5"/>
          </reference>
          <reference field="4" count="1" selected="0">
            <x v="2"/>
          </reference>
          <reference field="16" count="1">
            <x v="0"/>
          </reference>
        </references>
      </pivotArea>
    </format>
    <format dxfId="200">
      <pivotArea dataOnly="0" labelOnly="1" outline="0" fieldPosition="0">
        <references count="6">
          <reference field="0" count="1" selected="0">
            <x v="130"/>
          </reference>
          <reference field="1" count="1" selected="0">
            <x v="41"/>
          </reference>
          <reference field="2" count="1" selected="0">
            <x v="0"/>
          </reference>
          <reference field="3" count="1" selected="0">
            <x v="3"/>
          </reference>
          <reference field="4" count="1" selected="0">
            <x v="2"/>
          </reference>
          <reference field="16" count="1">
            <x v="1"/>
          </reference>
        </references>
      </pivotArea>
    </format>
    <format dxfId="199">
      <pivotArea dataOnly="0" labelOnly="1" outline="0" fieldPosition="0">
        <references count="6">
          <reference field="0" count="1" selected="0">
            <x v="131"/>
          </reference>
          <reference field="1" count="1" selected="0">
            <x v="40"/>
          </reference>
          <reference field="2" count="1" selected="0">
            <x v="2"/>
          </reference>
          <reference field="3" count="1" selected="0">
            <x v="7"/>
          </reference>
          <reference field="4" count="1" selected="0">
            <x v="1"/>
          </reference>
          <reference field="16" count="1">
            <x v="0"/>
          </reference>
        </references>
      </pivotArea>
    </format>
    <format dxfId="198">
      <pivotArea dataOnly="0" labelOnly="1" outline="0" fieldPosition="0">
        <references count="6">
          <reference field="0" count="1" selected="0">
            <x v="132"/>
          </reference>
          <reference field="1" count="1" selected="0">
            <x v="14"/>
          </reference>
          <reference field="2" count="1" selected="0">
            <x v="4"/>
          </reference>
          <reference field="3" count="1" selected="0">
            <x v="3"/>
          </reference>
          <reference field="4" count="1" selected="0">
            <x v="2"/>
          </reference>
          <reference field="16" count="1">
            <x v="0"/>
          </reference>
        </references>
      </pivotArea>
    </format>
    <format dxfId="197">
      <pivotArea dataOnly="0" labelOnly="1" outline="0" fieldPosition="0">
        <references count="6">
          <reference field="0" count="1" selected="0">
            <x v="133"/>
          </reference>
          <reference field="1" count="1" selected="0">
            <x v="24"/>
          </reference>
          <reference field="2" count="1" selected="0">
            <x v="0"/>
          </reference>
          <reference field="3" count="1" selected="0">
            <x v="0"/>
          </reference>
          <reference field="4" count="1" selected="0">
            <x v="0"/>
          </reference>
          <reference field="16" count="1">
            <x v="1"/>
          </reference>
        </references>
      </pivotArea>
    </format>
    <format dxfId="196">
      <pivotArea dataOnly="0" labelOnly="1" outline="0" fieldPosition="0">
        <references count="6">
          <reference field="0" count="1" selected="0">
            <x v="134"/>
          </reference>
          <reference field="1" count="1" selected="0">
            <x v="13"/>
          </reference>
          <reference field="2" count="1" selected="0">
            <x v="3"/>
          </reference>
          <reference field="3" count="1" selected="0">
            <x v="5"/>
          </reference>
          <reference field="4" count="1" selected="0">
            <x v="0"/>
          </reference>
          <reference field="16" count="1">
            <x v="0"/>
          </reference>
        </references>
      </pivotArea>
    </format>
    <format dxfId="195">
      <pivotArea dataOnly="0" labelOnly="1" outline="0" fieldPosition="0">
        <references count="6">
          <reference field="0" count="1" selected="0">
            <x v="135"/>
          </reference>
          <reference field="1" count="1" selected="0">
            <x v="42"/>
          </reference>
          <reference field="2" count="1" selected="0">
            <x v="2"/>
          </reference>
          <reference field="3" count="1" selected="0">
            <x v="7"/>
          </reference>
          <reference field="4" count="1" selected="0">
            <x v="0"/>
          </reference>
          <reference field="16" count="1">
            <x v="0"/>
          </reference>
        </references>
      </pivotArea>
    </format>
    <format dxfId="194">
      <pivotArea dataOnly="0" labelOnly="1" outline="0" fieldPosition="0">
        <references count="6">
          <reference field="0" count="1" selected="0">
            <x v="136"/>
          </reference>
          <reference field="1" count="1" selected="0">
            <x v="52"/>
          </reference>
          <reference field="2" count="1" selected="0">
            <x v="1"/>
          </reference>
          <reference field="3" count="1" selected="0">
            <x v="5"/>
          </reference>
          <reference field="4" count="1" selected="0">
            <x v="2"/>
          </reference>
          <reference field="16" count="1">
            <x v="0"/>
          </reference>
        </references>
      </pivotArea>
    </format>
    <format dxfId="193">
      <pivotArea dataOnly="0" labelOnly="1" outline="0" fieldPosition="0">
        <references count="6">
          <reference field="0" count="1" selected="0">
            <x v="137"/>
          </reference>
          <reference field="1" count="1" selected="0">
            <x v="39"/>
          </reference>
          <reference field="2" count="1" selected="0">
            <x v="2"/>
          </reference>
          <reference field="3" count="1" selected="0">
            <x v="0"/>
          </reference>
          <reference field="4" count="1" selected="0">
            <x v="1"/>
          </reference>
          <reference field="16" count="1">
            <x v="0"/>
          </reference>
        </references>
      </pivotArea>
    </format>
    <format dxfId="192">
      <pivotArea dataOnly="0" labelOnly="1" outline="0" fieldPosition="0">
        <references count="6">
          <reference field="0" count="1" selected="0">
            <x v="138"/>
          </reference>
          <reference field="1" count="1" selected="0">
            <x v="45"/>
          </reference>
          <reference field="2" count="1" selected="0">
            <x v="5"/>
          </reference>
          <reference field="3" count="1" selected="0">
            <x v="4"/>
          </reference>
          <reference field="4" count="1" selected="0">
            <x v="2"/>
          </reference>
          <reference field="16" count="1">
            <x v="0"/>
          </reference>
        </references>
      </pivotArea>
    </format>
    <format dxfId="191">
      <pivotArea dataOnly="0" labelOnly="1" outline="0" fieldPosition="0">
        <references count="6">
          <reference field="0" count="1" selected="0">
            <x v="139"/>
          </reference>
          <reference field="1" count="1" selected="0">
            <x v="8"/>
          </reference>
          <reference field="2" count="1" selected="0">
            <x v="5"/>
          </reference>
          <reference field="3" count="1" selected="0">
            <x v="4"/>
          </reference>
          <reference field="4" count="1" selected="0">
            <x v="4"/>
          </reference>
          <reference field="16" count="1">
            <x v="0"/>
          </reference>
        </references>
      </pivotArea>
    </format>
    <format dxfId="190">
      <pivotArea dataOnly="0" labelOnly="1" outline="0" fieldPosition="0">
        <references count="6">
          <reference field="0" count="1" selected="0">
            <x v="140"/>
          </reference>
          <reference field="1" count="1" selected="0">
            <x v="40"/>
          </reference>
          <reference field="2" count="1" selected="0">
            <x v="2"/>
          </reference>
          <reference field="3" count="1" selected="0">
            <x v="6"/>
          </reference>
          <reference field="4" count="1" selected="0">
            <x v="3"/>
          </reference>
          <reference field="16" count="1">
            <x v="0"/>
          </reference>
        </references>
      </pivotArea>
    </format>
    <format dxfId="189">
      <pivotArea dataOnly="0" labelOnly="1" outline="0" fieldPosition="0">
        <references count="6">
          <reference field="0" count="1" selected="0">
            <x v="141"/>
          </reference>
          <reference field="1" count="1" selected="0">
            <x v="1"/>
          </reference>
          <reference field="2" count="1" selected="0">
            <x v="5"/>
          </reference>
          <reference field="3" count="1" selected="0">
            <x v="0"/>
          </reference>
          <reference field="4" count="1" selected="0">
            <x v="0"/>
          </reference>
          <reference field="16" count="1">
            <x v="0"/>
          </reference>
        </references>
      </pivotArea>
    </format>
    <format dxfId="188">
      <pivotArea dataOnly="0" labelOnly="1" outline="0" fieldPosition="0">
        <references count="6">
          <reference field="0" count="1" selected="0">
            <x v="142"/>
          </reference>
          <reference field="1" count="1" selected="0">
            <x v="34"/>
          </reference>
          <reference field="2" count="1" selected="0">
            <x v="5"/>
          </reference>
          <reference field="3" count="1" selected="0">
            <x v="1"/>
          </reference>
          <reference field="4" count="1" selected="0">
            <x v="3"/>
          </reference>
          <reference field="16" count="1">
            <x v="0"/>
          </reference>
        </references>
      </pivotArea>
    </format>
    <format dxfId="187">
      <pivotArea dataOnly="0" labelOnly="1" outline="0" fieldPosition="0">
        <references count="6">
          <reference field="0" count="1" selected="0">
            <x v="143"/>
          </reference>
          <reference field="1" count="1" selected="0">
            <x v="25"/>
          </reference>
          <reference field="2" count="1" selected="0">
            <x v="1"/>
          </reference>
          <reference field="3" count="1" selected="0">
            <x v="0"/>
          </reference>
          <reference field="4" count="1" selected="0">
            <x v="1"/>
          </reference>
          <reference field="16" count="1">
            <x v="0"/>
          </reference>
        </references>
      </pivotArea>
    </format>
    <format dxfId="186">
      <pivotArea dataOnly="0" labelOnly="1" outline="0" fieldPosition="0">
        <references count="6">
          <reference field="0" count="1" selected="0">
            <x v="144"/>
          </reference>
          <reference field="1" count="1" selected="0">
            <x v="58"/>
          </reference>
          <reference field="2" count="1" selected="0">
            <x v="1"/>
          </reference>
          <reference field="3" count="1" selected="0">
            <x v="6"/>
          </reference>
          <reference field="4" count="1" selected="0">
            <x v="1"/>
          </reference>
          <reference field="16" count="1">
            <x v="0"/>
          </reference>
        </references>
      </pivotArea>
    </format>
    <format dxfId="185">
      <pivotArea dataOnly="0" labelOnly="1" outline="0" fieldPosition="0">
        <references count="6">
          <reference field="0" count="1" selected="0">
            <x v="145"/>
          </reference>
          <reference field="1" count="1" selected="0">
            <x v="58"/>
          </reference>
          <reference field="2" count="1" selected="0">
            <x v="1"/>
          </reference>
          <reference field="3" count="1" selected="0">
            <x v="2"/>
          </reference>
          <reference field="4" count="1" selected="0">
            <x v="4"/>
          </reference>
          <reference field="16" count="1">
            <x v="1"/>
          </reference>
        </references>
      </pivotArea>
    </format>
    <format dxfId="184">
      <pivotArea dataOnly="0" labelOnly="1" outline="0" fieldPosition="0">
        <references count="6">
          <reference field="0" count="1" selected="0">
            <x v="146"/>
          </reference>
          <reference field="1" count="1" selected="0">
            <x v="4"/>
          </reference>
          <reference field="2" count="1" selected="0">
            <x v="0"/>
          </reference>
          <reference field="3" count="1" selected="0">
            <x v="2"/>
          </reference>
          <reference field="4" count="1" selected="0">
            <x v="1"/>
          </reference>
          <reference field="16" count="1">
            <x v="0"/>
          </reference>
        </references>
      </pivotArea>
    </format>
    <format dxfId="183">
      <pivotArea dataOnly="0" labelOnly="1" outline="0" fieldPosition="0">
        <references count="6">
          <reference field="0" count="1" selected="0">
            <x v="147"/>
          </reference>
          <reference field="1" count="1" selected="0">
            <x v="42"/>
          </reference>
          <reference field="2" count="1" selected="0">
            <x v="2"/>
          </reference>
          <reference field="3" count="1" selected="0">
            <x v="5"/>
          </reference>
          <reference field="4" count="1" selected="0">
            <x v="2"/>
          </reference>
          <reference field="16" count="1">
            <x v="0"/>
          </reference>
        </references>
      </pivotArea>
    </format>
    <format dxfId="182">
      <pivotArea dataOnly="0" labelOnly="1" outline="0" fieldPosition="0">
        <references count="6">
          <reference field="0" count="1" selected="0">
            <x v="148"/>
          </reference>
          <reference field="1" count="1" selected="0">
            <x v="19"/>
          </reference>
          <reference field="2" count="1" selected="0">
            <x v="5"/>
          </reference>
          <reference field="3" count="1" selected="0">
            <x v="7"/>
          </reference>
          <reference field="4" count="1" selected="0">
            <x v="0"/>
          </reference>
          <reference field="16" count="1">
            <x v="1"/>
          </reference>
        </references>
      </pivotArea>
    </format>
    <format dxfId="181">
      <pivotArea dataOnly="0" labelOnly="1" outline="0" fieldPosition="0">
        <references count="6">
          <reference field="0" count="1" selected="0">
            <x v="149"/>
          </reference>
          <reference field="1" count="1" selected="0">
            <x v="6"/>
          </reference>
          <reference field="2" count="1" selected="0">
            <x v="3"/>
          </reference>
          <reference field="3" count="1" selected="0">
            <x v="3"/>
          </reference>
          <reference field="4" count="1" selected="0">
            <x v="2"/>
          </reference>
          <reference field="16" count="1">
            <x v="0"/>
          </reference>
        </references>
      </pivotArea>
    </format>
    <format dxfId="180">
      <pivotArea dataOnly="0" labelOnly="1" outline="0" fieldPosition="0">
        <references count="6">
          <reference field="0" count="1" selected="0">
            <x v="150"/>
          </reference>
          <reference field="1" count="1" selected="0">
            <x v="55"/>
          </reference>
          <reference field="2" count="1" selected="0">
            <x v="1"/>
          </reference>
          <reference field="3" count="1" selected="0">
            <x v="7"/>
          </reference>
          <reference field="4" count="1" selected="0">
            <x v="0"/>
          </reference>
          <reference field="16" count="1">
            <x v="0"/>
          </reference>
        </references>
      </pivotArea>
    </format>
    <format dxfId="179">
      <pivotArea dataOnly="0" labelOnly="1" outline="0" fieldPosition="0">
        <references count="6">
          <reference field="0" count="1" selected="0">
            <x v="151"/>
          </reference>
          <reference field="1" count="1" selected="0">
            <x v="18"/>
          </reference>
          <reference field="2" count="1" selected="0">
            <x v="2"/>
          </reference>
          <reference field="3" count="1" selected="0">
            <x v="6"/>
          </reference>
          <reference field="4" count="1" selected="0">
            <x v="3"/>
          </reference>
          <reference field="16" count="1">
            <x v="1"/>
          </reference>
        </references>
      </pivotArea>
    </format>
    <format dxfId="178">
      <pivotArea dataOnly="0" labelOnly="1" outline="0" fieldPosition="0">
        <references count="6">
          <reference field="0" count="1" selected="0">
            <x v="152"/>
          </reference>
          <reference field="1" count="1" selected="0">
            <x v="25"/>
          </reference>
          <reference field="2" count="1" selected="0">
            <x v="1"/>
          </reference>
          <reference field="3" count="1" selected="0">
            <x v="1"/>
          </reference>
          <reference field="4" count="1" selected="0">
            <x v="4"/>
          </reference>
          <reference field="16" count="1">
            <x v="0"/>
          </reference>
        </references>
      </pivotArea>
    </format>
    <format dxfId="177">
      <pivotArea dataOnly="0" labelOnly="1" outline="0" fieldPosition="0">
        <references count="6">
          <reference field="0" count="1" selected="0">
            <x v="153"/>
          </reference>
          <reference field="1" count="1" selected="0">
            <x v="1"/>
          </reference>
          <reference field="2" count="1" selected="0">
            <x v="5"/>
          </reference>
          <reference field="3" count="1" selected="0">
            <x v="1"/>
          </reference>
          <reference field="4" count="1" selected="0">
            <x v="3"/>
          </reference>
          <reference field="16" count="1">
            <x v="0"/>
          </reference>
        </references>
      </pivotArea>
    </format>
    <format dxfId="176">
      <pivotArea dataOnly="0" labelOnly="1" outline="0" fieldPosition="0">
        <references count="6">
          <reference field="0" count="1" selected="0">
            <x v="154"/>
          </reference>
          <reference field="1" count="1" selected="0">
            <x v="44"/>
          </reference>
          <reference field="2" count="1" selected="0">
            <x v="5"/>
          </reference>
          <reference field="3" count="1" selected="0">
            <x v="1"/>
          </reference>
          <reference field="4" count="1" selected="0">
            <x v="1"/>
          </reference>
          <reference field="16" count="1">
            <x v="0"/>
          </reference>
        </references>
      </pivotArea>
    </format>
    <format dxfId="175">
      <pivotArea dataOnly="0" labelOnly="1" outline="0" fieldPosition="0">
        <references count="6">
          <reference field="0" count="1" selected="0">
            <x v="155"/>
          </reference>
          <reference field="1" count="1" selected="0">
            <x v="34"/>
          </reference>
          <reference field="2" count="1" selected="0">
            <x v="5"/>
          </reference>
          <reference field="3" count="1" selected="0">
            <x v="5"/>
          </reference>
          <reference field="4" count="1" selected="0">
            <x v="4"/>
          </reference>
          <reference field="16" count="1">
            <x v="0"/>
          </reference>
        </references>
      </pivotArea>
    </format>
    <format dxfId="174">
      <pivotArea dataOnly="0" labelOnly="1" outline="0" fieldPosition="0">
        <references count="6">
          <reference field="0" count="1" selected="0">
            <x v="156"/>
          </reference>
          <reference field="1" count="1" selected="0">
            <x v="29"/>
          </reference>
          <reference field="2" count="1" selected="0">
            <x v="1"/>
          </reference>
          <reference field="3" count="1" selected="0">
            <x v="5"/>
          </reference>
          <reference field="4" count="1" selected="0">
            <x v="1"/>
          </reference>
          <reference field="16" count="1">
            <x v="1"/>
          </reference>
        </references>
      </pivotArea>
    </format>
    <format dxfId="173">
      <pivotArea dataOnly="0" labelOnly="1" outline="0" fieldPosition="0">
        <references count="6">
          <reference field="0" count="1" selected="0">
            <x v="157"/>
          </reference>
          <reference field="1" count="1" selected="0">
            <x v="38"/>
          </reference>
          <reference field="2" count="1" selected="0">
            <x v="5"/>
          </reference>
          <reference field="3" count="1" selected="0">
            <x v="4"/>
          </reference>
          <reference field="4" count="1" selected="0">
            <x v="3"/>
          </reference>
          <reference field="16" count="1">
            <x v="0"/>
          </reference>
        </references>
      </pivotArea>
    </format>
    <format dxfId="172">
      <pivotArea dataOnly="0" labelOnly="1" outline="0" fieldPosition="0">
        <references count="6">
          <reference field="0" count="1" selected="0">
            <x v="158"/>
          </reference>
          <reference field="1" count="1" selected="0">
            <x v="29"/>
          </reference>
          <reference field="2" count="1" selected="0">
            <x v="1"/>
          </reference>
          <reference field="3" count="1" selected="0">
            <x v="4"/>
          </reference>
          <reference field="4" count="1" selected="0">
            <x v="2"/>
          </reference>
          <reference field="16" count="1">
            <x v="1"/>
          </reference>
        </references>
      </pivotArea>
    </format>
    <format dxfId="171">
      <pivotArea dataOnly="0" labelOnly="1" outline="0" fieldPosition="0">
        <references count="6">
          <reference field="0" count="1" selected="0">
            <x v="159"/>
          </reference>
          <reference field="1" count="1" selected="0">
            <x v="57"/>
          </reference>
          <reference field="2" count="1" selected="0">
            <x v="0"/>
          </reference>
          <reference field="3" count="1" selected="0">
            <x v="2"/>
          </reference>
          <reference field="4" count="1" selected="0">
            <x v="3"/>
          </reference>
          <reference field="16" count="1">
            <x v="0"/>
          </reference>
        </references>
      </pivotArea>
    </format>
    <format dxfId="170">
      <pivotArea dataOnly="0" labelOnly="1" outline="0" fieldPosition="0">
        <references count="6">
          <reference field="0" count="1" selected="0">
            <x v="160"/>
          </reference>
          <reference field="1" count="1" selected="0">
            <x v="27"/>
          </reference>
          <reference field="2" count="1" selected="0">
            <x v="0"/>
          </reference>
          <reference field="3" count="1" selected="0">
            <x v="5"/>
          </reference>
          <reference field="4" count="1" selected="0">
            <x v="2"/>
          </reference>
          <reference field="16" count="1">
            <x v="1"/>
          </reference>
        </references>
      </pivotArea>
    </format>
    <format dxfId="169">
      <pivotArea dataOnly="0" labelOnly="1" outline="0" fieldPosition="0">
        <references count="6">
          <reference field="0" count="1" selected="0">
            <x v="161"/>
          </reference>
          <reference field="1" count="1" selected="0">
            <x v="23"/>
          </reference>
          <reference field="2" count="1" selected="0">
            <x v="2"/>
          </reference>
          <reference field="3" count="1" selected="0">
            <x v="5"/>
          </reference>
          <reference field="4" count="1" selected="0">
            <x v="1"/>
          </reference>
          <reference field="16" count="1">
            <x v="0"/>
          </reference>
        </references>
      </pivotArea>
    </format>
    <format dxfId="168">
      <pivotArea dataOnly="0" labelOnly="1" outline="0" fieldPosition="0">
        <references count="6">
          <reference field="0" count="1" selected="0">
            <x v="162"/>
          </reference>
          <reference field="1" count="1" selected="0">
            <x v="13"/>
          </reference>
          <reference field="2" count="1" selected="0">
            <x v="3"/>
          </reference>
          <reference field="3" count="1" selected="0">
            <x v="5"/>
          </reference>
          <reference field="4" count="1" selected="0">
            <x v="3"/>
          </reference>
          <reference field="16" count="1">
            <x v="0"/>
          </reference>
        </references>
      </pivotArea>
    </format>
    <format dxfId="167">
      <pivotArea dataOnly="0" labelOnly="1" outline="0" fieldPosition="0">
        <references count="6">
          <reference field="0" count="1" selected="0">
            <x v="163"/>
          </reference>
          <reference field="1" count="1" selected="0">
            <x v="29"/>
          </reference>
          <reference field="2" count="1" selected="0">
            <x v="1"/>
          </reference>
          <reference field="3" count="1" selected="0">
            <x v="3"/>
          </reference>
          <reference field="4" count="1" selected="0">
            <x v="3"/>
          </reference>
          <reference field="16" count="1">
            <x v="0"/>
          </reference>
        </references>
      </pivotArea>
    </format>
    <format dxfId="166">
      <pivotArea dataOnly="0" labelOnly="1" outline="0" fieldPosition="0">
        <references count="6">
          <reference field="0" count="1" selected="0">
            <x v="164"/>
          </reference>
          <reference field="1" count="1" selected="0">
            <x v="50"/>
          </reference>
          <reference field="2" count="1" selected="0">
            <x v="3"/>
          </reference>
          <reference field="3" count="1" selected="0">
            <x v="1"/>
          </reference>
          <reference field="4" count="1" selected="0">
            <x v="2"/>
          </reference>
          <reference field="16" count="1">
            <x v="0"/>
          </reference>
        </references>
      </pivotArea>
    </format>
    <format dxfId="165">
      <pivotArea dataOnly="0" labelOnly="1" outline="0" fieldPosition="0">
        <references count="6">
          <reference field="0" count="1" selected="0">
            <x v="165"/>
          </reference>
          <reference field="1" count="1" selected="0">
            <x v="48"/>
          </reference>
          <reference field="2" count="1" selected="0">
            <x v="5"/>
          </reference>
          <reference field="3" count="1" selected="0">
            <x v="6"/>
          </reference>
          <reference field="4" count="1" selected="0">
            <x v="3"/>
          </reference>
          <reference field="16" count="1">
            <x v="0"/>
          </reference>
        </references>
      </pivotArea>
    </format>
    <format dxfId="164">
      <pivotArea dataOnly="0" labelOnly="1" outline="0" fieldPosition="0">
        <references count="6">
          <reference field="0" count="1" selected="0">
            <x v="166"/>
          </reference>
          <reference field="1" count="1" selected="0">
            <x v="40"/>
          </reference>
          <reference field="2" count="1" selected="0">
            <x v="2"/>
          </reference>
          <reference field="3" count="1" selected="0">
            <x v="0"/>
          </reference>
          <reference field="4" count="1" selected="0">
            <x v="1"/>
          </reference>
          <reference field="16" count="1">
            <x v="0"/>
          </reference>
        </references>
      </pivotArea>
    </format>
    <format dxfId="163">
      <pivotArea dataOnly="0" labelOnly="1" outline="0" fieldPosition="0">
        <references count="6">
          <reference field="0" count="1" selected="0">
            <x v="167"/>
          </reference>
          <reference field="1" count="1" selected="0">
            <x v="58"/>
          </reference>
          <reference field="2" count="1" selected="0">
            <x v="1"/>
          </reference>
          <reference field="3" count="1" selected="0">
            <x v="6"/>
          </reference>
          <reference field="4" count="1" selected="0">
            <x v="1"/>
          </reference>
          <reference field="16" count="1">
            <x v="1"/>
          </reference>
        </references>
      </pivotArea>
    </format>
    <format dxfId="162">
      <pivotArea dataOnly="0" labelOnly="1" outline="0" fieldPosition="0">
        <references count="6">
          <reference field="0" count="1" selected="0">
            <x v="168"/>
          </reference>
          <reference field="1" count="1" selected="0">
            <x v="11"/>
          </reference>
          <reference field="2" count="1" selected="0">
            <x v="4"/>
          </reference>
          <reference field="3" count="1" selected="0">
            <x v="1"/>
          </reference>
          <reference field="4" count="1" selected="0">
            <x v="0"/>
          </reference>
          <reference field="16" count="1">
            <x v="1"/>
          </reference>
        </references>
      </pivotArea>
    </format>
    <format dxfId="161">
      <pivotArea dataOnly="0" labelOnly="1" outline="0" fieldPosition="0">
        <references count="6">
          <reference field="0" count="1" selected="0">
            <x v="169"/>
          </reference>
          <reference field="1" count="1" selected="0">
            <x v="40"/>
          </reference>
          <reference field="2" count="1" selected="0">
            <x v="2"/>
          </reference>
          <reference field="3" count="1" selected="0">
            <x v="3"/>
          </reference>
          <reference field="4" count="1" selected="0">
            <x v="0"/>
          </reference>
          <reference field="16" count="1">
            <x v="0"/>
          </reference>
        </references>
      </pivotArea>
    </format>
    <format dxfId="160">
      <pivotArea dataOnly="0" labelOnly="1" outline="0" fieldPosition="0">
        <references count="6">
          <reference field="0" count="1" selected="0">
            <x v="170"/>
          </reference>
          <reference field="1" count="1" selected="0">
            <x v="33"/>
          </reference>
          <reference field="2" count="1" selected="0">
            <x v="4"/>
          </reference>
          <reference field="3" count="1" selected="0">
            <x v="6"/>
          </reference>
          <reference field="4" count="1" selected="0">
            <x v="4"/>
          </reference>
          <reference field="16" count="1">
            <x v="1"/>
          </reference>
        </references>
      </pivotArea>
    </format>
    <format dxfId="159">
      <pivotArea dataOnly="0" labelOnly="1" outline="0" fieldPosition="0">
        <references count="6">
          <reference field="0" count="1" selected="0">
            <x v="171"/>
          </reference>
          <reference field="1" count="1" selected="0">
            <x v="7"/>
          </reference>
          <reference field="2" count="1" selected="0">
            <x v="3"/>
          </reference>
          <reference field="3" count="1" selected="0">
            <x v="3"/>
          </reference>
          <reference field="4" count="1" selected="0">
            <x v="1"/>
          </reference>
          <reference field="16" count="1">
            <x v="0"/>
          </reference>
        </references>
      </pivotArea>
    </format>
    <format dxfId="158">
      <pivotArea dataOnly="0" labelOnly="1" outline="0" fieldPosition="0">
        <references count="6">
          <reference field="0" count="1" selected="0">
            <x v="172"/>
          </reference>
          <reference field="1" count="1" selected="0">
            <x v="3"/>
          </reference>
          <reference field="2" count="1" selected="0">
            <x v="4"/>
          </reference>
          <reference field="3" count="1" selected="0">
            <x v="4"/>
          </reference>
          <reference field="4" count="1" selected="0">
            <x v="1"/>
          </reference>
          <reference field="16" count="1">
            <x v="1"/>
          </reference>
        </references>
      </pivotArea>
    </format>
    <format dxfId="157">
      <pivotArea dataOnly="0" labelOnly="1" outline="0" fieldPosition="0">
        <references count="6">
          <reference field="0" count="1" selected="0">
            <x v="173"/>
          </reference>
          <reference field="1" count="1" selected="0">
            <x v="48"/>
          </reference>
          <reference field="2" count="1" selected="0">
            <x v="5"/>
          </reference>
          <reference field="3" count="1" selected="0">
            <x v="7"/>
          </reference>
          <reference field="4" count="1" selected="0">
            <x v="3"/>
          </reference>
          <reference field="16" count="1">
            <x v="0"/>
          </reference>
        </references>
      </pivotArea>
    </format>
    <format dxfId="156">
      <pivotArea dataOnly="0" labelOnly="1" outline="0" fieldPosition="0">
        <references count="6">
          <reference field="0" count="1" selected="0">
            <x v="174"/>
          </reference>
          <reference field="1" count="1" selected="0">
            <x v="23"/>
          </reference>
          <reference field="2" count="1" selected="0">
            <x v="2"/>
          </reference>
          <reference field="3" count="1" selected="0">
            <x v="3"/>
          </reference>
          <reference field="4" count="1" selected="0">
            <x v="2"/>
          </reference>
          <reference field="16" count="1">
            <x v="0"/>
          </reference>
        </references>
      </pivotArea>
    </format>
    <format dxfId="155">
      <pivotArea dataOnly="0" labelOnly="1" outline="0" fieldPosition="0">
        <references count="6">
          <reference field="0" count="1" selected="0">
            <x v="175"/>
          </reference>
          <reference field="1" count="1" selected="0">
            <x v="2"/>
          </reference>
          <reference field="2" count="1" selected="0">
            <x v="3"/>
          </reference>
          <reference field="3" count="1" selected="0">
            <x v="1"/>
          </reference>
          <reference field="4" count="1" selected="0">
            <x v="0"/>
          </reference>
          <reference field="16" count="1">
            <x v="0"/>
          </reference>
        </references>
      </pivotArea>
    </format>
    <format dxfId="154">
      <pivotArea dataOnly="0" labelOnly="1" outline="0" fieldPosition="0">
        <references count="6">
          <reference field="0" count="1" selected="0">
            <x v="176"/>
          </reference>
          <reference field="1" count="1" selected="0">
            <x v="58"/>
          </reference>
          <reference field="2" count="1" selected="0">
            <x v="1"/>
          </reference>
          <reference field="3" count="1" selected="0">
            <x v="7"/>
          </reference>
          <reference field="4" count="1" selected="0">
            <x v="1"/>
          </reference>
          <reference field="16" count="1">
            <x v="0"/>
          </reference>
        </references>
      </pivotArea>
    </format>
    <format dxfId="153">
      <pivotArea dataOnly="0" labelOnly="1" outline="0" fieldPosition="0">
        <references count="6">
          <reference field="0" count="1" selected="0">
            <x v="177"/>
          </reference>
          <reference field="1" count="1" selected="0">
            <x v="42"/>
          </reference>
          <reference field="2" count="1" selected="0">
            <x v="2"/>
          </reference>
          <reference field="3" count="1" selected="0">
            <x v="0"/>
          </reference>
          <reference field="4" count="1" selected="0">
            <x v="4"/>
          </reference>
          <reference field="16" count="1">
            <x v="0"/>
          </reference>
        </references>
      </pivotArea>
    </format>
    <format dxfId="152">
      <pivotArea dataOnly="0" labelOnly="1" outline="0" fieldPosition="0">
        <references count="6">
          <reference field="0" count="1" selected="0">
            <x v="178"/>
          </reference>
          <reference field="1" count="1" selected="0">
            <x v="44"/>
          </reference>
          <reference field="2" count="1" selected="0">
            <x v="5"/>
          </reference>
          <reference field="3" count="1" selected="0">
            <x v="7"/>
          </reference>
          <reference field="4" count="1" selected="0">
            <x v="0"/>
          </reference>
          <reference field="16" count="1">
            <x v="1"/>
          </reference>
        </references>
      </pivotArea>
    </format>
    <format dxfId="151">
      <pivotArea dataOnly="0" labelOnly="1" outline="0" fieldPosition="0">
        <references count="6">
          <reference field="0" count="1" selected="0">
            <x v="179"/>
          </reference>
          <reference field="1" count="1" selected="0">
            <x v="8"/>
          </reference>
          <reference field="2" count="1" selected="0">
            <x v="5"/>
          </reference>
          <reference field="3" count="1" selected="0">
            <x v="2"/>
          </reference>
          <reference field="4" count="1" selected="0">
            <x v="3"/>
          </reference>
          <reference field="16" count="1">
            <x v="0"/>
          </reference>
        </references>
      </pivotArea>
    </format>
    <format dxfId="150">
      <pivotArea dataOnly="0" labelOnly="1" outline="0" fieldPosition="0">
        <references count="6">
          <reference field="0" count="1" selected="0">
            <x v="180"/>
          </reference>
          <reference field="1" count="1" selected="0">
            <x v="37"/>
          </reference>
          <reference field="2" count="1" selected="0">
            <x v="1"/>
          </reference>
          <reference field="3" count="1" selected="0">
            <x v="5"/>
          </reference>
          <reference field="4" count="1" selected="0">
            <x v="1"/>
          </reference>
          <reference field="16" count="1">
            <x v="0"/>
          </reference>
        </references>
      </pivotArea>
    </format>
    <format dxfId="149">
      <pivotArea dataOnly="0" labelOnly="1" outline="0" fieldPosition="0">
        <references count="6">
          <reference field="0" count="1" selected="0">
            <x v="181"/>
          </reference>
          <reference field="1" count="1" selected="0">
            <x v="51"/>
          </reference>
          <reference field="2" count="1" selected="0">
            <x v="0"/>
          </reference>
          <reference field="3" count="1" selected="0">
            <x v="0"/>
          </reference>
          <reference field="4" count="1" selected="0">
            <x v="2"/>
          </reference>
          <reference field="16" count="1">
            <x v="0"/>
          </reference>
        </references>
      </pivotArea>
    </format>
    <format dxfId="148">
      <pivotArea dataOnly="0" labelOnly="1" outline="0" fieldPosition="0">
        <references count="6">
          <reference field="0" count="1" selected="0">
            <x v="182"/>
          </reference>
          <reference field="1" count="1" selected="0">
            <x v="48"/>
          </reference>
          <reference field="2" count="1" selected="0">
            <x v="5"/>
          </reference>
          <reference field="3" count="1" selected="0">
            <x v="3"/>
          </reference>
          <reference field="4" count="1" selected="0">
            <x v="0"/>
          </reference>
          <reference field="16" count="1">
            <x v="0"/>
          </reference>
        </references>
      </pivotArea>
    </format>
    <format dxfId="147">
      <pivotArea dataOnly="0" labelOnly="1" outline="0" fieldPosition="0">
        <references count="6">
          <reference field="0" count="1" selected="0">
            <x v="183"/>
          </reference>
          <reference field="1" count="1" selected="0">
            <x v="41"/>
          </reference>
          <reference field="2" count="1" selected="0">
            <x v="0"/>
          </reference>
          <reference field="3" count="1" selected="0">
            <x v="4"/>
          </reference>
          <reference field="4" count="1" selected="0">
            <x v="0"/>
          </reference>
          <reference field="16" count="1">
            <x v="0"/>
          </reference>
        </references>
      </pivotArea>
    </format>
    <format dxfId="146">
      <pivotArea dataOnly="0" labelOnly="1" outline="0" fieldPosition="0">
        <references count="6">
          <reference field="0" count="1" selected="0">
            <x v="184"/>
          </reference>
          <reference field="1" count="1" selected="0">
            <x v="26"/>
          </reference>
          <reference field="2" count="1" selected="0">
            <x v="5"/>
          </reference>
          <reference field="3" count="1" selected="0">
            <x v="6"/>
          </reference>
          <reference field="4" count="1" selected="0">
            <x v="3"/>
          </reference>
          <reference field="16" count="1">
            <x v="1"/>
          </reference>
        </references>
      </pivotArea>
    </format>
    <format dxfId="145">
      <pivotArea dataOnly="0" labelOnly="1" outline="0" fieldPosition="0">
        <references count="6">
          <reference field="0" count="1" selected="0">
            <x v="185"/>
          </reference>
          <reference field="1" count="1" selected="0">
            <x v="54"/>
          </reference>
          <reference field="2" count="1" selected="0">
            <x v="2"/>
          </reference>
          <reference field="3" count="1" selected="0">
            <x v="6"/>
          </reference>
          <reference field="4" count="1" selected="0">
            <x v="1"/>
          </reference>
          <reference field="16" count="1">
            <x v="0"/>
          </reference>
        </references>
      </pivotArea>
    </format>
    <format dxfId="144">
      <pivotArea dataOnly="0" labelOnly="1" outline="0" fieldPosition="0">
        <references count="6">
          <reference field="0" count="1" selected="0">
            <x v="186"/>
          </reference>
          <reference field="1" count="1" selected="0">
            <x v="53"/>
          </reference>
          <reference field="2" count="1" selected="0">
            <x v="1"/>
          </reference>
          <reference field="3" count="1" selected="0">
            <x v="1"/>
          </reference>
          <reference field="4" count="1" selected="0">
            <x v="0"/>
          </reference>
          <reference field="16" count="1">
            <x v="0"/>
          </reference>
        </references>
      </pivotArea>
    </format>
    <format dxfId="143">
      <pivotArea dataOnly="0" labelOnly="1" outline="0" fieldPosition="0">
        <references count="6">
          <reference field="0" count="1" selected="0">
            <x v="187"/>
          </reference>
          <reference field="1" count="1" selected="0">
            <x v="12"/>
          </reference>
          <reference field="2" count="1" selected="0">
            <x v="4"/>
          </reference>
          <reference field="3" count="1" selected="0">
            <x v="4"/>
          </reference>
          <reference field="4" count="1" selected="0">
            <x v="1"/>
          </reference>
          <reference field="16" count="1">
            <x v="0"/>
          </reference>
        </references>
      </pivotArea>
    </format>
    <format dxfId="142">
      <pivotArea dataOnly="0" labelOnly="1" outline="0" fieldPosition="0">
        <references count="6">
          <reference field="0" count="1" selected="0">
            <x v="188"/>
          </reference>
          <reference field="1" count="1" selected="0">
            <x v="28"/>
          </reference>
          <reference field="2" count="1" selected="0">
            <x v="3"/>
          </reference>
          <reference field="3" count="1" selected="0">
            <x v="7"/>
          </reference>
          <reference field="4" count="1" selected="0">
            <x v="1"/>
          </reference>
          <reference field="16" count="1">
            <x v="1"/>
          </reference>
        </references>
      </pivotArea>
    </format>
    <format dxfId="141">
      <pivotArea dataOnly="0" labelOnly="1" outline="0" fieldPosition="0">
        <references count="6">
          <reference field="0" count="1" selected="0">
            <x v="189"/>
          </reference>
          <reference field="1" count="1" selected="0">
            <x v="52"/>
          </reference>
          <reference field="2" count="1" selected="0">
            <x v="1"/>
          </reference>
          <reference field="3" count="1" selected="0">
            <x v="5"/>
          </reference>
          <reference field="4" count="1" selected="0">
            <x v="0"/>
          </reference>
          <reference field="16" count="1">
            <x v="0"/>
          </reference>
        </references>
      </pivotArea>
    </format>
    <format dxfId="140">
      <pivotArea dataOnly="0" labelOnly="1" outline="0" fieldPosition="0">
        <references count="6">
          <reference field="0" count="1" selected="0">
            <x v="190"/>
          </reference>
          <reference field="1" count="1" selected="0">
            <x v="20"/>
          </reference>
          <reference field="2" count="1" selected="0">
            <x v="4"/>
          </reference>
          <reference field="3" count="1" selected="0">
            <x v="2"/>
          </reference>
          <reference field="4" count="1" selected="0">
            <x v="3"/>
          </reference>
          <reference field="16" count="1">
            <x v="0"/>
          </reference>
        </references>
      </pivotArea>
    </format>
    <format dxfId="139">
      <pivotArea dataOnly="0" labelOnly="1" outline="0" fieldPosition="0">
        <references count="6">
          <reference field="0" count="1" selected="0">
            <x v="191"/>
          </reference>
          <reference field="1" count="1" selected="0">
            <x v="8"/>
          </reference>
          <reference field="2" count="1" selected="0">
            <x v="5"/>
          </reference>
          <reference field="3" count="1" selected="0">
            <x v="2"/>
          </reference>
          <reference field="4" count="1" selected="0">
            <x v="1"/>
          </reference>
          <reference field="16" count="1">
            <x v="0"/>
          </reference>
        </references>
      </pivotArea>
    </format>
    <format dxfId="138">
      <pivotArea dataOnly="0" labelOnly="1" outline="0" fieldPosition="0">
        <references count="6">
          <reference field="0" count="1" selected="0">
            <x v="192"/>
          </reference>
          <reference field="1" count="1" selected="0">
            <x v="46"/>
          </reference>
          <reference field="2" count="1" selected="0">
            <x v="3"/>
          </reference>
          <reference field="3" count="1" selected="0">
            <x v="3"/>
          </reference>
          <reference field="4" count="1" selected="0">
            <x v="1"/>
          </reference>
          <reference field="16" count="1">
            <x v="0"/>
          </reference>
        </references>
      </pivotArea>
    </format>
    <format dxfId="137">
      <pivotArea dataOnly="0" labelOnly="1" outline="0" fieldPosition="0">
        <references count="6">
          <reference field="0" count="1" selected="0">
            <x v="193"/>
          </reference>
          <reference field="1" count="1" selected="0">
            <x v="24"/>
          </reference>
          <reference field="2" count="1" selected="0">
            <x v="0"/>
          </reference>
          <reference field="3" count="1" selected="0">
            <x v="7"/>
          </reference>
          <reference field="4" count="1" selected="0">
            <x v="0"/>
          </reference>
          <reference field="16" count="1">
            <x v="0"/>
          </reference>
        </references>
      </pivotArea>
    </format>
    <format dxfId="136">
      <pivotArea dataOnly="0" labelOnly="1" outline="0" fieldPosition="0">
        <references count="6">
          <reference field="0" count="1" selected="0">
            <x v="194"/>
          </reference>
          <reference field="1" count="1" selected="0">
            <x v="4"/>
          </reference>
          <reference field="2" count="1" selected="0">
            <x v="0"/>
          </reference>
          <reference field="3" count="1" selected="0">
            <x v="6"/>
          </reference>
          <reference field="4" count="1" selected="0">
            <x v="3"/>
          </reference>
          <reference field="16" count="1">
            <x v="0"/>
          </reference>
        </references>
      </pivotArea>
    </format>
    <format dxfId="135">
      <pivotArea dataOnly="0" labelOnly="1" outline="0" fieldPosition="0">
        <references count="6">
          <reference field="0" count="1" selected="0">
            <x v="195"/>
          </reference>
          <reference field="1" count="1" selected="0">
            <x v="24"/>
          </reference>
          <reference field="2" count="1" selected="0">
            <x v="0"/>
          </reference>
          <reference field="3" count="1" selected="0">
            <x v="3"/>
          </reference>
          <reference field="4" count="1" selected="0">
            <x v="4"/>
          </reference>
          <reference field="16" count="1">
            <x v="0"/>
          </reference>
        </references>
      </pivotArea>
    </format>
    <format dxfId="134">
      <pivotArea dataOnly="0" labelOnly="1" outline="0" fieldPosition="0">
        <references count="6">
          <reference field="0" count="1" selected="0">
            <x v="196"/>
          </reference>
          <reference field="1" count="1" selected="0">
            <x v="18"/>
          </reference>
          <reference field="2" count="1" selected="0">
            <x v="2"/>
          </reference>
          <reference field="3" count="1" selected="0">
            <x v="3"/>
          </reference>
          <reference field="4" count="1" selected="0">
            <x v="3"/>
          </reference>
          <reference field="16" count="1">
            <x v="1"/>
          </reference>
        </references>
      </pivotArea>
    </format>
    <format dxfId="133">
      <pivotArea dataOnly="0" labelOnly="1" outline="0" fieldPosition="0">
        <references count="6">
          <reference field="0" count="1" selected="0">
            <x v="197"/>
          </reference>
          <reference field="1" count="1" selected="0">
            <x v="50"/>
          </reference>
          <reference field="2" count="1" selected="0">
            <x v="3"/>
          </reference>
          <reference field="3" count="1" selected="0">
            <x v="3"/>
          </reference>
          <reference field="4" count="1" selected="0">
            <x v="2"/>
          </reference>
          <reference field="16" count="1">
            <x v="0"/>
          </reference>
        </references>
      </pivotArea>
    </format>
    <format dxfId="132">
      <pivotArea dataOnly="0" labelOnly="1" outline="0" fieldPosition="0">
        <references count="6">
          <reference field="0" count="1" selected="0">
            <x v="198"/>
          </reference>
          <reference field="1" count="1" selected="0">
            <x v="17"/>
          </reference>
          <reference field="2" count="1" selected="0">
            <x v="4"/>
          </reference>
          <reference field="3" count="1" selected="0">
            <x v="1"/>
          </reference>
          <reference field="4" count="1" selected="0">
            <x v="4"/>
          </reference>
          <reference field="16" count="1">
            <x v="0"/>
          </reference>
        </references>
      </pivotArea>
    </format>
    <format dxfId="131">
      <pivotArea dataOnly="0" labelOnly="1" outline="0" fieldPosition="0">
        <references count="6">
          <reference field="0" count="1" selected="0">
            <x v="199"/>
          </reference>
          <reference field="1" count="1" selected="0">
            <x v="30"/>
          </reference>
          <reference field="2" count="1" selected="0">
            <x v="1"/>
          </reference>
          <reference field="3" count="1" selected="0">
            <x v="5"/>
          </reference>
          <reference field="4" count="1" selected="0">
            <x v="3"/>
          </reference>
          <reference field="16" count="1">
            <x v="0"/>
          </reference>
        </references>
      </pivotArea>
    </format>
    <format dxfId="130">
      <pivotArea dataOnly="0" labelOnly="1" outline="0" fieldPosition="0">
        <references count="6">
          <reference field="0" count="1" selected="0">
            <x v="200"/>
          </reference>
          <reference field="1" count="1" selected="0">
            <x v="52"/>
          </reference>
          <reference field="2" count="1" selected="0">
            <x v="1"/>
          </reference>
          <reference field="3" count="1" selected="0">
            <x v="1"/>
          </reference>
          <reference field="4" count="1" selected="0">
            <x v="1"/>
          </reference>
          <reference field="16" count="1">
            <x v="0"/>
          </reference>
        </references>
      </pivotArea>
    </format>
    <format dxfId="129">
      <pivotArea dataOnly="0" labelOnly="1" outline="0" fieldPosition="0">
        <references count="6">
          <reference field="0" count="1" selected="0">
            <x v="201"/>
          </reference>
          <reference field="1" count="1" selected="0">
            <x v="14"/>
          </reference>
          <reference field="2" count="1" selected="0">
            <x v="4"/>
          </reference>
          <reference field="3" count="1" selected="0">
            <x v="1"/>
          </reference>
          <reference field="4" count="1" selected="0">
            <x v="3"/>
          </reference>
          <reference field="16" count="1">
            <x v="0"/>
          </reference>
        </references>
      </pivotArea>
    </format>
    <format dxfId="128">
      <pivotArea dataOnly="0" labelOnly="1" outline="0" fieldPosition="0">
        <references count="6">
          <reference field="0" count="1" selected="0">
            <x v="202"/>
          </reference>
          <reference field="1" count="1" selected="0">
            <x v="3"/>
          </reference>
          <reference field="2" count="1" selected="0">
            <x v="4"/>
          </reference>
          <reference field="3" count="1" selected="0">
            <x v="0"/>
          </reference>
          <reference field="4" count="1" selected="0">
            <x v="1"/>
          </reference>
          <reference field="16" count="1">
            <x v="1"/>
          </reference>
        </references>
      </pivotArea>
    </format>
    <format dxfId="127">
      <pivotArea dataOnly="0" labelOnly="1" outline="0" fieldPosition="0">
        <references count="6">
          <reference field="0" count="1" selected="0">
            <x v="203"/>
          </reference>
          <reference field="1" count="1" selected="0">
            <x v="11"/>
          </reference>
          <reference field="2" count="1" selected="0">
            <x v="4"/>
          </reference>
          <reference field="3" count="1" selected="0">
            <x v="2"/>
          </reference>
          <reference field="4" count="1" selected="0">
            <x v="4"/>
          </reference>
          <reference field="16" count="1">
            <x v="0"/>
          </reference>
        </references>
      </pivotArea>
    </format>
    <format dxfId="126">
      <pivotArea dataOnly="0" labelOnly="1" outline="0" fieldPosition="0">
        <references count="6">
          <reference field="0" count="1" selected="0">
            <x v="204"/>
          </reference>
          <reference field="1" count="1" selected="0">
            <x v="59"/>
          </reference>
          <reference field="2" count="1" selected="0">
            <x v="2"/>
          </reference>
          <reference field="3" count="1" selected="0">
            <x v="2"/>
          </reference>
          <reference field="4" count="1" selected="0">
            <x v="1"/>
          </reference>
          <reference field="16" count="1">
            <x v="1"/>
          </reference>
        </references>
      </pivotArea>
    </format>
    <format dxfId="125">
      <pivotArea dataOnly="0" labelOnly="1" outline="0" fieldPosition="0">
        <references count="6">
          <reference field="0" count="1" selected="0">
            <x v="205"/>
          </reference>
          <reference field="1" count="1" selected="0">
            <x v="12"/>
          </reference>
          <reference field="2" count="1" selected="0">
            <x v="4"/>
          </reference>
          <reference field="3" count="1" selected="0">
            <x v="2"/>
          </reference>
          <reference field="4" count="1" selected="0">
            <x v="2"/>
          </reference>
          <reference field="16" count="1">
            <x v="1"/>
          </reference>
        </references>
      </pivotArea>
    </format>
    <format dxfId="124">
      <pivotArea dataOnly="0" labelOnly="1" outline="0" fieldPosition="0">
        <references count="6">
          <reference field="0" count="1" selected="0">
            <x v="206"/>
          </reference>
          <reference field="1" count="1" selected="0">
            <x v="42"/>
          </reference>
          <reference field="2" count="1" selected="0">
            <x v="2"/>
          </reference>
          <reference field="3" count="1" selected="0">
            <x v="2"/>
          </reference>
          <reference field="4" count="1" selected="0">
            <x v="0"/>
          </reference>
          <reference field="16" count="1">
            <x v="0"/>
          </reference>
        </references>
      </pivotArea>
    </format>
    <format dxfId="123">
      <pivotArea dataOnly="0" labelOnly="1" outline="0" fieldPosition="0">
        <references count="6">
          <reference field="0" count="1" selected="0">
            <x v="207"/>
          </reference>
          <reference field="1" count="1" selected="0">
            <x v="47"/>
          </reference>
          <reference field="2" count="1" selected="0">
            <x v="0"/>
          </reference>
          <reference field="3" count="1" selected="0">
            <x v="4"/>
          </reference>
          <reference field="4" count="1" selected="0">
            <x v="3"/>
          </reference>
          <reference field="16" count="1">
            <x v="0"/>
          </reference>
        </references>
      </pivotArea>
    </format>
    <format dxfId="122">
      <pivotArea dataOnly="0" labelOnly="1" outline="0" fieldPosition="0">
        <references count="6">
          <reference field="0" count="1" selected="0">
            <x v="208"/>
          </reference>
          <reference field="1" count="1" selected="0">
            <x v="16"/>
          </reference>
          <reference field="2" count="1" selected="0">
            <x v="5"/>
          </reference>
          <reference field="3" count="1" selected="0">
            <x v="0"/>
          </reference>
          <reference field="4" count="1" selected="0">
            <x v="2"/>
          </reference>
          <reference field="16" count="1">
            <x v="0"/>
          </reference>
        </references>
      </pivotArea>
    </format>
    <format dxfId="121">
      <pivotArea dataOnly="0" labelOnly="1" outline="0" fieldPosition="0">
        <references count="6">
          <reference field="0" count="1" selected="0">
            <x v="209"/>
          </reference>
          <reference field="1" count="1" selected="0">
            <x v="39"/>
          </reference>
          <reference field="2" count="1" selected="0">
            <x v="2"/>
          </reference>
          <reference field="3" count="1" selected="0">
            <x v="1"/>
          </reference>
          <reference field="4" count="1" selected="0">
            <x v="2"/>
          </reference>
          <reference field="16" count="1">
            <x v="0"/>
          </reference>
        </references>
      </pivotArea>
    </format>
    <format dxfId="120">
      <pivotArea dataOnly="0" labelOnly="1" outline="0" fieldPosition="0">
        <references count="6">
          <reference field="0" count="1" selected="0">
            <x v="210"/>
          </reference>
          <reference field="1" count="1" selected="0">
            <x v="1"/>
          </reference>
          <reference field="2" count="1" selected="0">
            <x v="5"/>
          </reference>
          <reference field="3" count="1" selected="0">
            <x v="2"/>
          </reference>
          <reference field="4" count="1" selected="0">
            <x v="3"/>
          </reference>
          <reference field="16" count="1">
            <x v="0"/>
          </reference>
        </references>
      </pivotArea>
    </format>
    <format dxfId="119">
      <pivotArea dataOnly="0" labelOnly="1" outline="0" fieldPosition="0">
        <references count="6">
          <reference field="0" count="1" selected="0">
            <x v="211"/>
          </reference>
          <reference field="1" count="1" selected="0">
            <x v="4"/>
          </reference>
          <reference field="2" count="1" selected="0">
            <x v="0"/>
          </reference>
          <reference field="3" count="1" selected="0">
            <x v="2"/>
          </reference>
          <reference field="4" count="1" selected="0">
            <x v="4"/>
          </reference>
          <reference field="16" count="1">
            <x v="1"/>
          </reference>
        </references>
      </pivotArea>
    </format>
    <format dxfId="118">
      <pivotArea dataOnly="0" labelOnly="1" outline="0" fieldPosition="0">
        <references count="6">
          <reference field="0" count="1" selected="0">
            <x v="212"/>
          </reference>
          <reference field="1" count="1" selected="0">
            <x v="13"/>
          </reference>
          <reference field="2" count="1" selected="0">
            <x v="3"/>
          </reference>
          <reference field="3" count="1" selected="0">
            <x v="2"/>
          </reference>
          <reference field="4" count="1" selected="0">
            <x v="4"/>
          </reference>
          <reference field="16" count="1">
            <x v="0"/>
          </reference>
        </references>
      </pivotArea>
    </format>
    <format dxfId="117">
      <pivotArea dataOnly="0" labelOnly="1" outline="0" fieldPosition="0">
        <references count="6">
          <reference field="0" count="1" selected="0">
            <x v="213"/>
          </reference>
          <reference field="1" count="1" selected="0">
            <x v="19"/>
          </reference>
          <reference field="2" count="1" selected="0">
            <x v="5"/>
          </reference>
          <reference field="3" count="1" selected="0">
            <x v="3"/>
          </reference>
          <reference field="4" count="1" selected="0">
            <x v="2"/>
          </reference>
          <reference field="16" count="1">
            <x v="1"/>
          </reference>
        </references>
      </pivotArea>
    </format>
    <format dxfId="116">
      <pivotArea dataOnly="0" labelOnly="1" outline="0" fieldPosition="0">
        <references count="6">
          <reference field="0" count="1" selected="0">
            <x v="214"/>
          </reference>
          <reference field="1" count="1" selected="0">
            <x v="38"/>
          </reference>
          <reference field="2" count="1" selected="0">
            <x v="5"/>
          </reference>
          <reference field="3" count="1" selected="0">
            <x v="1"/>
          </reference>
          <reference field="4" count="1" selected="0">
            <x v="3"/>
          </reference>
          <reference field="16" count="1">
            <x v="1"/>
          </reference>
        </references>
      </pivotArea>
    </format>
    <format dxfId="115">
      <pivotArea dataOnly="0" labelOnly="1" outline="0" fieldPosition="0">
        <references count="6">
          <reference field="0" count="1" selected="0">
            <x v="215"/>
          </reference>
          <reference field="1" count="1" selected="0">
            <x v="26"/>
          </reference>
          <reference field="2" count="1" selected="0">
            <x v="5"/>
          </reference>
          <reference field="3" count="1" selected="0">
            <x v="2"/>
          </reference>
          <reference field="4" count="1" selected="0">
            <x v="0"/>
          </reference>
          <reference field="16" count="1">
            <x v="0"/>
          </reference>
        </references>
      </pivotArea>
    </format>
    <format dxfId="114">
      <pivotArea dataOnly="0" labelOnly="1" outline="0" fieldPosition="0">
        <references count="6">
          <reference field="0" count="1" selected="0">
            <x v="216"/>
          </reference>
          <reference field="1" count="1" selected="0">
            <x v="57"/>
          </reference>
          <reference field="2" count="1" selected="0">
            <x v="0"/>
          </reference>
          <reference field="3" count="1" selected="0">
            <x v="4"/>
          </reference>
          <reference field="4" count="1" selected="0">
            <x v="1"/>
          </reference>
          <reference field="16" count="1">
            <x v="1"/>
          </reference>
        </references>
      </pivotArea>
    </format>
    <format dxfId="113">
      <pivotArea dataOnly="0" labelOnly="1" outline="0" fieldPosition="0">
        <references count="6">
          <reference field="0" count="1" selected="0">
            <x v="217"/>
          </reference>
          <reference field="1" count="1" selected="0">
            <x v="59"/>
          </reference>
          <reference field="2" count="1" selected="0">
            <x v="2"/>
          </reference>
          <reference field="3" count="1" selected="0">
            <x v="5"/>
          </reference>
          <reference field="4" count="1" selected="0">
            <x v="3"/>
          </reference>
          <reference field="16" count="1">
            <x v="0"/>
          </reference>
        </references>
      </pivotArea>
    </format>
    <format dxfId="112">
      <pivotArea dataOnly="0" labelOnly="1" outline="0" fieldPosition="0">
        <references count="6">
          <reference field="0" count="1" selected="0">
            <x v="218"/>
          </reference>
          <reference field="1" count="1" selected="0">
            <x v="18"/>
          </reference>
          <reference field="2" count="1" selected="0">
            <x v="2"/>
          </reference>
          <reference field="3" count="1" selected="0">
            <x v="3"/>
          </reference>
          <reference field="4" count="1" selected="0">
            <x v="3"/>
          </reference>
          <reference field="16" count="1">
            <x v="0"/>
          </reference>
        </references>
      </pivotArea>
    </format>
    <format dxfId="111">
      <pivotArea dataOnly="0" labelOnly="1" outline="0" fieldPosition="0">
        <references count="6">
          <reference field="0" count="1" selected="0">
            <x v="219"/>
          </reference>
          <reference field="1" count="1" selected="0">
            <x v="39"/>
          </reference>
          <reference field="2" count="1" selected="0">
            <x v="2"/>
          </reference>
          <reference field="3" count="1" selected="0">
            <x v="7"/>
          </reference>
          <reference field="4" count="1" selected="0">
            <x v="3"/>
          </reference>
          <reference field="16" count="1">
            <x v="0"/>
          </reference>
        </references>
      </pivotArea>
    </format>
    <format dxfId="110">
      <pivotArea dataOnly="0" labelOnly="1" outline="0" fieldPosition="0">
        <references count="6">
          <reference field="0" count="1" selected="0">
            <x v="220"/>
          </reference>
          <reference field="1" count="1" selected="0">
            <x v="53"/>
          </reference>
          <reference field="2" count="1" selected="0">
            <x v="1"/>
          </reference>
          <reference field="3" count="1" selected="0">
            <x v="0"/>
          </reference>
          <reference field="4" count="1" selected="0">
            <x v="1"/>
          </reference>
          <reference field="16" count="1">
            <x v="0"/>
          </reference>
        </references>
      </pivotArea>
    </format>
    <format dxfId="109">
      <pivotArea dataOnly="0" labelOnly="1" outline="0" fieldPosition="0">
        <references count="6">
          <reference field="0" count="1" selected="0">
            <x v="221"/>
          </reference>
          <reference field="1" count="1" selected="0">
            <x v="12"/>
          </reference>
          <reference field="2" count="1" selected="0">
            <x v="4"/>
          </reference>
          <reference field="3" count="1" selected="0">
            <x v="2"/>
          </reference>
          <reference field="4" count="1" selected="0">
            <x v="1"/>
          </reference>
          <reference field="16" count="1">
            <x v="0"/>
          </reference>
        </references>
      </pivotArea>
    </format>
    <format dxfId="108">
      <pivotArea dataOnly="0" labelOnly="1" outline="0" fieldPosition="0">
        <references count="6">
          <reference field="0" count="1" selected="0">
            <x v="222"/>
          </reference>
          <reference field="1" count="1" selected="0">
            <x v="36"/>
          </reference>
          <reference field="2" count="1" selected="0">
            <x v="1"/>
          </reference>
          <reference field="3" count="1" selected="0">
            <x v="1"/>
          </reference>
          <reference field="4" count="1" selected="0">
            <x v="4"/>
          </reference>
          <reference field="16" count="1">
            <x v="1"/>
          </reference>
        </references>
      </pivotArea>
    </format>
    <format dxfId="107">
      <pivotArea dataOnly="0" labelOnly="1" outline="0" fieldPosition="0">
        <references count="6">
          <reference field="0" count="1" selected="0">
            <x v="223"/>
          </reference>
          <reference field="1" count="1" selected="0">
            <x v="15"/>
          </reference>
          <reference field="2" count="1" selected="0">
            <x v="2"/>
          </reference>
          <reference field="3" count="1" selected="0">
            <x v="7"/>
          </reference>
          <reference field="4" count="1" selected="0">
            <x v="1"/>
          </reference>
          <reference field="16" count="1">
            <x v="0"/>
          </reference>
        </references>
      </pivotArea>
    </format>
    <format dxfId="106">
      <pivotArea dataOnly="0" labelOnly="1" outline="0" fieldPosition="0">
        <references count="6">
          <reference field="0" count="1" selected="0">
            <x v="224"/>
          </reference>
          <reference field="1" count="1" selected="0">
            <x v="59"/>
          </reference>
          <reference field="2" count="1" selected="0">
            <x v="2"/>
          </reference>
          <reference field="3" count="1" selected="0">
            <x v="0"/>
          </reference>
          <reference field="4" count="1" selected="0">
            <x v="0"/>
          </reference>
          <reference field="16" count="1">
            <x v="0"/>
          </reference>
        </references>
      </pivotArea>
    </format>
    <format dxfId="105">
      <pivotArea dataOnly="0" labelOnly="1" outline="0" fieldPosition="0">
        <references count="6">
          <reference field="0" count="1" selected="0">
            <x v="225"/>
          </reference>
          <reference field="1" count="1" selected="0">
            <x v="26"/>
          </reference>
          <reference field="2" count="1" selected="0">
            <x v="5"/>
          </reference>
          <reference field="3" count="1" selected="0">
            <x v="2"/>
          </reference>
          <reference field="4" count="1" selected="0">
            <x v="2"/>
          </reference>
          <reference field="16" count="1">
            <x v="0"/>
          </reference>
        </references>
      </pivotArea>
    </format>
    <format dxfId="104">
      <pivotArea dataOnly="0" labelOnly="1" outline="0" fieldPosition="0">
        <references count="6">
          <reference field="0" count="1" selected="0">
            <x v="226"/>
          </reference>
          <reference field="1" count="1" selected="0">
            <x v="42"/>
          </reference>
          <reference field="2" count="1" selected="0">
            <x v="2"/>
          </reference>
          <reference field="3" count="1" selected="0">
            <x v="7"/>
          </reference>
          <reference field="4" count="1" selected="0">
            <x v="3"/>
          </reference>
          <reference field="16" count="1">
            <x v="1"/>
          </reference>
        </references>
      </pivotArea>
    </format>
    <format dxfId="103">
      <pivotArea dataOnly="0" labelOnly="1" outline="0" fieldPosition="0">
        <references count="6">
          <reference field="0" count="1" selected="0">
            <x v="227"/>
          </reference>
          <reference field="1" count="1" selected="0">
            <x v="52"/>
          </reference>
          <reference field="2" count="1" selected="0">
            <x v="1"/>
          </reference>
          <reference field="3" count="1" selected="0">
            <x v="4"/>
          </reference>
          <reference field="4" count="1" selected="0">
            <x v="4"/>
          </reference>
          <reference field="16" count="1">
            <x v="0"/>
          </reference>
        </references>
      </pivotArea>
    </format>
    <format dxfId="102">
      <pivotArea dataOnly="0" labelOnly="1" outline="0" fieldPosition="0">
        <references count="6">
          <reference field="0" count="1" selected="0">
            <x v="228"/>
          </reference>
          <reference field="1" count="1" selected="0">
            <x v="54"/>
          </reference>
          <reference field="2" count="1" selected="0">
            <x v="2"/>
          </reference>
          <reference field="3" count="1" selected="0">
            <x v="2"/>
          </reference>
          <reference field="4" count="1" selected="0">
            <x v="3"/>
          </reference>
          <reference field="16" count="1">
            <x v="0"/>
          </reference>
        </references>
      </pivotArea>
    </format>
    <format dxfId="101">
      <pivotArea dataOnly="0" labelOnly="1" outline="0" fieldPosition="0">
        <references count="6">
          <reference field="0" count="1" selected="0">
            <x v="229"/>
          </reference>
          <reference field="1" count="1" selected="0">
            <x v="53"/>
          </reference>
          <reference field="2" count="1" selected="0">
            <x v="1"/>
          </reference>
          <reference field="3" count="1" selected="0">
            <x v="7"/>
          </reference>
          <reference field="4" count="1" selected="0">
            <x v="0"/>
          </reference>
          <reference field="16" count="1">
            <x v="0"/>
          </reference>
        </references>
      </pivotArea>
    </format>
    <format dxfId="100">
      <pivotArea dataOnly="0" labelOnly="1" outline="0" fieldPosition="0">
        <references count="6">
          <reference field="0" count="1" selected="0">
            <x v="230"/>
          </reference>
          <reference field="1" count="1" selected="0">
            <x v="21"/>
          </reference>
          <reference field="2" count="1" selected="0">
            <x v="2"/>
          </reference>
          <reference field="3" count="1" selected="0">
            <x v="1"/>
          </reference>
          <reference field="4" count="1" selected="0">
            <x v="3"/>
          </reference>
          <reference field="16" count="1">
            <x v="0"/>
          </reference>
        </references>
      </pivotArea>
    </format>
    <format dxfId="99">
      <pivotArea dataOnly="0" labelOnly="1" outline="0" fieldPosition="0">
        <references count="6">
          <reference field="0" count="1" selected="0">
            <x v="231"/>
          </reference>
          <reference field="1" count="1" selected="0">
            <x v="52"/>
          </reference>
          <reference field="2" count="1" selected="0">
            <x v="1"/>
          </reference>
          <reference field="3" count="1" selected="0">
            <x v="1"/>
          </reference>
          <reference field="4" count="1" selected="0">
            <x v="4"/>
          </reference>
          <reference field="16" count="1">
            <x v="0"/>
          </reference>
        </references>
      </pivotArea>
    </format>
    <format dxfId="98">
      <pivotArea dataOnly="0" labelOnly="1" outline="0" fieldPosition="0">
        <references count="6">
          <reference field="0" count="1" selected="0">
            <x v="232"/>
          </reference>
          <reference field="1" count="1" selected="0">
            <x v="47"/>
          </reference>
          <reference field="2" count="1" selected="0">
            <x v="0"/>
          </reference>
          <reference field="3" count="1" selected="0">
            <x v="0"/>
          </reference>
          <reference field="4" count="1" selected="0">
            <x v="1"/>
          </reference>
          <reference field="16" count="1">
            <x v="0"/>
          </reference>
        </references>
      </pivotArea>
    </format>
    <format dxfId="97">
      <pivotArea dataOnly="0" labelOnly="1" outline="0" fieldPosition="0">
        <references count="6">
          <reference field="0" count="1" selected="0">
            <x v="233"/>
          </reference>
          <reference field="1" count="1" selected="0">
            <x v="33"/>
          </reference>
          <reference field="2" count="1" selected="0">
            <x v="4"/>
          </reference>
          <reference field="3" count="1" selected="0">
            <x v="3"/>
          </reference>
          <reference field="4" count="1" selected="0">
            <x v="0"/>
          </reference>
          <reference field="16" count="1">
            <x v="0"/>
          </reference>
        </references>
      </pivotArea>
    </format>
    <format dxfId="96">
      <pivotArea dataOnly="0" labelOnly="1" outline="0" fieldPosition="0">
        <references count="6">
          <reference field="0" count="1" selected="0">
            <x v="234"/>
          </reference>
          <reference field="1" count="1" selected="0">
            <x v="34"/>
          </reference>
          <reference field="2" count="1" selected="0">
            <x v="5"/>
          </reference>
          <reference field="3" count="1" selected="0">
            <x v="1"/>
          </reference>
          <reference field="4" count="1" selected="0">
            <x v="0"/>
          </reference>
          <reference field="16" count="1">
            <x v="0"/>
          </reference>
        </references>
      </pivotArea>
    </format>
    <format dxfId="95">
      <pivotArea dataOnly="0" labelOnly="1" outline="0" fieldPosition="0">
        <references count="6">
          <reference field="0" count="1" selected="0">
            <x v="235"/>
          </reference>
          <reference field="1" count="1" selected="0">
            <x v="38"/>
          </reference>
          <reference field="2" count="1" selected="0">
            <x v="5"/>
          </reference>
          <reference field="3" count="1" selected="0">
            <x v="2"/>
          </reference>
          <reference field="4" count="1" selected="0">
            <x v="4"/>
          </reference>
          <reference field="16" count="1">
            <x v="0"/>
          </reference>
        </references>
      </pivotArea>
    </format>
    <format dxfId="94">
      <pivotArea dataOnly="0" labelOnly="1" outline="0" fieldPosition="0">
        <references count="6">
          <reference field="0" count="1" selected="0">
            <x v="236"/>
          </reference>
          <reference field="1" count="1" selected="0">
            <x v="7"/>
          </reference>
          <reference field="2" count="1" selected="0">
            <x v="3"/>
          </reference>
          <reference field="3" count="1" selected="0">
            <x v="1"/>
          </reference>
          <reference field="4" count="1" selected="0">
            <x v="0"/>
          </reference>
          <reference field="16" count="1">
            <x v="1"/>
          </reference>
        </references>
      </pivotArea>
    </format>
    <format dxfId="93">
      <pivotArea dataOnly="0" labelOnly="1" outline="0" fieldPosition="0">
        <references count="6">
          <reference field="0" count="1" selected="0">
            <x v="237"/>
          </reference>
          <reference field="1" count="1" selected="0">
            <x v="55"/>
          </reference>
          <reference field="2" count="1" selected="0">
            <x v="1"/>
          </reference>
          <reference field="3" count="1" selected="0">
            <x v="2"/>
          </reference>
          <reference field="4" count="1" selected="0">
            <x v="4"/>
          </reference>
          <reference field="16" count="1">
            <x v="0"/>
          </reference>
        </references>
      </pivotArea>
    </format>
    <format dxfId="92">
      <pivotArea dataOnly="0" labelOnly="1" outline="0" fieldPosition="0">
        <references count="6">
          <reference field="0" count="1" selected="0">
            <x v="238"/>
          </reference>
          <reference field="1" count="1" selected="0">
            <x v="9"/>
          </reference>
          <reference field="2" count="1" selected="0">
            <x v="3"/>
          </reference>
          <reference field="3" count="1" selected="0">
            <x v="2"/>
          </reference>
          <reference field="4" count="1" selected="0">
            <x v="0"/>
          </reference>
          <reference field="16" count="1">
            <x v="0"/>
          </reference>
        </references>
      </pivotArea>
    </format>
    <format dxfId="91">
      <pivotArea dataOnly="0" labelOnly="1" outline="0" fieldPosition="0">
        <references count="6">
          <reference field="0" count="1" selected="0">
            <x v="239"/>
          </reference>
          <reference field="1" count="1" selected="0">
            <x v="3"/>
          </reference>
          <reference field="2" count="1" selected="0">
            <x v="4"/>
          </reference>
          <reference field="3" count="1" selected="0">
            <x v="1"/>
          </reference>
          <reference field="4" count="1" selected="0">
            <x v="2"/>
          </reference>
          <reference field="16" count="1">
            <x v="0"/>
          </reference>
        </references>
      </pivotArea>
    </format>
    <format dxfId="90">
      <pivotArea dataOnly="0" labelOnly="1" outline="0" fieldPosition="0">
        <references count="6">
          <reference field="0" count="1" selected="0">
            <x v="240"/>
          </reference>
          <reference field="1" count="1" selected="0">
            <x v="27"/>
          </reference>
          <reference field="2" count="1" selected="0">
            <x v="0"/>
          </reference>
          <reference field="3" count="1" selected="0">
            <x v="0"/>
          </reference>
          <reference field="4" count="1" selected="0">
            <x v="2"/>
          </reference>
          <reference field="16" count="1">
            <x v="0"/>
          </reference>
        </references>
      </pivotArea>
    </format>
    <format dxfId="89">
      <pivotArea dataOnly="0" labelOnly="1" outline="0" fieldPosition="0">
        <references count="6">
          <reference field="0" count="1" selected="0">
            <x v="241"/>
          </reference>
          <reference field="1" count="1" selected="0">
            <x v="58"/>
          </reference>
          <reference field="2" count="1" selected="0">
            <x v="1"/>
          </reference>
          <reference field="3" count="1" selected="0">
            <x v="5"/>
          </reference>
          <reference field="4" count="1" selected="0">
            <x v="0"/>
          </reference>
          <reference field="16" count="1">
            <x v="0"/>
          </reference>
        </references>
      </pivotArea>
    </format>
    <format dxfId="88">
      <pivotArea dataOnly="0" labelOnly="1" outline="0" fieldPosition="0">
        <references count="6">
          <reference field="0" count="1" selected="0">
            <x v="242"/>
          </reference>
          <reference field="1" count="1" selected="0">
            <x v="12"/>
          </reference>
          <reference field="2" count="1" selected="0">
            <x v="4"/>
          </reference>
          <reference field="3" count="1" selected="0">
            <x v="0"/>
          </reference>
          <reference field="4" count="1" selected="0">
            <x v="0"/>
          </reference>
          <reference field="16" count="1">
            <x v="0"/>
          </reference>
        </references>
      </pivotArea>
    </format>
    <format dxfId="87">
      <pivotArea dataOnly="0" labelOnly="1" outline="0" fieldPosition="0">
        <references count="6">
          <reference field="0" count="1" selected="0">
            <x v="243"/>
          </reference>
          <reference field="1" count="1" selected="0">
            <x v="19"/>
          </reference>
          <reference field="2" count="1" selected="0">
            <x v="5"/>
          </reference>
          <reference field="3" count="1" selected="0">
            <x v="3"/>
          </reference>
          <reference field="4" count="1" selected="0">
            <x v="4"/>
          </reference>
          <reference field="16" count="1">
            <x v="0"/>
          </reference>
        </references>
      </pivotArea>
    </format>
    <format dxfId="86">
      <pivotArea dataOnly="0" labelOnly="1" outline="0" fieldPosition="0">
        <references count="6">
          <reference field="0" count="1" selected="0">
            <x v="244"/>
          </reference>
          <reference field="1" count="1" selected="0">
            <x v="34"/>
          </reference>
          <reference field="2" count="1" selected="0">
            <x v="5"/>
          </reference>
          <reference field="3" count="1" selected="0">
            <x v="5"/>
          </reference>
          <reference field="4" count="1" selected="0">
            <x v="3"/>
          </reference>
          <reference field="16" count="1">
            <x v="0"/>
          </reference>
        </references>
      </pivotArea>
    </format>
    <format dxfId="85">
      <pivotArea dataOnly="0" labelOnly="1" outline="0" fieldPosition="0">
        <references count="6">
          <reference field="0" count="1" selected="0">
            <x v="245"/>
          </reference>
          <reference field="1" count="1" selected="0">
            <x v="40"/>
          </reference>
          <reference field="2" count="1" selected="0">
            <x v="2"/>
          </reference>
          <reference field="3" count="1" selected="0">
            <x v="3"/>
          </reference>
          <reference field="4" count="1" selected="0">
            <x v="2"/>
          </reference>
          <reference field="16" count="1">
            <x v="0"/>
          </reference>
        </references>
      </pivotArea>
    </format>
    <format dxfId="84">
      <pivotArea dataOnly="0" labelOnly="1" outline="0" fieldPosition="0">
        <references count="6">
          <reference field="0" count="1" selected="0">
            <x v="246"/>
          </reference>
          <reference field="1" count="1" selected="0">
            <x v="37"/>
          </reference>
          <reference field="2" count="1" selected="0">
            <x v="1"/>
          </reference>
          <reference field="3" count="1" selected="0">
            <x v="2"/>
          </reference>
          <reference field="4" count="1" selected="0">
            <x v="4"/>
          </reference>
          <reference field="16" count="1">
            <x v="1"/>
          </reference>
        </references>
      </pivotArea>
    </format>
    <format dxfId="83">
      <pivotArea dataOnly="0" labelOnly="1" outline="0" fieldPosition="0">
        <references count="6">
          <reference field="0" count="1" selected="0">
            <x v="247"/>
          </reference>
          <reference field="1" count="1" selected="0">
            <x v="40"/>
          </reference>
          <reference field="2" count="1" selected="0">
            <x v="2"/>
          </reference>
          <reference field="3" count="1" selected="0">
            <x v="3"/>
          </reference>
          <reference field="4" count="1" selected="0">
            <x v="0"/>
          </reference>
          <reference field="16" count="1">
            <x v="1"/>
          </reference>
        </references>
      </pivotArea>
    </format>
    <format dxfId="82">
      <pivotArea dataOnly="0" labelOnly="1" outline="0" fieldPosition="0">
        <references count="6">
          <reference field="0" count="1" selected="0">
            <x v="248"/>
          </reference>
          <reference field="1" count="1" selected="0">
            <x v="39"/>
          </reference>
          <reference field="2" count="1" selected="0">
            <x v="2"/>
          </reference>
          <reference field="3" count="1" selected="0">
            <x v="5"/>
          </reference>
          <reference field="4" count="1" selected="0">
            <x v="0"/>
          </reference>
          <reference field="16" count="1">
            <x v="0"/>
          </reference>
        </references>
      </pivotArea>
    </format>
    <format dxfId="81">
      <pivotArea dataOnly="0" labelOnly="1" outline="0" fieldPosition="0">
        <references count="6">
          <reference field="0" count="1" selected="0">
            <x v="249"/>
          </reference>
          <reference field="1" count="1" selected="0">
            <x v="43"/>
          </reference>
          <reference field="2" count="1" selected="0">
            <x v="0"/>
          </reference>
          <reference field="3" count="1" selected="0">
            <x v="3"/>
          </reference>
          <reference field="4" count="1" selected="0">
            <x v="3"/>
          </reference>
          <reference field="16" count="1">
            <x v="1"/>
          </reference>
        </references>
      </pivotArea>
    </format>
    <format dxfId="80">
      <pivotArea dataOnly="0" labelOnly="1" outline="0" fieldPosition="0">
        <references count="6">
          <reference field="0" count="1" selected="0">
            <x v="250"/>
          </reference>
          <reference field="1" count="1" selected="0">
            <x v="39"/>
          </reference>
          <reference field="2" count="1" selected="0">
            <x v="2"/>
          </reference>
          <reference field="3" count="1" selected="0">
            <x v="1"/>
          </reference>
          <reference field="4" count="1" selected="0">
            <x v="1"/>
          </reference>
          <reference field="16" count="1">
            <x v="0"/>
          </reference>
        </references>
      </pivotArea>
    </format>
    <format dxfId="79">
      <pivotArea dataOnly="0" labelOnly="1" outline="0" fieldPosition="0">
        <references count="6">
          <reference field="0" count="1" selected="0">
            <x v="251"/>
          </reference>
          <reference field="1" count="1" selected="0">
            <x v="35"/>
          </reference>
          <reference field="2" count="1" selected="0">
            <x v="4"/>
          </reference>
          <reference field="3" count="1" selected="0">
            <x v="7"/>
          </reference>
          <reference field="4" count="1" selected="0">
            <x v="0"/>
          </reference>
          <reference field="16" count="1">
            <x v="1"/>
          </reference>
        </references>
      </pivotArea>
    </format>
    <format dxfId="78">
      <pivotArea dataOnly="0" labelOnly="1" outline="0" fieldPosition="0">
        <references count="6">
          <reference field="0" count="1" selected="0">
            <x v="252"/>
          </reference>
          <reference field="1" count="1" selected="0">
            <x v="12"/>
          </reference>
          <reference field="2" count="1" selected="0">
            <x v="4"/>
          </reference>
          <reference field="3" count="1" selected="0">
            <x v="1"/>
          </reference>
          <reference field="4" count="1" selected="0">
            <x v="4"/>
          </reference>
          <reference field="16" count="1">
            <x v="0"/>
          </reference>
        </references>
      </pivotArea>
    </format>
    <format dxfId="77">
      <pivotArea dataOnly="0" labelOnly="1" outline="0" fieldPosition="0">
        <references count="6">
          <reference field="0" count="1" selected="0">
            <x v="253"/>
          </reference>
          <reference field="1" count="1" selected="0">
            <x v="28"/>
          </reference>
          <reference field="2" count="1" selected="0">
            <x v="3"/>
          </reference>
          <reference field="3" count="1" selected="0">
            <x v="6"/>
          </reference>
          <reference field="4" count="1" selected="0">
            <x v="1"/>
          </reference>
          <reference field="16" count="1">
            <x v="0"/>
          </reference>
        </references>
      </pivotArea>
    </format>
    <format dxfId="76">
      <pivotArea dataOnly="0" labelOnly="1" outline="0" fieldPosition="0">
        <references count="6">
          <reference field="0" count="1" selected="0">
            <x v="254"/>
          </reference>
          <reference field="1" count="1" selected="0">
            <x v="48"/>
          </reference>
          <reference field="2" count="1" selected="0">
            <x v="5"/>
          </reference>
          <reference field="3" count="1" selected="0">
            <x v="7"/>
          </reference>
          <reference field="4" count="1" selected="0">
            <x v="4"/>
          </reference>
          <reference field="16" count="1">
            <x v="0"/>
          </reference>
        </references>
      </pivotArea>
    </format>
    <format dxfId="75">
      <pivotArea dataOnly="0" labelOnly="1" outline="0" fieldPosition="0">
        <references count="6">
          <reference field="0" count="1" selected="0">
            <x v="255"/>
          </reference>
          <reference field="1" count="1" selected="0">
            <x v="20"/>
          </reference>
          <reference field="2" count="1" selected="0">
            <x v="4"/>
          </reference>
          <reference field="3" count="1" selected="0">
            <x v="3"/>
          </reference>
          <reference field="4" count="1" selected="0">
            <x v="3"/>
          </reference>
          <reference field="16" count="1">
            <x v="0"/>
          </reference>
        </references>
      </pivotArea>
    </format>
    <format dxfId="74">
      <pivotArea dataOnly="0" labelOnly="1" outline="0" fieldPosition="0">
        <references count="6">
          <reference field="0" count="1" selected="0">
            <x v="256"/>
          </reference>
          <reference field="1" count="1" selected="0">
            <x v="24"/>
          </reference>
          <reference field="2" count="1" selected="0">
            <x v="0"/>
          </reference>
          <reference field="3" count="1" selected="0">
            <x v="1"/>
          </reference>
          <reference field="4" count="1" selected="0">
            <x v="1"/>
          </reference>
          <reference field="16" count="1">
            <x v="0"/>
          </reference>
        </references>
      </pivotArea>
    </format>
    <format dxfId="73">
      <pivotArea dataOnly="0" labelOnly="1" outline="0" fieldPosition="0">
        <references count="6">
          <reference field="0" count="1" selected="0">
            <x v="257"/>
          </reference>
          <reference field="1" count="1" selected="0">
            <x v="8"/>
          </reference>
          <reference field="2" count="1" selected="0">
            <x v="5"/>
          </reference>
          <reference field="3" count="1" selected="0">
            <x v="0"/>
          </reference>
          <reference field="4" count="1" selected="0">
            <x v="0"/>
          </reference>
          <reference field="16" count="1">
            <x v="0"/>
          </reference>
        </references>
      </pivotArea>
    </format>
    <format dxfId="72">
      <pivotArea dataOnly="0" labelOnly="1" outline="0" fieldPosition="0">
        <references count="6">
          <reference field="0" count="1" selected="0">
            <x v="258"/>
          </reference>
          <reference field="1" count="1" selected="0">
            <x v="52"/>
          </reference>
          <reference field="2" count="1" selected="0">
            <x v="1"/>
          </reference>
          <reference field="3" count="1" selected="0">
            <x v="0"/>
          </reference>
          <reference field="4" count="1" selected="0">
            <x v="1"/>
          </reference>
          <reference field="16" count="1">
            <x v="0"/>
          </reference>
        </references>
      </pivotArea>
    </format>
    <format dxfId="71">
      <pivotArea dataOnly="0" labelOnly="1" outline="0" fieldPosition="0">
        <references count="6">
          <reference field="0" count="1" selected="0">
            <x v="259"/>
          </reference>
          <reference field="1" count="1" selected="0">
            <x v="54"/>
          </reference>
          <reference field="2" count="1" selected="0">
            <x v="2"/>
          </reference>
          <reference field="3" count="1" selected="0">
            <x v="1"/>
          </reference>
          <reference field="4" count="1" selected="0">
            <x v="4"/>
          </reference>
          <reference field="16" count="1">
            <x v="1"/>
          </reference>
        </references>
      </pivotArea>
    </format>
    <format dxfId="70">
      <pivotArea dataOnly="0" labelOnly="1" outline="0" fieldPosition="0">
        <references count="6">
          <reference field="0" count="1" selected="0">
            <x v="260"/>
          </reference>
          <reference field="1" count="1" selected="0">
            <x v="8"/>
          </reference>
          <reference field="2" count="1" selected="0">
            <x v="5"/>
          </reference>
          <reference field="3" count="1" selected="0">
            <x v="7"/>
          </reference>
          <reference field="4" count="1" selected="0">
            <x v="3"/>
          </reference>
          <reference field="16" count="1">
            <x v="0"/>
          </reference>
        </references>
      </pivotArea>
    </format>
    <format dxfId="69">
      <pivotArea dataOnly="0" labelOnly="1" outline="0" fieldPosition="0">
        <references count="6">
          <reference field="0" count="1" selected="0">
            <x v="261"/>
          </reference>
          <reference field="1" count="1" selected="0">
            <x v="11"/>
          </reference>
          <reference field="2" count="1" selected="0">
            <x v="4"/>
          </reference>
          <reference field="3" count="1" selected="0">
            <x v="4"/>
          </reference>
          <reference field="4" count="1" selected="0">
            <x v="0"/>
          </reference>
          <reference field="16" count="1">
            <x v="0"/>
          </reference>
        </references>
      </pivotArea>
    </format>
    <format dxfId="68">
      <pivotArea dataOnly="0" labelOnly="1" outline="0" fieldPosition="0">
        <references count="6">
          <reference field="0" count="1" selected="0">
            <x v="262"/>
          </reference>
          <reference field="1" count="1" selected="0">
            <x v="51"/>
          </reference>
          <reference field="2" count="1" selected="0">
            <x v="0"/>
          </reference>
          <reference field="3" count="1" selected="0">
            <x v="7"/>
          </reference>
          <reference field="4" count="1" selected="0">
            <x v="3"/>
          </reference>
          <reference field="16" count="1">
            <x v="1"/>
          </reference>
        </references>
      </pivotArea>
    </format>
    <format dxfId="67">
      <pivotArea dataOnly="0" labelOnly="1" outline="0" fieldPosition="0">
        <references count="6">
          <reference field="0" count="1" selected="0">
            <x v="263"/>
          </reference>
          <reference field="1" count="1" selected="0">
            <x v="50"/>
          </reference>
          <reference field="2" count="1" selected="0">
            <x v="3"/>
          </reference>
          <reference field="3" count="1" selected="0">
            <x v="6"/>
          </reference>
          <reference field="4" count="1" selected="0">
            <x v="1"/>
          </reference>
          <reference field="16" count="1">
            <x v="1"/>
          </reference>
        </references>
      </pivotArea>
    </format>
    <format dxfId="66">
      <pivotArea dataOnly="0" labelOnly="1" outline="0" fieldPosition="0">
        <references count="6">
          <reference field="0" count="1" selected="0">
            <x v="264"/>
          </reference>
          <reference field="1" count="1" selected="0">
            <x v="36"/>
          </reference>
          <reference field="2" count="1" selected="0">
            <x v="1"/>
          </reference>
          <reference field="3" count="1" selected="0">
            <x v="6"/>
          </reference>
          <reference field="4" count="1" selected="0">
            <x v="1"/>
          </reference>
          <reference field="16" count="1">
            <x v="0"/>
          </reference>
        </references>
      </pivotArea>
    </format>
    <format dxfId="65">
      <pivotArea dataOnly="0" labelOnly="1" outline="0" fieldPosition="0">
        <references count="6">
          <reference field="0" count="1" selected="0">
            <x v="265"/>
          </reference>
          <reference field="1" count="1" selected="0">
            <x v="18"/>
          </reference>
          <reference field="2" count="1" selected="0">
            <x v="2"/>
          </reference>
          <reference field="3" count="1" selected="0">
            <x v="7"/>
          </reference>
          <reference field="4" count="1" selected="0">
            <x v="3"/>
          </reference>
          <reference field="16" count="1">
            <x v="0"/>
          </reference>
        </references>
      </pivotArea>
    </format>
    <format dxfId="64">
      <pivotArea dataOnly="0" labelOnly="1" outline="0" fieldPosition="0">
        <references count="6">
          <reference field="0" count="1" selected="0">
            <x v="266"/>
          </reference>
          <reference field="1" count="1" selected="0">
            <x v="49"/>
          </reference>
          <reference field="2" count="1" selected="0">
            <x v="3"/>
          </reference>
          <reference field="3" count="1" selected="0">
            <x v="5"/>
          </reference>
          <reference field="4" count="1" selected="0">
            <x v="3"/>
          </reference>
          <reference field="16" count="1">
            <x v="0"/>
          </reference>
        </references>
      </pivotArea>
    </format>
    <format dxfId="63">
      <pivotArea dataOnly="0" labelOnly="1" outline="0" fieldPosition="0">
        <references count="6">
          <reference field="0" count="1" selected="0">
            <x v="267"/>
          </reference>
          <reference field="1" count="1" selected="0">
            <x v="32"/>
          </reference>
          <reference field="2" count="1" selected="0">
            <x v="1"/>
          </reference>
          <reference field="3" count="1" selected="0">
            <x v="7"/>
          </reference>
          <reference field="4" count="1" selected="0">
            <x v="2"/>
          </reference>
          <reference field="16" count="1">
            <x v="0"/>
          </reference>
        </references>
      </pivotArea>
    </format>
    <format dxfId="62">
      <pivotArea dataOnly="0" labelOnly="1" outline="0" fieldPosition="0">
        <references count="6">
          <reference field="0" count="1" selected="0">
            <x v="268"/>
          </reference>
          <reference field="1" count="1" selected="0">
            <x v="18"/>
          </reference>
          <reference field="2" count="1" selected="0">
            <x v="2"/>
          </reference>
          <reference field="3" count="1" selected="0">
            <x v="2"/>
          </reference>
          <reference field="4" count="1" selected="0">
            <x v="3"/>
          </reference>
          <reference field="16" count="1">
            <x v="0"/>
          </reference>
        </references>
      </pivotArea>
    </format>
    <format dxfId="61">
      <pivotArea dataOnly="0" labelOnly="1" outline="0" fieldPosition="0">
        <references count="6">
          <reference field="0" count="1" selected="0">
            <x v="269"/>
          </reference>
          <reference field="1" count="1" selected="0">
            <x v="26"/>
          </reference>
          <reference field="2" count="1" selected="0">
            <x v="5"/>
          </reference>
          <reference field="3" count="1" selected="0">
            <x v="2"/>
          </reference>
          <reference field="4" count="1" selected="0">
            <x v="0"/>
          </reference>
          <reference field="16" count="1">
            <x v="0"/>
          </reference>
        </references>
      </pivotArea>
    </format>
    <format dxfId="60">
      <pivotArea dataOnly="0" labelOnly="1" outline="0" fieldPosition="0">
        <references count="6">
          <reference field="0" count="1" selected="0">
            <x v="270"/>
          </reference>
          <reference field="1" count="1" selected="0">
            <x v="5"/>
          </reference>
          <reference field="2" count="1" selected="0">
            <x v="0"/>
          </reference>
          <reference field="3" count="1" selected="0">
            <x v="2"/>
          </reference>
          <reference field="4" count="1" selected="0">
            <x v="2"/>
          </reference>
          <reference field="16" count="1">
            <x v="0"/>
          </reference>
        </references>
      </pivotArea>
    </format>
    <format dxfId="59">
      <pivotArea dataOnly="0" labelOnly="1" outline="0" fieldPosition="0">
        <references count="6">
          <reference field="0" count="1" selected="0">
            <x v="271"/>
          </reference>
          <reference field="1" count="1" selected="0">
            <x v="30"/>
          </reference>
          <reference field="2" count="1" selected="0">
            <x v="1"/>
          </reference>
          <reference field="3" count="1" selected="0">
            <x v="4"/>
          </reference>
          <reference field="4" count="1" selected="0">
            <x v="2"/>
          </reference>
          <reference field="16" count="1">
            <x v="1"/>
          </reference>
        </references>
      </pivotArea>
    </format>
    <format dxfId="58">
      <pivotArea dataOnly="0" labelOnly="1" outline="0" fieldPosition="0">
        <references count="6">
          <reference field="0" count="1" selected="0">
            <x v="272"/>
          </reference>
          <reference field="1" count="1" selected="0">
            <x v="40"/>
          </reference>
          <reference field="2" count="1" selected="0">
            <x v="2"/>
          </reference>
          <reference field="3" count="1" selected="0">
            <x v="4"/>
          </reference>
          <reference field="4" count="1" selected="0">
            <x v="3"/>
          </reference>
          <reference field="16" count="1">
            <x v="1"/>
          </reference>
        </references>
      </pivotArea>
    </format>
    <format dxfId="57">
      <pivotArea dataOnly="0" labelOnly="1" outline="0" fieldPosition="0">
        <references count="6">
          <reference field="0" count="1" selected="0">
            <x v="273"/>
          </reference>
          <reference field="1" count="1" selected="0">
            <x v="54"/>
          </reference>
          <reference field="2" count="1" selected="0">
            <x v="2"/>
          </reference>
          <reference field="3" count="1" selected="0">
            <x v="1"/>
          </reference>
          <reference field="4" count="1" selected="0">
            <x v="4"/>
          </reference>
          <reference field="16" count="1">
            <x v="0"/>
          </reference>
        </references>
      </pivotArea>
    </format>
    <format dxfId="56">
      <pivotArea dataOnly="0" labelOnly="1" outline="0" fieldPosition="0">
        <references count="6">
          <reference field="0" count="1" selected="0">
            <x v="274"/>
          </reference>
          <reference field="1" count="1" selected="0">
            <x v="32"/>
          </reference>
          <reference field="2" count="1" selected="0">
            <x v="1"/>
          </reference>
          <reference field="3" count="1" selected="0">
            <x v="2"/>
          </reference>
          <reference field="4" count="1" selected="0">
            <x v="1"/>
          </reference>
          <reference field="16" count="1">
            <x v="0"/>
          </reference>
        </references>
      </pivotArea>
    </format>
    <format dxfId="55">
      <pivotArea dataOnly="0" labelOnly="1" outline="0" fieldPosition="0">
        <references count="6">
          <reference field="0" count="1" selected="0">
            <x v="275"/>
          </reference>
          <reference field="1" count="1" selected="0">
            <x v="47"/>
          </reference>
          <reference field="2" count="1" selected="0">
            <x v="0"/>
          </reference>
          <reference field="3" count="1" selected="0">
            <x v="2"/>
          </reference>
          <reference field="4" count="1" selected="0">
            <x v="3"/>
          </reference>
          <reference field="16" count="1">
            <x v="0"/>
          </reference>
        </references>
      </pivotArea>
    </format>
    <format dxfId="54">
      <pivotArea dataOnly="0" labelOnly="1" outline="0" fieldPosition="0">
        <references count="6">
          <reference field="0" count="1" selected="0">
            <x v="276"/>
          </reference>
          <reference field="1" count="1" selected="0">
            <x v="58"/>
          </reference>
          <reference field="2" count="1" selected="0">
            <x v="1"/>
          </reference>
          <reference field="3" count="1" selected="0">
            <x v="0"/>
          </reference>
          <reference field="4" count="1" selected="0">
            <x v="3"/>
          </reference>
          <reference field="16" count="1">
            <x v="0"/>
          </reference>
        </references>
      </pivotArea>
    </format>
    <format dxfId="53">
      <pivotArea dataOnly="0" labelOnly="1" outline="0" fieldPosition="0">
        <references count="6">
          <reference field="0" count="1" selected="0">
            <x v="277"/>
          </reference>
          <reference field="1" count="1" selected="0">
            <x v="9"/>
          </reference>
          <reference field="2" count="1" selected="0">
            <x v="3"/>
          </reference>
          <reference field="3" count="1" selected="0">
            <x v="5"/>
          </reference>
          <reference field="4" count="1" selected="0">
            <x v="3"/>
          </reference>
          <reference field="16" count="1">
            <x v="0"/>
          </reference>
        </references>
      </pivotArea>
    </format>
    <format dxfId="52">
      <pivotArea dataOnly="0" labelOnly="1" outline="0" fieldPosition="0">
        <references count="6">
          <reference field="0" count="1" selected="0">
            <x v="278"/>
          </reference>
          <reference field="1" count="1" selected="0">
            <x v="12"/>
          </reference>
          <reference field="2" count="1" selected="0">
            <x v="4"/>
          </reference>
          <reference field="3" count="1" selected="0">
            <x v="3"/>
          </reference>
          <reference field="4" count="1" selected="0">
            <x v="3"/>
          </reference>
          <reference field="16" count="1">
            <x v="0"/>
          </reference>
        </references>
      </pivotArea>
    </format>
    <format dxfId="51">
      <pivotArea dataOnly="0" labelOnly="1" outline="0" fieldPosition="0">
        <references count="6">
          <reference field="0" count="1" selected="0">
            <x v="279"/>
          </reference>
          <reference field="1" count="1" selected="0">
            <x v="28"/>
          </reference>
          <reference field="2" count="1" selected="0">
            <x v="3"/>
          </reference>
          <reference field="3" count="1" selected="0">
            <x v="7"/>
          </reference>
          <reference field="4" count="1" selected="0">
            <x v="3"/>
          </reference>
          <reference field="16" count="1">
            <x v="1"/>
          </reference>
        </references>
      </pivotArea>
    </format>
    <format dxfId="50">
      <pivotArea dataOnly="0" labelOnly="1" outline="0" fieldPosition="0">
        <references count="6">
          <reference field="0" count="1" selected="0">
            <x v="280"/>
          </reference>
          <reference field="1" count="1" selected="0">
            <x v="39"/>
          </reference>
          <reference field="2" count="1" selected="0">
            <x v="2"/>
          </reference>
          <reference field="3" count="1" selected="0">
            <x v="2"/>
          </reference>
          <reference field="4" count="1" selected="0">
            <x v="0"/>
          </reference>
          <reference field="16" count="1">
            <x v="0"/>
          </reference>
        </references>
      </pivotArea>
    </format>
    <format dxfId="49">
      <pivotArea dataOnly="0" labelOnly="1" outline="0" fieldPosition="0">
        <references count="6">
          <reference field="0" count="1" selected="0">
            <x v="281"/>
          </reference>
          <reference field="1" count="1" selected="0">
            <x v="51"/>
          </reference>
          <reference field="2" count="1" selected="0">
            <x v="0"/>
          </reference>
          <reference field="3" count="1" selected="0">
            <x v="0"/>
          </reference>
          <reference field="4" count="1" selected="0">
            <x v="1"/>
          </reference>
          <reference field="16" count="1">
            <x v="1"/>
          </reference>
        </references>
      </pivotArea>
    </format>
    <format dxfId="48">
      <pivotArea dataOnly="0" labelOnly="1" outline="0" fieldPosition="0">
        <references count="6">
          <reference field="0" count="1" selected="0">
            <x v="282"/>
          </reference>
          <reference field="1" count="1" selected="0">
            <x v="1"/>
          </reference>
          <reference field="2" count="1" selected="0">
            <x v="5"/>
          </reference>
          <reference field="3" count="1" selected="0">
            <x v="4"/>
          </reference>
          <reference field="4" count="1" selected="0">
            <x v="3"/>
          </reference>
          <reference field="16" count="1">
            <x v="0"/>
          </reference>
        </references>
      </pivotArea>
    </format>
    <format dxfId="47">
      <pivotArea dataOnly="0" labelOnly="1" outline="0" fieldPosition="0">
        <references count="6">
          <reference field="0" count="1" selected="0">
            <x v="283"/>
          </reference>
          <reference field="1" count="1" selected="0">
            <x v="18"/>
          </reference>
          <reference field="2" count="1" selected="0">
            <x v="2"/>
          </reference>
          <reference field="3" count="1" selected="0">
            <x v="2"/>
          </reference>
          <reference field="4" count="1" selected="0">
            <x v="2"/>
          </reference>
          <reference field="16" count="1">
            <x v="1"/>
          </reference>
        </references>
      </pivotArea>
    </format>
    <format dxfId="46">
      <pivotArea dataOnly="0" labelOnly="1" outline="0" fieldPosition="0">
        <references count="6">
          <reference field="0" count="1" selected="0">
            <x v="284"/>
          </reference>
          <reference field="1" count="1" selected="0">
            <x v="34"/>
          </reference>
          <reference field="2" count="1" selected="0">
            <x v="5"/>
          </reference>
          <reference field="3" count="1" selected="0">
            <x v="1"/>
          </reference>
          <reference field="4" count="1" selected="0">
            <x v="0"/>
          </reference>
          <reference field="16" count="1">
            <x v="0"/>
          </reference>
        </references>
      </pivotArea>
    </format>
    <format dxfId="45">
      <pivotArea dataOnly="0" labelOnly="1" outline="0" fieldPosition="0">
        <references count="6">
          <reference field="0" count="1" selected="0">
            <x v="285"/>
          </reference>
          <reference field="1" count="1" selected="0">
            <x v="58"/>
          </reference>
          <reference field="2" count="1" selected="0">
            <x v="1"/>
          </reference>
          <reference field="3" count="1" selected="0">
            <x v="2"/>
          </reference>
          <reference field="4" count="1" selected="0">
            <x v="2"/>
          </reference>
          <reference field="16" count="1">
            <x v="0"/>
          </reference>
        </references>
      </pivotArea>
    </format>
    <format dxfId="44">
      <pivotArea dataOnly="0" labelOnly="1" outline="0" fieldPosition="0">
        <references count="6">
          <reference field="0" count="1" selected="0">
            <x v="286"/>
          </reference>
          <reference field="1" count="1" selected="0">
            <x v="47"/>
          </reference>
          <reference field="2" count="1" selected="0">
            <x v="0"/>
          </reference>
          <reference field="3" count="1" selected="0">
            <x v="5"/>
          </reference>
          <reference field="4" count="1" selected="0">
            <x v="2"/>
          </reference>
          <reference field="16" count="1">
            <x v="0"/>
          </reference>
        </references>
      </pivotArea>
    </format>
    <format dxfId="43">
      <pivotArea dataOnly="0" labelOnly="1" outline="0" fieldPosition="0">
        <references count="6">
          <reference field="0" count="1" selected="0">
            <x v="287"/>
          </reference>
          <reference field="1" count="1" selected="0">
            <x v="27"/>
          </reference>
          <reference field="2" count="1" selected="0">
            <x v="0"/>
          </reference>
          <reference field="3" count="1" selected="0">
            <x v="3"/>
          </reference>
          <reference field="4" count="1" selected="0">
            <x v="4"/>
          </reference>
          <reference field="16" count="1">
            <x v="1"/>
          </reference>
        </references>
      </pivotArea>
    </format>
    <format dxfId="42">
      <pivotArea dataOnly="0" labelOnly="1" outline="0" fieldPosition="0">
        <references count="6">
          <reference field="0" count="1" selected="0">
            <x v="288"/>
          </reference>
          <reference field="1" count="1" selected="0">
            <x v="46"/>
          </reference>
          <reference field="2" count="1" selected="0">
            <x v="3"/>
          </reference>
          <reference field="3" count="1" selected="0">
            <x v="4"/>
          </reference>
          <reference field="4" count="1" selected="0">
            <x v="0"/>
          </reference>
          <reference field="16" count="1">
            <x v="0"/>
          </reference>
        </references>
      </pivotArea>
    </format>
    <format dxfId="41">
      <pivotArea dataOnly="0" labelOnly="1" outline="0" fieldPosition="0">
        <references count="6">
          <reference field="0" count="1" selected="0">
            <x v="289"/>
          </reference>
          <reference field="1" count="1" selected="0">
            <x v="53"/>
          </reference>
          <reference field="2" count="1" selected="0">
            <x v="1"/>
          </reference>
          <reference field="3" count="1" selected="0">
            <x v="0"/>
          </reference>
          <reference field="4" count="1" selected="0">
            <x v="0"/>
          </reference>
          <reference field="16" count="1">
            <x v="0"/>
          </reference>
        </references>
      </pivotArea>
    </format>
    <format dxfId="40">
      <pivotArea dataOnly="0" labelOnly="1" outline="0" fieldPosition="0">
        <references count="6">
          <reference field="0" count="1" selected="0">
            <x v="290"/>
          </reference>
          <reference field="1" count="1" selected="0">
            <x v="41"/>
          </reference>
          <reference field="2" count="1" selected="0">
            <x v="0"/>
          </reference>
          <reference field="3" count="1" selected="0">
            <x v="3"/>
          </reference>
          <reference field="4" count="1" selected="0">
            <x v="4"/>
          </reference>
          <reference field="16" count="1">
            <x v="0"/>
          </reference>
        </references>
      </pivotArea>
    </format>
    <format dxfId="39">
      <pivotArea dataOnly="0" labelOnly="1" outline="0" fieldPosition="0">
        <references count="6">
          <reference field="0" count="1" selected="0">
            <x v="291"/>
          </reference>
          <reference field="1" count="1" selected="0">
            <x v="3"/>
          </reference>
          <reference field="2" count="1" selected="0">
            <x v="4"/>
          </reference>
          <reference field="3" count="1" selected="0">
            <x v="2"/>
          </reference>
          <reference field="4" count="1" selected="0">
            <x v="3"/>
          </reference>
          <reference field="16" count="1">
            <x v="0"/>
          </reference>
        </references>
      </pivotArea>
    </format>
    <format dxfId="38">
      <pivotArea dataOnly="0" labelOnly="1" outline="0" fieldPosition="0">
        <references count="6">
          <reference field="0" count="1" selected="0">
            <x v="292"/>
          </reference>
          <reference field="1" count="1" selected="0">
            <x v="56"/>
          </reference>
          <reference field="2" count="1" selected="0">
            <x v="4"/>
          </reference>
          <reference field="3" count="1" selected="0">
            <x v="5"/>
          </reference>
          <reference field="4" count="1" selected="0">
            <x v="2"/>
          </reference>
          <reference field="16" count="1">
            <x v="1"/>
          </reference>
        </references>
      </pivotArea>
    </format>
    <format dxfId="37">
      <pivotArea dataOnly="0" labelOnly="1" outline="0" fieldPosition="0">
        <references count="6">
          <reference field="0" count="1" selected="0">
            <x v="293"/>
          </reference>
          <reference field="1" count="1" selected="0">
            <x v="25"/>
          </reference>
          <reference field="2" count="1" selected="0">
            <x v="1"/>
          </reference>
          <reference field="3" count="1" selected="0">
            <x v="5"/>
          </reference>
          <reference field="4" count="1" selected="0">
            <x v="3"/>
          </reference>
          <reference field="16" count="1">
            <x v="1"/>
          </reference>
        </references>
      </pivotArea>
    </format>
    <format dxfId="36">
      <pivotArea dataOnly="0" labelOnly="1" outline="0" fieldPosition="0">
        <references count="6">
          <reference field="0" count="1" selected="0">
            <x v="294"/>
          </reference>
          <reference field="1" count="1" selected="0">
            <x v="14"/>
          </reference>
          <reference field="2" count="1" selected="0">
            <x v="4"/>
          </reference>
          <reference field="3" count="1" selected="0">
            <x v="0"/>
          </reference>
          <reference field="4" count="1" selected="0">
            <x v="0"/>
          </reference>
          <reference field="16" count="1">
            <x v="1"/>
          </reference>
        </references>
      </pivotArea>
    </format>
    <format dxfId="35">
      <pivotArea dataOnly="0" labelOnly="1" outline="0" fieldPosition="0">
        <references count="6">
          <reference field="0" count="1" selected="0">
            <x v="295"/>
          </reference>
          <reference field="1" count="1" selected="0">
            <x v="5"/>
          </reference>
          <reference field="2" count="1" selected="0">
            <x v="0"/>
          </reference>
          <reference field="3" count="1" selected="0">
            <x v="4"/>
          </reference>
          <reference field="4" count="1" selected="0">
            <x v="4"/>
          </reference>
          <reference field="16" count="1">
            <x v="1"/>
          </reference>
        </references>
      </pivotArea>
    </format>
    <format dxfId="34">
      <pivotArea dataOnly="0" labelOnly="1" outline="0" fieldPosition="0">
        <references count="6">
          <reference field="0" count="1" selected="0">
            <x v="296"/>
          </reference>
          <reference field="1" count="1" selected="0">
            <x v="28"/>
          </reference>
          <reference field="2" count="1" selected="0">
            <x v="3"/>
          </reference>
          <reference field="3" count="1" selected="0">
            <x v="7"/>
          </reference>
          <reference field="4" count="1" selected="0">
            <x v="4"/>
          </reference>
          <reference field="16" count="1">
            <x v="0"/>
          </reference>
        </references>
      </pivotArea>
    </format>
    <format dxfId="33">
      <pivotArea dataOnly="0" labelOnly="1" outline="0" fieldPosition="0">
        <references count="6">
          <reference field="0" count="1" selected="0">
            <x v="297"/>
          </reference>
          <reference field="1" count="1" selected="0">
            <x v="20"/>
          </reference>
          <reference field="2" count="1" selected="0">
            <x v="4"/>
          </reference>
          <reference field="3" count="1" selected="0">
            <x v="0"/>
          </reference>
          <reference field="4" count="1" selected="0">
            <x v="3"/>
          </reference>
          <reference field="16" count="1">
            <x v="1"/>
          </reference>
        </references>
      </pivotArea>
    </format>
    <format dxfId="32">
      <pivotArea dataOnly="0" labelOnly="1" outline="0" fieldPosition="0">
        <references count="6">
          <reference field="0" count="1" selected="0">
            <x v="298"/>
          </reference>
          <reference field="1" count="1" selected="0">
            <x v="42"/>
          </reference>
          <reference field="2" count="1" selected="0">
            <x v="2"/>
          </reference>
          <reference field="3" count="1" selected="0">
            <x v="2"/>
          </reference>
          <reference field="4" count="1" selected="0">
            <x v="1"/>
          </reference>
          <reference field="16" count="1">
            <x v="0"/>
          </reference>
        </references>
      </pivotArea>
    </format>
    <format dxfId="31">
      <pivotArea dataOnly="0" labelOnly="1" outline="0" fieldPosition="0">
        <references count="6">
          <reference field="0" count="1" selected="0">
            <x v="299"/>
          </reference>
          <reference field="1" count="1" selected="0">
            <x v="39"/>
          </reference>
          <reference field="2" count="1" selected="0">
            <x v="2"/>
          </reference>
          <reference field="3" count="1" selected="0">
            <x v="3"/>
          </reference>
          <reference field="4" count="1" selected="0">
            <x v="1"/>
          </reference>
          <reference field="16" count="1">
            <x v="0"/>
          </reference>
        </references>
      </pivotArea>
    </format>
    <format dxfId="30">
      <pivotArea dataOnly="0" labelOnly="1" outline="0" fieldPosition="0">
        <references count="1">
          <reference field="4294967294" count="4">
            <x v="0"/>
            <x v="1"/>
            <x v="2"/>
            <x v="3"/>
          </reference>
        </references>
      </pivotArea>
    </format>
  </formats>
  <conditionalFormats count="4">
    <conditionalFormat scope="data" priority="1">
      <pivotAreas count="1">
        <pivotArea outline="0" fieldPosition="0">
          <references count="1">
            <reference field="4294967294" count="1" selected="0">
              <x v="3"/>
            </reference>
          </references>
        </pivotArea>
      </pivotAreas>
    </conditionalFormat>
    <conditionalFormat scope="data" priority="2">
      <pivotAreas count="1">
        <pivotArea outline="0" fieldPosition="0">
          <references count="1">
            <reference field="4294967294" count="1" selected="0">
              <x v="2"/>
            </reference>
          </references>
        </pivotArea>
      </pivotAreas>
    </conditionalFormat>
    <conditionalFormat scope="data" priority="3">
      <pivotAreas count="1">
        <pivotArea outline="0" fieldPosition="0">
          <references count="1">
            <reference field="4294967294" count="1" selected="0">
              <x v="1"/>
            </reference>
          </references>
        </pivotArea>
      </pivotAreas>
    </conditionalFormat>
    <conditionalFormat scope="data" priority="4">
      <pivotAreas count="1">
        <pivotArea outline="0" fieldPosition="0">
          <references count="1">
            <reference field="4294967294" count="1" selected="0">
              <x v="0"/>
            </reference>
          </references>
        </pivotArea>
      </pivotAreas>
    </conditionalFormat>
  </conditional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67040B3-F400-4AD9-A38C-3BB7DF044856}" sourceName="Category">
  <pivotTables>
    <pivotTable tabId="5" name="PivotTable14"/>
    <pivotTable tabId="3" name="PivotTable1"/>
    <pivotTable tabId="3" name="PivotTable15"/>
    <pivotTable tabId="3" name="PivotTable16"/>
    <pivotTable tabId="3" name="PivotTable2"/>
    <pivotTable tabId="3" name="PivotTable3"/>
    <pivotTable tabId="3" name="PivotTable4"/>
    <pivotTable tabId="3" name="PivotTable5"/>
    <pivotTable tabId="4" name="PivotTable10"/>
    <pivotTable tabId="4" name="PivotTable11"/>
    <pivotTable tabId="4" name="PivotTable12"/>
    <pivotTable tabId="4" name="PivotTable13"/>
    <pivotTable tabId="4" name="PivotTable8"/>
    <pivotTable tabId="4" name="PivotTable9"/>
  </pivotTables>
  <data>
    <tabular pivotCacheId="1738055492">
      <items count="6">
        <i x="0" s="1"/>
        <i x="1" s="1"/>
        <i x="4" s="1"/>
        <i x="5"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lier" xr10:uid="{ED5412EC-658A-4C2F-823E-DB4EC9F469B2}" sourceName="Supplier">
  <pivotTables>
    <pivotTable tabId="5" name="PivotTable14"/>
    <pivotTable tabId="3" name="PivotTable1"/>
    <pivotTable tabId="3" name="PivotTable15"/>
    <pivotTable tabId="3" name="PivotTable16"/>
    <pivotTable tabId="3" name="PivotTable2"/>
    <pivotTable tabId="3" name="PivotTable3"/>
    <pivotTable tabId="3" name="PivotTable4"/>
    <pivotTable tabId="3" name="PivotTable5"/>
    <pivotTable tabId="4" name="PivotTable10"/>
    <pivotTable tabId="4" name="PivotTable11"/>
    <pivotTable tabId="4" name="PivotTable12"/>
    <pivotTable tabId="4" name="PivotTable13"/>
    <pivotTable tabId="4" name="PivotTable8"/>
    <pivotTable tabId="4" name="PivotTable9"/>
  </pivotTables>
  <data>
    <tabular pivotCacheId="1738055492">
      <items count="8">
        <i x="4" s="1"/>
        <i x="6" s="1"/>
        <i x="7" s="1"/>
        <i x="3" s="1"/>
        <i x="5" s="1"/>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arehouse_Location" xr10:uid="{175B6EDD-6282-4098-B393-1081830DDE87}" sourceName="Warehouse_Location">
  <pivotTables>
    <pivotTable tabId="5" name="PivotTable14"/>
    <pivotTable tabId="3" name="PivotTable1"/>
    <pivotTable tabId="3" name="PivotTable15"/>
    <pivotTable tabId="3" name="PivotTable16"/>
    <pivotTable tabId="3" name="PivotTable2"/>
    <pivotTable tabId="3" name="PivotTable3"/>
    <pivotTable tabId="3" name="PivotTable4"/>
    <pivotTable tabId="3" name="PivotTable5"/>
    <pivotTable tabId="4" name="PivotTable10"/>
    <pivotTable tabId="4" name="PivotTable11"/>
    <pivotTable tabId="4" name="PivotTable12"/>
    <pivotTable tabId="4" name="PivotTable13"/>
    <pivotTable tabId="4" name="PivotTable8"/>
    <pivotTable tabId="4" name="PivotTable9"/>
  </pivotTables>
  <data>
    <tabular pivotCacheId="1738055492">
      <items count="5">
        <i x="0" s="1"/>
        <i x="1" s="1"/>
        <i x="3" s="1"/>
        <i x="2"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4DEC54E4-A675-43A2-922B-E580F286375E}" cache="Slicer_Category" caption="Category" style="Slicer Style 1" rowHeight="234950"/>
  <slicer name="Supplier" xr10:uid="{238DAE26-969E-4F01-AABA-402FE5C0FC15}" cache="Slicer_Supplier" caption="Supplier" style="Slicer Style 1" rowHeight="234950"/>
  <slicer name="Warehouse_Location" xr10:uid="{B3311C5B-C0C1-4971-96A0-1DC6887E226B}" cache="Slicer_Warehouse_Location" caption="Warehouse_Location" style="Slicer Style 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7790AE3-2606-4522-A195-266567681709}" name="tblInventory" displayName="tblInventory" ref="A1:V301" totalsRowShown="0" headerRowDxfId="29" headerRowBorderDxfId="28" tableBorderDxfId="27">
  <autoFilter ref="A1:V301" xr:uid="{B7790AE3-2606-4522-A195-266567681709}"/>
  <tableColumns count="22">
    <tableColumn id="1" xr3:uid="{5A4822FF-B6F4-40F4-8767-FF210FA24AF1}" name="SKU" dataDxfId="26"/>
    <tableColumn id="2" xr3:uid="{ECB2698A-AFD5-4C54-BE57-DA6165934D0F}" name="Product_Name" dataDxfId="25"/>
    <tableColumn id="3" xr3:uid="{419BB789-7169-499D-8DAA-1A8DCC328303}" name="Category" dataDxfId="24"/>
    <tableColumn id="4" xr3:uid="{ADFE68EB-FA37-4CEF-B8EB-CA8167C4C3D2}" name="Supplier" dataDxfId="23"/>
    <tableColumn id="5" xr3:uid="{EFF726CE-9CC1-4AEE-A848-4B1886428246}" name="Warehouse_Location" dataDxfId="22"/>
    <tableColumn id="6" xr3:uid="{E6457E6E-5F96-493C-9B85-42551488D551}" name="Date_Received" dataDxfId="21"/>
    <tableColumn id="7" xr3:uid="{C0B85636-EB2B-4CDB-B863-369B92542954}" name="Qty_Received" dataDxfId="20"/>
    <tableColumn id="8" xr3:uid="{099F35F4-9D4D-4839-A836-F709CC1ED938}" name="Unit_Cost" dataDxfId="19"/>
    <tableColumn id="9" xr3:uid="{B2192C67-F1FE-4CCF-AEFD-461FE8B29648}" name="Unit_Price" dataDxfId="18"/>
    <tableColumn id="10" xr3:uid="{F195DED8-AD94-4E86-9978-DE156B57C2D1}" name="Qty_On_Hand" dataDxfId="17"/>
    <tableColumn id="20" xr3:uid="{2A9DE02E-FE2A-4B03-AC9F-699D81FBDB07}" name="Inventory Value" dataDxfId="16">
      <calculatedColumnFormula>tblInventory[[#This Row],[Qty_On_Hand]]*tblInventory[[#This Row],[Unit_Cost]]</calculatedColumnFormula>
    </tableColumn>
    <tableColumn id="11" xr3:uid="{EAFD6E7B-E65F-4708-A23D-1F33B62E47F1}" name="Reorder_Level" dataDxfId="15"/>
    <tableColumn id="21" xr3:uid="{94035645-D527-4A01-8327-325E536C769D}" name="Reorder Flag" dataDxfId="14">
      <calculatedColumnFormula>IF(tblInventory[[#This Row],[Qty_On_Hand]]&lt;=tblInventory[[#This Row],[Reorder_Level]],1,0)</calculatedColumnFormula>
    </tableColumn>
    <tableColumn id="12" xr3:uid="{30AD938F-7EAB-469C-8053-8EE24F1803F5}" name="Reorder_Qty" dataDxfId="13"/>
    <tableColumn id="13" xr3:uid="{BB3E1C21-B617-4E9F-84E8-CC21B05C4D66}" name="Last_Sold_Date" dataDxfId="12"/>
    <tableColumn id="14" xr3:uid="{77F139CD-93CE-4ED6-943C-59FCE2686FDE}" name="Qty_Sold_30D" dataDxfId="11"/>
    <tableColumn id="15" xr3:uid="{BA05B263-A4A1-46DA-82B5-0F12E888C940}" name="Stock_Status" dataDxfId="10"/>
    <tableColumn id="16" xr3:uid="{B7755A4E-D606-479B-B391-694249CF60F1}" name="Sales_Revenue_30D" dataDxfId="9"/>
    <tableColumn id="17" xr3:uid="{7F7EF69E-5A0F-499D-B074-83964A8CBBA7}" name="COGS_30D" dataDxfId="8"/>
    <tableColumn id="18" xr3:uid="{8E360FF1-2A5B-4FF0-9C5A-FFED8FE4B435}" name="Gross_Profit_30D" dataDxfId="7"/>
    <tableColumn id="22" xr3:uid="{B5460A4B-6E62-4E61-9005-C698B127447A}" name="Column1" dataDxfId="6">
      <calculatedColumnFormula>IFERROR(tblInventory[[#This Row],[Gross_Profit_30D]]/tblInventory[[#This Row],[Sales_Revenue_30D]],0)</calculatedColumnFormula>
    </tableColumn>
    <tableColumn id="19" xr3:uid="{65712A90-F2CD-4A0F-8246-2AFFC2202F99}" name="Stock_Value" dataDxfId="5"/>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pivotTable" Target="../pivotTables/pivotTable13.xml"/><Relationship Id="rId5" Type="http://schemas.openxmlformats.org/officeDocument/2006/relationships/pivotTable" Target="../pivotTables/pivotTable12.xml"/><Relationship Id="rId4" Type="http://schemas.openxmlformats.org/officeDocument/2006/relationships/pivotTable" Target="../pivotTables/pivotTable1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4.xml"/><Relationship Id="rId4" Type="http://schemas.microsoft.com/office/2019/04/relationships/namedSheetView" Target="../namedSheetViews/namedSheetView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0" tint="-0.499984740745262"/>
  </sheetPr>
  <dimension ref="A1:V301"/>
  <sheetViews>
    <sheetView workbookViewId="0">
      <pane ySplit="1" topLeftCell="A2" activePane="bottomLeft" state="frozen"/>
      <selection pane="bottomLeft" activeCell="D17" sqref="D17"/>
    </sheetView>
  </sheetViews>
  <sheetFormatPr defaultRowHeight="14.4" x14ac:dyDescent="0.3"/>
  <cols>
    <col min="1" max="1" width="11" customWidth="1"/>
    <col min="2" max="2" width="18" customWidth="1"/>
    <col min="3" max="3" width="14" customWidth="1"/>
    <col min="4" max="4" width="16" customWidth="1"/>
    <col min="5" max="5" width="19.33203125" customWidth="1"/>
    <col min="6" max="6" width="14.77734375" customWidth="1"/>
    <col min="7" max="7" width="13.88671875" customWidth="1"/>
    <col min="8" max="9" width="11" customWidth="1"/>
    <col min="10" max="11" width="14" customWidth="1"/>
    <col min="12" max="13" width="14.33203125" customWidth="1"/>
    <col min="14" max="14" width="13.109375" customWidth="1"/>
    <col min="15" max="15" width="15.77734375" customWidth="1"/>
    <col min="16" max="16" width="14.21875" customWidth="1"/>
    <col min="17" max="17" width="13" customWidth="1"/>
    <col min="18" max="18" width="18.88671875" customWidth="1"/>
    <col min="19" max="19" width="11.44140625" customWidth="1"/>
    <col min="20" max="21" width="16.6640625" customWidth="1"/>
    <col min="22" max="22" width="12.44140625" customWidth="1"/>
  </cols>
  <sheetData>
    <row r="1" spans="1:22" x14ac:dyDescent="0.3">
      <c r="A1" s="8" t="s">
        <v>9</v>
      </c>
      <c r="B1" s="8" t="s">
        <v>47</v>
      </c>
      <c r="C1" s="8" t="s">
        <v>10</v>
      </c>
      <c r="D1" s="8" t="s">
        <v>48</v>
      </c>
      <c r="E1" s="8" t="s">
        <v>49</v>
      </c>
      <c r="F1" s="8" t="s">
        <v>50</v>
      </c>
      <c r="G1" s="8" t="s">
        <v>51</v>
      </c>
      <c r="H1" s="8" t="s">
        <v>52</v>
      </c>
      <c r="I1" s="8" t="s">
        <v>53</v>
      </c>
      <c r="J1" s="8" t="s">
        <v>54</v>
      </c>
      <c r="K1" s="9" t="s">
        <v>536</v>
      </c>
      <c r="L1" s="8" t="s">
        <v>55</v>
      </c>
      <c r="M1" s="9" t="s">
        <v>537</v>
      </c>
      <c r="N1" s="8" t="s">
        <v>56</v>
      </c>
      <c r="O1" s="8" t="s">
        <v>57</v>
      </c>
      <c r="P1" s="8" t="s">
        <v>58</v>
      </c>
      <c r="Q1" s="8" t="s">
        <v>59</v>
      </c>
      <c r="R1" s="8" t="s">
        <v>60</v>
      </c>
      <c r="S1" s="8" t="s">
        <v>61</v>
      </c>
      <c r="T1" s="8" t="s">
        <v>62</v>
      </c>
      <c r="U1" s="8" t="s">
        <v>535</v>
      </c>
      <c r="V1" s="8" t="s">
        <v>63</v>
      </c>
    </row>
    <row r="2" spans="1:22" x14ac:dyDescent="0.3">
      <c r="A2" s="2" t="s">
        <v>64</v>
      </c>
      <c r="B2" s="2" t="s">
        <v>65</v>
      </c>
      <c r="C2" s="2" t="s">
        <v>7</v>
      </c>
      <c r="D2" s="2" t="s">
        <v>66</v>
      </c>
      <c r="E2" s="2" t="s">
        <v>67</v>
      </c>
      <c r="F2" s="2" t="s">
        <v>68</v>
      </c>
      <c r="G2" s="3">
        <v>121</v>
      </c>
      <c r="H2" s="4">
        <v>222.94</v>
      </c>
      <c r="I2" s="4">
        <v>537.51</v>
      </c>
      <c r="J2" s="3">
        <v>50</v>
      </c>
      <c r="K2" s="3">
        <f>tblInventory[[#This Row],[Qty_On_Hand]]*tblInventory[[#This Row],[Unit_Cost]]</f>
        <v>11147</v>
      </c>
      <c r="L2" s="3">
        <v>84</v>
      </c>
      <c r="M2" s="3">
        <f>IF(tblInventory[[#This Row],[Qty_On_Hand]]&lt;=tblInventory[[#This Row],[Reorder_Level]],1,0)</f>
        <v>1</v>
      </c>
      <c r="N2" s="3">
        <v>72</v>
      </c>
      <c r="O2" s="3" t="s">
        <v>69</v>
      </c>
      <c r="P2" s="2">
        <v>108</v>
      </c>
      <c r="Q2" s="5" t="s">
        <v>5</v>
      </c>
      <c r="R2" s="4">
        <v>58051.08</v>
      </c>
      <c r="S2" s="4">
        <v>24077.52</v>
      </c>
      <c r="T2" s="4">
        <v>33973.56</v>
      </c>
      <c r="U2" s="4">
        <f>IFERROR(tblInventory[[#This Row],[Gross_Profit_30D]]/tblInventory[[#This Row],[Sales_Revenue_30D]],0)</f>
        <v>0.58523562352328318</v>
      </c>
      <c r="V2" s="2">
        <v>0</v>
      </c>
    </row>
    <row r="3" spans="1:22" x14ac:dyDescent="0.3">
      <c r="A3" s="2" t="s">
        <v>70</v>
      </c>
      <c r="B3" s="2" t="s">
        <v>71</v>
      </c>
      <c r="C3" s="2" t="s">
        <v>8</v>
      </c>
      <c r="D3" s="2" t="s">
        <v>72</v>
      </c>
      <c r="E3" s="2" t="s">
        <v>73</v>
      </c>
      <c r="F3" s="2" t="s">
        <v>74</v>
      </c>
      <c r="G3" s="3">
        <v>358</v>
      </c>
      <c r="H3" s="4">
        <v>1131.27</v>
      </c>
      <c r="I3" s="4">
        <v>2685.67</v>
      </c>
      <c r="J3" s="3">
        <v>65</v>
      </c>
      <c r="K3" s="3">
        <f>tblInventory[[#This Row],[Qty_On_Hand]]*tblInventory[[#This Row],[Unit_Cost]]</f>
        <v>73532.55</v>
      </c>
      <c r="L3" s="3">
        <v>84</v>
      </c>
      <c r="M3" s="3">
        <f>IF(tblInventory[[#This Row],[Qty_On_Hand]]&lt;=tblInventory[[#This Row],[Reorder_Level]],1,0)</f>
        <v>1</v>
      </c>
      <c r="N3" s="3">
        <v>157</v>
      </c>
      <c r="O3" s="3" t="s">
        <v>75</v>
      </c>
      <c r="P3" s="2">
        <v>56</v>
      </c>
      <c r="Q3" s="5" t="s">
        <v>5</v>
      </c>
      <c r="R3" s="4">
        <v>150397.51999999999</v>
      </c>
      <c r="S3" s="4">
        <v>63351.12</v>
      </c>
      <c r="T3" s="4">
        <v>87046.399999999994</v>
      </c>
      <c r="U3" s="4">
        <f>IFERROR(tblInventory[[#This Row],[Gross_Profit_30D]]/tblInventory[[#This Row],[Sales_Revenue_30D]],0)</f>
        <v>0.57877550108539022</v>
      </c>
      <c r="V3" s="2">
        <v>0</v>
      </c>
    </row>
    <row r="4" spans="1:22" x14ac:dyDescent="0.3">
      <c r="A4" s="2" t="s">
        <v>76</v>
      </c>
      <c r="B4" s="2" t="s">
        <v>23</v>
      </c>
      <c r="C4" s="2" t="s">
        <v>6</v>
      </c>
      <c r="D4" s="2" t="s">
        <v>77</v>
      </c>
      <c r="E4" s="2" t="s">
        <v>78</v>
      </c>
      <c r="F4" s="2" t="s">
        <v>79</v>
      </c>
      <c r="G4" s="3">
        <v>407</v>
      </c>
      <c r="H4" s="4">
        <v>693.7</v>
      </c>
      <c r="I4" s="4">
        <v>1063.5899999999999</v>
      </c>
      <c r="J4" s="3">
        <v>71</v>
      </c>
      <c r="K4" s="3">
        <f>tblInventory[[#This Row],[Qty_On_Hand]]*tblInventory[[#This Row],[Unit_Cost]]</f>
        <v>49252.700000000004</v>
      </c>
      <c r="L4" s="3">
        <v>58</v>
      </c>
      <c r="M4" s="3">
        <f>IF(tblInventory[[#This Row],[Qty_On_Hand]]&lt;=tblInventory[[#This Row],[Reorder_Level]],1,0)</f>
        <v>0</v>
      </c>
      <c r="N4" s="3">
        <v>76</v>
      </c>
      <c r="O4" s="3" t="s">
        <v>80</v>
      </c>
      <c r="P4" s="2">
        <v>23</v>
      </c>
      <c r="Q4" s="5" t="s">
        <v>5</v>
      </c>
      <c r="R4" s="4">
        <v>24462.57</v>
      </c>
      <c r="S4" s="4">
        <v>15955.1</v>
      </c>
      <c r="T4" s="4">
        <v>8507.4699999999993</v>
      </c>
      <c r="U4" s="4">
        <f>IFERROR(tblInventory[[#This Row],[Gross_Profit_30D]]/tblInventory[[#This Row],[Sales_Revenue_30D]],0)</f>
        <v>0.3477749884824039</v>
      </c>
      <c r="V4" s="2">
        <v>0</v>
      </c>
    </row>
    <row r="5" spans="1:22" x14ac:dyDescent="0.3">
      <c r="A5" s="2" t="s">
        <v>41</v>
      </c>
      <c r="B5" s="2" t="s">
        <v>42</v>
      </c>
      <c r="C5" s="2" t="s">
        <v>6</v>
      </c>
      <c r="D5" s="2" t="s">
        <v>81</v>
      </c>
      <c r="E5" s="2" t="s">
        <v>67</v>
      </c>
      <c r="F5" s="2" t="s">
        <v>82</v>
      </c>
      <c r="G5" s="3">
        <v>463</v>
      </c>
      <c r="H5" s="4">
        <v>1464.87</v>
      </c>
      <c r="I5" s="4">
        <v>3082.59</v>
      </c>
      <c r="J5" s="3">
        <v>220</v>
      </c>
      <c r="K5" s="3">
        <f>tblInventory[[#This Row],[Qty_On_Hand]]*tblInventory[[#This Row],[Unit_Cost]]</f>
        <v>322271.39999999997</v>
      </c>
      <c r="L5" s="3">
        <v>63</v>
      </c>
      <c r="M5" s="3">
        <f>IF(tblInventory[[#This Row],[Qty_On_Hand]]&lt;=tblInventory[[#This Row],[Reorder_Level]],1,0)</f>
        <v>0</v>
      </c>
      <c r="N5" s="3">
        <v>70</v>
      </c>
      <c r="O5" s="3" t="s">
        <v>83</v>
      </c>
      <c r="P5" s="2">
        <v>141</v>
      </c>
      <c r="Q5" s="5" t="s">
        <v>5</v>
      </c>
      <c r="R5" s="4">
        <v>434645.19</v>
      </c>
      <c r="S5" s="4">
        <v>206546.67</v>
      </c>
      <c r="T5" s="4">
        <v>228098.52</v>
      </c>
      <c r="U5" s="4">
        <f>IFERROR(tblInventory[[#This Row],[Gross_Profit_30D]]/tblInventory[[#This Row],[Sales_Revenue_30D]],0)</f>
        <v>0.524792463480385</v>
      </c>
      <c r="V5" s="2">
        <v>0</v>
      </c>
    </row>
    <row r="6" spans="1:22" x14ac:dyDescent="0.3">
      <c r="A6" s="2" t="s">
        <v>84</v>
      </c>
      <c r="B6" s="2" t="s">
        <v>85</v>
      </c>
      <c r="C6" s="2" t="s">
        <v>0</v>
      </c>
      <c r="D6" s="2" t="s">
        <v>81</v>
      </c>
      <c r="E6" s="2" t="s">
        <v>86</v>
      </c>
      <c r="F6" s="2" t="s">
        <v>87</v>
      </c>
      <c r="G6" s="3">
        <v>85</v>
      </c>
      <c r="H6" s="4">
        <v>1329.3</v>
      </c>
      <c r="I6" s="4">
        <v>3269.55</v>
      </c>
      <c r="J6" s="3">
        <v>115</v>
      </c>
      <c r="K6" s="3">
        <f>tblInventory[[#This Row],[Qty_On_Hand]]*tblInventory[[#This Row],[Unit_Cost]]</f>
        <v>152869.5</v>
      </c>
      <c r="L6" s="3">
        <v>25</v>
      </c>
      <c r="M6" s="3">
        <f>IF(tblInventory[[#This Row],[Qty_On_Hand]]&lt;=tblInventory[[#This Row],[Reorder_Level]],1,0)</f>
        <v>0</v>
      </c>
      <c r="N6" s="3">
        <v>268</v>
      </c>
      <c r="O6" s="3" t="s">
        <v>88</v>
      </c>
      <c r="P6" s="2">
        <v>59</v>
      </c>
      <c r="Q6" s="5" t="s">
        <v>5</v>
      </c>
      <c r="R6" s="4">
        <v>192903.45</v>
      </c>
      <c r="S6" s="4">
        <v>78428.7</v>
      </c>
      <c r="T6" s="4">
        <v>114474.75</v>
      </c>
      <c r="U6" s="4">
        <f>IFERROR(tblInventory[[#This Row],[Gross_Profit_30D]]/tblInventory[[#This Row],[Sales_Revenue_30D]],0)</f>
        <v>0.59343028857182178</v>
      </c>
      <c r="V6" s="2">
        <v>0</v>
      </c>
    </row>
    <row r="7" spans="1:22" x14ac:dyDescent="0.3">
      <c r="A7" s="2" t="s">
        <v>89</v>
      </c>
      <c r="B7" s="2" t="s">
        <v>90</v>
      </c>
      <c r="C7" s="2" t="s">
        <v>8</v>
      </c>
      <c r="D7" s="2" t="s">
        <v>77</v>
      </c>
      <c r="E7" s="2" t="s">
        <v>91</v>
      </c>
      <c r="F7" s="2" t="s">
        <v>92</v>
      </c>
      <c r="G7" s="3">
        <v>133</v>
      </c>
      <c r="H7" s="4">
        <v>723.44</v>
      </c>
      <c r="I7" s="4">
        <v>1667.72</v>
      </c>
      <c r="J7" s="3">
        <v>130</v>
      </c>
      <c r="K7" s="3">
        <f>tblInventory[[#This Row],[Qty_On_Hand]]*tblInventory[[#This Row],[Unit_Cost]]</f>
        <v>94047.200000000012</v>
      </c>
      <c r="L7" s="3">
        <v>97</v>
      </c>
      <c r="M7" s="3">
        <f>IF(tblInventory[[#This Row],[Qty_On_Hand]]&lt;=tblInventory[[#This Row],[Reorder_Level]],1,0)</f>
        <v>0</v>
      </c>
      <c r="N7" s="3">
        <v>68</v>
      </c>
      <c r="O7" s="3" t="s">
        <v>93</v>
      </c>
      <c r="P7" s="2">
        <v>43</v>
      </c>
      <c r="Q7" s="5" t="s">
        <v>5</v>
      </c>
      <c r="R7" s="4">
        <v>71711.960000000006</v>
      </c>
      <c r="S7" s="4">
        <v>31107.919999999998</v>
      </c>
      <c r="T7" s="4">
        <v>40604.04</v>
      </c>
      <c r="U7" s="4">
        <f>IFERROR(tblInventory[[#This Row],[Gross_Profit_30D]]/tblInventory[[#This Row],[Sales_Revenue_30D]],0)</f>
        <v>0.56621015518192497</v>
      </c>
      <c r="V7" s="2">
        <v>0</v>
      </c>
    </row>
    <row r="8" spans="1:22" x14ac:dyDescent="0.3">
      <c r="A8" s="2" t="s">
        <v>94</v>
      </c>
      <c r="B8" s="2" t="s">
        <v>95</v>
      </c>
      <c r="C8" s="2" t="s">
        <v>2</v>
      </c>
      <c r="D8" s="2" t="s">
        <v>96</v>
      </c>
      <c r="E8" s="2" t="s">
        <v>91</v>
      </c>
      <c r="F8" s="2" t="s">
        <v>97</v>
      </c>
      <c r="G8" s="3">
        <v>377</v>
      </c>
      <c r="H8" s="4">
        <v>1122.76</v>
      </c>
      <c r="I8" s="4">
        <v>2612.5700000000002</v>
      </c>
      <c r="J8" s="3">
        <v>45</v>
      </c>
      <c r="K8" s="3">
        <f>tblInventory[[#This Row],[Qty_On_Hand]]*tblInventory[[#This Row],[Unit_Cost]]</f>
        <v>50524.2</v>
      </c>
      <c r="L8" s="3">
        <v>22</v>
      </c>
      <c r="M8" s="3">
        <f>IF(tblInventory[[#This Row],[Qty_On_Hand]]&lt;=tblInventory[[#This Row],[Reorder_Level]],1,0)</f>
        <v>0</v>
      </c>
      <c r="N8" s="3">
        <v>108</v>
      </c>
      <c r="O8" s="3" t="s">
        <v>83</v>
      </c>
      <c r="P8" s="2">
        <v>8</v>
      </c>
      <c r="Q8" s="5" t="s">
        <v>5</v>
      </c>
      <c r="R8" s="4">
        <v>20900.560000000001</v>
      </c>
      <c r="S8" s="4">
        <v>8982.08</v>
      </c>
      <c r="T8" s="4">
        <v>11918.48</v>
      </c>
      <c r="U8" s="4">
        <f>IFERROR(tblInventory[[#This Row],[Gross_Profit_30D]]/tblInventory[[#This Row],[Sales_Revenue_30D]],0)</f>
        <v>0.57024692161358348</v>
      </c>
      <c r="V8" s="2">
        <v>0</v>
      </c>
    </row>
    <row r="9" spans="1:22" x14ac:dyDescent="0.3">
      <c r="A9" s="2" t="s">
        <v>98</v>
      </c>
      <c r="B9" s="2" t="s">
        <v>99</v>
      </c>
      <c r="C9" s="2" t="s">
        <v>0</v>
      </c>
      <c r="D9" s="2" t="s">
        <v>77</v>
      </c>
      <c r="E9" s="2" t="s">
        <v>78</v>
      </c>
      <c r="F9" s="2" t="s">
        <v>100</v>
      </c>
      <c r="G9" s="3">
        <v>498</v>
      </c>
      <c r="H9" s="4">
        <v>643.05999999999995</v>
      </c>
      <c r="I9" s="4">
        <v>1468.21</v>
      </c>
      <c r="J9" s="3">
        <v>65</v>
      </c>
      <c r="K9" s="3">
        <f>tblInventory[[#This Row],[Qty_On_Hand]]*tblInventory[[#This Row],[Unit_Cost]]</f>
        <v>41798.899999999994</v>
      </c>
      <c r="L9" s="3">
        <v>65</v>
      </c>
      <c r="M9" s="3">
        <f>IF(tblInventory[[#This Row],[Qty_On_Hand]]&lt;=tblInventory[[#This Row],[Reorder_Level]],1,0)</f>
        <v>1</v>
      </c>
      <c r="N9" s="3">
        <v>276</v>
      </c>
      <c r="O9" s="3" t="s">
        <v>101</v>
      </c>
      <c r="P9" s="2">
        <v>117</v>
      </c>
      <c r="Q9" s="5" t="s">
        <v>5</v>
      </c>
      <c r="R9" s="4">
        <v>171780.57</v>
      </c>
      <c r="S9" s="4">
        <v>75238.02</v>
      </c>
      <c r="T9" s="4">
        <v>96542.55</v>
      </c>
      <c r="U9" s="4">
        <f>IFERROR(tblInventory[[#This Row],[Gross_Profit_30D]]/tblInventory[[#This Row],[Sales_Revenue_30D]],0)</f>
        <v>0.56201088400160737</v>
      </c>
      <c r="V9" s="2">
        <v>0</v>
      </c>
    </row>
    <row r="10" spans="1:22" x14ac:dyDescent="0.3">
      <c r="A10" s="2" t="s">
        <v>102</v>
      </c>
      <c r="B10" s="2" t="s">
        <v>103</v>
      </c>
      <c r="C10" s="2" t="s">
        <v>4</v>
      </c>
      <c r="D10" s="2" t="s">
        <v>96</v>
      </c>
      <c r="E10" s="2" t="s">
        <v>73</v>
      </c>
      <c r="F10" s="2" t="s">
        <v>104</v>
      </c>
      <c r="G10" s="3">
        <v>325</v>
      </c>
      <c r="H10" s="4">
        <v>1499.09</v>
      </c>
      <c r="I10" s="4">
        <v>2912.21</v>
      </c>
      <c r="J10" s="3">
        <v>171</v>
      </c>
      <c r="K10" s="3">
        <f>tblInventory[[#This Row],[Qty_On_Hand]]*tblInventory[[#This Row],[Unit_Cost]]</f>
        <v>256344.38999999998</v>
      </c>
      <c r="L10" s="3">
        <v>89</v>
      </c>
      <c r="M10" s="3">
        <f>IF(tblInventory[[#This Row],[Qty_On_Hand]]&lt;=tblInventory[[#This Row],[Reorder_Level]],1,0)</f>
        <v>0</v>
      </c>
      <c r="N10" s="3">
        <v>152</v>
      </c>
      <c r="O10" s="3" t="s">
        <v>105</v>
      </c>
      <c r="P10" s="2">
        <v>92</v>
      </c>
      <c r="Q10" s="5" t="s">
        <v>5</v>
      </c>
      <c r="R10" s="4">
        <v>267923.32</v>
      </c>
      <c r="S10" s="4">
        <v>137916.28</v>
      </c>
      <c r="T10" s="4">
        <v>130007.03999999999</v>
      </c>
      <c r="U10" s="4">
        <f>IFERROR(tblInventory[[#This Row],[Gross_Profit_30D]]/tblInventory[[#This Row],[Sales_Revenue_30D]],0)</f>
        <v>0.48523973202481963</v>
      </c>
      <c r="V10" s="2">
        <v>0</v>
      </c>
    </row>
    <row r="11" spans="1:22" x14ac:dyDescent="0.3">
      <c r="A11" s="2" t="s">
        <v>106</v>
      </c>
      <c r="B11" s="2" t="s">
        <v>107</v>
      </c>
      <c r="C11" s="2" t="s">
        <v>4</v>
      </c>
      <c r="D11" s="2" t="s">
        <v>108</v>
      </c>
      <c r="E11" s="2" t="s">
        <v>78</v>
      </c>
      <c r="F11" s="2" t="s">
        <v>109</v>
      </c>
      <c r="G11" s="3">
        <v>490</v>
      </c>
      <c r="H11" s="4">
        <v>322.63</v>
      </c>
      <c r="I11" s="4">
        <v>496.84</v>
      </c>
      <c r="J11" s="3">
        <v>155</v>
      </c>
      <c r="K11" s="3">
        <f>tblInventory[[#This Row],[Qty_On_Hand]]*tblInventory[[#This Row],[Unit_Cost]]</f>
        <v>50007.65</v>
      </c>
      <c r="L11" s="3">
        <v>69</v>
      </c>
      <c r="M11" s="3">
        <f>IF(tblInventory[[#This Row],[Qty_On_Hand]]&lt;=tblInventory[[#This Row],[Reorder_Level]],1,0)</f>
        <v>0</v>
      </c>
      <c r="N11" s="3">
        <v>202</v>
      </c>
      <c r="O11" s="3" t="s">
        <v>110</v>
      </c>
      <c r="P11" s="2">
        <v>16</v>
      </c>
      <c r="Q11" s="5" t="s">
        <v>5</v>
      </c>
      <c r="R11" s="4">
        <v>7949.44</v>
      </c>
      <c r="S11" s="4">
        <v>5162.08</v>
      </c>
      <c r="T11" s="4">
        <v>2787.36</v>
      </c>
      <c r="U11" s="4">
        <f>IFERROR(tblInventory[[#This Row],[Gross_Profit_30D]]/tblInventory[[#This Row],[Sales_Revenue_30D]],0)</f>
        <v>0.35063601964415109</v>
      </c>
      <c r="V11" s="2">
        <v>0</v>
      </c>
    </row>
    <row r="12" spans="1:22" x14ac:dyDescent="0.3">
      <c r="A12" s="2" t="s">
        <v>111</v>
      </c>
      <c r="B12" s="2" t="s">
        <v>112</v>
      </c>
      <c r="C12" s="2" t="s">
        <v>6</v>
      </c>
      <c r="D12" s="2" t="s">
        <v>108</v>
      </c>
      <c r="E12" s="2" t="s">
        <v>86</v>
      </c>
      <c r="F12" s="2" t="s">
        <v>113</v>
      </c>
      <c r="G12" s="3">
        <v>490</v>
      </c>
      <c r="H12" s="4">
        <v>42.73</v>
      </c>
      <c r="I12" s="4">
        <v>101.74</v>
      </c>
      <c r="J12" s="3">
        <v>233</v>
      </c>
      <c r="K12" s="3">
        <f>tblInventory[[#This Row],[Qty_On_Hand]]*tblInventory[[#This Row],[Unit_Cost]]</f>
        <v>9956.09</v>
      </c>
      <c r="L12" s="3">
        <v>83</v>
      </c>
      <c r="M12" s="3">
        <f>IF(tblInventory[[#This Row],[Qty_On_Hand]]&lt;=tblInventory[[#This Row],[Reorder_Level]],1,0)</f>
        <v>0</v>
      </c>
      <c r="N12" s="3">
        <v>242</v>
      </c>
      <c r="O12" s="3" t="s">
        <v>105</v>
      </c>
      <c r="P12" s="2">
        <v>68</v>
      </c>
      <c r="Q12" s="5" t="s">
        <v>5</v>
      </c>
      <c r="R12" s="4">
        <v>6918.32</v>
      </c>
      <c r="S12" s="4">
        <v>2905.64</v>
      </c>
      <c r="T12" s="4">
        <v>4012.68</v>
      </c>
      <c r="U12" s="4">
        <f>IFERROR(tblInventory[[#This Row],[Gross_Profit_30D]]/tblInventory[[#This Row],[Sales_Revenue_30D]],0)</f>
        <v>0.58000786318065656</v>
      </c>
      <c r="V12" s="2">
        <v>0</v>
      </c>
    </row>
    <row r="13" spans="1:22" x14ac:dyDescent="0.3">
      <c r="A13" s="2" t="s">
        <v>13</v>
      </c>
      <c r="B13" s="2" t="s">
        <v>14</v>
      </c>
      <c r="C13" s="2" t="s">
        <v>7</v>
      </c>
      <c r="D13" s="2" t="s">
        <v>72</v>
      </c>
      <c r="E13" s="2" t="s">
        <v>67</v>
      </c>
      <c r="F13" s="2" t="s">
        <v>114</v>
      </c>
      <c r="G13" s="3">
        <v>282</v>
      </c>
      <c r="H13" s="4">
        <v>1908.56</v>
      </c>
      <c r="I13" s="4">
        <v>4988.55</v>
      </c>
      <c r="J13" s="3">
        <v>245</v>
      </c>
      <c r="K13" s="3">
        <f>tblInventory[[#This Row],[Qty_On_Hand]]*tblInventory[[#This Row],[Unit_Cost]]</f>
        <v>467597.2</v>
      </c>
      <c r="L13" s="3">
        <v>48</v>
      </c>
      <c r="M13" s="3">
        <f>IF(tblInventory[[#This Row],[Qty_On_Hand]]&lt;=tblInventory[[#This Row],[Reorder_Level]],1,0)</f>
        <v>0</v>
      </c>
      <c r="N13" s="3">
        <v>298</v>
      </c>
      <c r="O13" s="3" t="s">
        <v>80</v>
      </c>
      <c r="P13" s="2">
        <v>128</v>
      </c>
      <c r="Q13" s="5" t="s">
        <v>5</v>
      </c>
      <c r="R13" s="4">
        <v>638534.40000000002</v>
      </c>
      <c r="S13" s="4">
        <v>244295.67999999999</v>
      </c>
      <c r="T13" s="4">
        <v>394238.71999999997</v>
      </c>
      <c r="U13" s="4">
        <f>IFERROR(tblInventory[[#This Row],[Gross_Profit_30D]]/tblInventory[[#This Row],[Sales_Revenue_30D]],0)</f>
        <v>0.61741187318960411</v>
      </c>
      <c r="V13" s="2">
        <v>0</v>
      </c>
    </row>
    <row r="14" spans="1:22" x14ac:dyDescent="0.3">
      <c r="A14" s="2" t="s">
        <v>115</v>
      </c>
      <c r="B14" s="2" t="s">
        <v>116</v>
      </c>
      <c r="C14" s="2" t="s">
        <v>4</v>
      </c>
      <c r="D14" s="2" t="s">
        <v>72</v>
      </c>
      <c r="E14" s="2" t="s">
        <v>67</v>
      </c>
      <c r="F14" s="2" t="s">
        <v>117</v>
      </c>
      <c r="G14" s="3">
        <v>309</v>
      </c>
      <c r="H14" s="4">
        <v>322.62</v>
      </c>
      <c r="I14" s="4">
        <v>788.41</v>
      </c>
      <c r="J14" s="3">
        <v>89</v>
      </c>
      <c r="K14" s="3">
        <f>tblInventory[[#This Row],[Qty_On_Hand]]*tblInventory[[#This Row],[Unit_Cost]]</f>
        <v>28713.18</v>
      </c>
      <c r="L14" s="3">
        <v>84</v>
      </c>
      <c r="M14" s="3">
        <f>IF(tblInventory[[#This Row],[Qty_On_Hand]]&lt;=tblInventory[[#This Row],[Reorder_Level]],1,0)</f>
        <v>0</v>
      </c>
      <c r="N14" s="3">
        <v>294</v>
      </c>
      <c r="O14" s="3" t="s">
        <v>118</v>
      </c>
      <c r="P14" s="2">
        <v>135</v>
      </c>
      <c r="Q14" s="5" t="s">
        <v>5</v>
      </c>
      <c r="R14" s="4">
        <v>106435.35</v>
      </c>
      <c r="S14" s="4">
        <v>43553.7</v>
      </c>
      <c r="T14" s="4">
        <v>62881.65</v>
      </c>
      <c r="U14" s="4">
        <f>IFERROR(tblInventory[[#This Row],[Gross_Profit_30D]]/tblInventory[[#This Row],[Sales_Revenue_30D]],0)</f>
        <v>0.59079666670894582</v>
      </c>
      <c r="V14" s="2">
        <v>0</v>
      </c>
    </row>
    <row r="15" spans="1:22" x14ac:dyDescent="0.3">
      <c r="A15" s="2" t="s">
        <v>119</v>
      </c>
      <c r="B15" s="2" t="s">
        <v>120</v>
      </c>
      <c r="C15" s="2" t="s">
        <v>8</v>
      </c>
      <c r="D15" s="2" t="s">
        <v>81</v>
      </c>
      <c r="E15" s="2" t="s">
        <v>91</v>
      </c>
      <c r="F15" s="2" t="s">
        <v>121</v>
      </c>
      <c r="G15" s="3">
        <v>235</v>
      </c>
      <c r="H15" s="4">
        <v>1970.94</v>
      </c>
      <c r="I15" s="4">
        <v>4947.38</v>
      </c>
      <c r="J15" s="3">
        <v>81</v>
      </c>
      <c r="K15" s="3">
        <f>tblInventory[[#This Row],[Qty_On_Hand]]*tblInventory[[#This Row],[Unit_Cost]]</f>
        <v>159646.14000000001</v>
      </c>
      <c r="L15" s="3">
        <v>45</v>
      </c>
      <c r="M15" s="3">
        <f>IF(tblInventory[[#This Row],[Qty_On_Hand]]&lt;=tblInventory[[#This Row],[Reorder_Level]],1,0)</f>
        <v>0</v>
      </c>
      <c r="N15" s="3">
        <v>64</v>
      </c>
      <c r="O15" s="3" t="s">
        <v>122</v>
      </c>
      <c r="P15" s="2">
        <v>61</v>
      </c>
      <c r="Q15" s="5" t="s">
        <v>5</v>
      </c>
      <c r="R15" s="4">
        <v>301790.18</v>
      </c>
      <c r="S15" s="4">
        <v>120227.34</v>
      </c>
      <c r="T15" s="4">
        <v>181562.84</v>
      </c>
      <c r="U15" s="4">
        <f>IFERROR(tblInventory[[#This Row],[Gross_Profit_30D]]/tblInventory[[#This Row],[Sales_Revenue_30D]],0)</f>
        <v>0.60161944301832482</v>
      </c>
      <c r="V15" s="2">
        <v>0</v>
      </c>
    </row>
    <row r="16" spans="1:22" x14ac:dyDescent="0.3">
      <c r="A16" s="2" t="s">
        <v>123</v>
      </c>
      <c r="B16" s="2" t="s">
        <v>124</v>
      </c>
      <c r="C16" s="2" t="s">
        <v>2</v>
      </c>
      <c r="D16" s="2" t="s">
        <v>72</v>
      </c>
      <c r="E16" s="2" t="s">
        <v>91</v>
      </c>
      <c r="F16" s="2" t="s">
        <v>125</v>
      </c>
      <c r="G16" s="3">
        <v>439</v>
      </c>
      <c r="H16" s="4">
        <v>1536.35</v>
      </c>
      <c r="I16" s="4">
        <v>2293.14</v>
      </c>
      <c r="J16" s="3">
        <v>75</v>
      </c>
      <c r="K16" s="3">
        <f>tblInventory[[#This Row],[Qty_On_Hand]]*tblInventory[[#This Row],[Unit_Cost]]</f>
        <v>115226.25</v>
      </c>
      <c r="L16" s="3">
        <v>75</v>
      </c>
      <c r="M16" s="3">
        <f>IF(tblInventory[[#This Row],[Qty_On_Hand]]&lt;=tblInventory[[#This Row],[Reorder_Level]],1,0)</f>
        <v>1</v>
      </c>
      <c r="N16" s="3">
        <v>292</v>
      </c>
      <c r="O16" s="3" t="s">
        <v>126</v>
      </c>
      <c r="P16" s="2">
        <v>140</v>
      </c>
      <c r="Q16" s="5" t="s">
        <v>5</v>
      </c>
      <c r="R16" s="4">
        <v>321039.59999999998</v>
      </c>
      <c r="S16" s="4">
        <v>215089</v>
      </c>
      <c r="T16" s="4">
        <v>105950.6</v>
      </c>
      <c r="U16" s="4">
        <f>IFERROR(tblInventory[[#This Row],[Gross_Profit_30D]]/tblInventory[[#This Row],[Sales_Revenue_30D]],0)</f>
        <v>0.33002346128016607</v>
      </c>
      <c r="V16" s="2">
        <v>0</v>
      </c>
    </row>
    <row r="17" spans="1:22" x14ac:dyDescent="0.3">
      <c r="A17" s="2" t="s">
        <v>127</v>
      </c>
      <c r="B17" s="2" t="s">
        <v>103</v>
      </c>
      <c r="C17" s="2" t="s">
        <v>4</v>
      </c>
      <c r="D17" s="2" t="s">
        <v>128</v>
      </c>
      <c r="E17" s="2" t="s">
        <v>73</v>
      </c>
      <c r="F17" s="2" t="s">
        <v>129</v>
      </c>
      <c r="G17" s="3">
        <v>436</v>
      </c>
      <c r="H17" s="4">
        <v>1385.94</v>
      </c>
      <c r="I17" s="4">
        <v>3283.88</v>
      </c>
      <c r="J17" s="3">
        <v>19</v>
      </c>
      <c r="K17" s="3">
        <f>tblInventory[[#This Row],[Qty_On_Hand]]*tblInventory[[#This Row],[Unit_Cost]]</f>
        <v>26332.86</v>
      </c>
      <c r="L17" s="3">
        <v>66</v>
      </c>
      <c r="M17" s="3">
        <f>IF(tblInventory[[#This Row],[Qty_On_Hand]]&lt;=tblInventory[[#This Row],[Reorder_Level]],1,0)</f>
        <v>1</v>
      </c>
      <c r="N17" s="3">
        <v>221</v>
      </c>
      <c r="O17" s="3" t="s">
        <v>105</v>
      </c>
      <c r="P17" s="2">
        <v>95</v>
      </c>
      <c r="Q17" s="6" t="s">
        <v>3</v>
      </c>
      <c r="R17" s="4">
        <v>311968.59999999998</v>
      </c>
      <c r="S17" s="4">
        <v>131664.29999999999</v>
      </c>
      <c r="T17" s="4">
        <v>180304.3</v>
      </c>
      <c r="U17" s="4">
        <f>IFERROR(tblInventory[[#This Row],[Gross_Profit_30D]]/tblInventory[[#This Row],[Sales_Revenue_30D]],0)</f>
        <v>0.5779565635772318</v>
      </c>
      <c r="V17" s="2">
        <v>26332.86</v>
      </c>
    </row>
    <row r="18" spans="1:22" x14ac:dyDescent="0.3">
      <c r="A18" s="2" t="s">
        <v>130</v>
      </c>
      <c r="B18" s="2" t="s">
        <v>29</v>
      </c>
      <c r="C18" s="2" t="s">
        <v>6</v>
      </c>
      <c r="D18" s="2" t="s">
        <v>108</v>
      </c>
      <c r="E18" s="2" t="s">
        <v>78</v>
      </c>
      <c r="F18" s="2" t="s">
        <v>68</v>
      </c>
      <c r="G18" s="3">
        <v>82</v>
      </c>
      <c r="H18" s="4">
        <v>61.65</v>
      </c>
      <c r="I18" s="4">
        <v>131.37</v>
      </c>
      <c r="J18" s="3">
        <v>73</v>
      </c>
      <c r="K18" s="3">
        <f>tblInventory[[#This Row],[Qty_On_Hand]]*tblInventory[[#This Row],[Unit_Cost]]</f>
        <v>4500.45</v>
      </c>
      <c r="L18" s="3">
        <v>90</v>
      </c>
      <c r="M18" s="3">
        <f>IF(tblInventory[[#This Row],[Qty_On_Hand]]&lt;=tblInventory[[#This Row],[Reorder_Level]],1,0)</f>
        <v>1</v>
      </c>
      <c r="N18" s="3">
        <v>106</v>
      </c>
      <c r="O18" s="3" t="s">
        <v>69</v>
      </c>
      <c r="P18" s="2">
        <v>1</v>
      </c>
      <c r="Q18" s="6" t="s">
        <v>3</v>
      </c>
      <c r="R18" s="4">
        <v>131.37</v>
      </c>
      <c r="S18" s="4">
        <v>61.65</v>
      </c>
      <c r="T18" s="4">
        <v>69.72</v>
      </c>
      <c r="U18" s="4">
        <f>IFERROR(tblInventory[[#This Row],[Gross_Profit_30D]]/tblInventory[[#This Row],[Sales_Revenue_30D]],0)</f>
        <v>0.53071477506279974</v>
      </c>
      <c r="V18" s="2">
        <v>4500.45</v>
      </c>
    </row>
    <row r="19" spans="1:22" x14ac:dyDescent="0.3">
      <c r="A19" s="2" t="s">
        <v>131</v>
      </c>
      <c r="B19" s="2" t="s">
        <v>71</v>
      </c>
      <c r="C19" s="2" t="s">
        <v>8</v>
      </c>
      <c r="D19" s="2" t="s">
        <v>132</v>
      </c>
      <c r="E19" s="2" t="s">
        <v>78</v>
      </c>
      <c r="F19" s="2" t="s">
        <v>133</v>
      </c>
      <c r="G19" s="3">
        <v>490</v>
      </c>
      <c r="H19" s="4">
        <v>160.30000000000001</v>
      </c>
      <c r="I19" s="4">
        <v>265.62</v>
      </c>
      <c r="J19" s="3">
        <v>25</v>
      </c>
      <c r="K19" s="3">
        <f>tblInventory[[#This Row],[Qty_On_Hand]]*tblInventory[[#This Row],[Unit_Cost]]</f>
        <v>4007.5000000000005</v>
      </c>
      <c r="L19" s="3">
        <v>100</v>
      </c>
      <c r="M19" s="3">
        <f>IF(tblInventory[[#This Row],[Qty_On_Hand]]&lt;=tblInventory[[#This Row],[Reorder_Level]],1,0)</f>
        <v>1</v>
      </c>
      <c r="N19" s="3">
        <v>174</v>
      </c>
      <c r="O19" s="3" t="s">
        <v>110</v>
      </c>
      <c r="P19" s="2">
        <v>54</v>
      </c>
      <c r="Q19" s="6" t="s">
        <v>3</v>
      </c>
      <c r="R19" s="4">
        <v>14343.48</v>
      </c>
      <c r="S19" s="4">
        <v>8656.2000000000007</v>
      </c>
      <c r="T19" s="4">
        <v>5687.28</v>
      </c>
      <c r="U19" s="4">
        <f>IFERROR(tblInventory[[#This Row],[Gross_Profit_30D]]/tblInventory[[#This Row],[Sales_Revenue_30D]],0)</f>
        <v>0.3965062871771704</v>
      </c>
      <c r="V19" s="2">
        <v>4007.5</v>
      </c>
    </row>
    <row r="20" spans="1:22" x14ac:dyDescent="0.3">
      <c r="A20" s="2" t="s">
        <v>134</v>
      </c>
      <c r="B20" s="2" t="s">
        <v>135</v>
      </c>
      <c r="C20" s="2" t="s">
        <v>2</v>
      </c>
      <c r="D20" s="2" t="s">
        <v>108</v>
      </c>
      <c r="E20" s="2" t="s">
        <v>73</v>
      </c>
      <c r="F20" s="2" t="s">
        <v>136</v>
      </c>
      <c r="G20" s="3">
        <v>463</v>
      </c>
      <c r="H20" s="4">
        <v>397.01</v>
      </c>
      <c r="I20" s="4">
        <v>573.84</v>
      </c>
      <c r="J20" s="3">
        <v>64</v>
      </c>
      <c r="K20" s="3">
        <f>tblInventory[[#This Row],[Qty_On_Hand]]*tblInventory[[#This Row],[Unit_Cost]]</f>
        <v>25408.639999999999</v>
      </c>
      <c r="L20" s="3">
        <v>70</v>
      </c>
      <c r="M20" s="3">
        <f>IF(tblInventory[[#This Row],[Qty_On_Hand]]&lt;=tblInventory[[#This Row],[Reorder_Level]],1,0)</f>
        <v>1</v>
      </c>
      <c r="N20" s="3">
        <v>140</v>
      </c>
      <c r="O20" s="3" t="s">
        <v>137</v>
      </c>
      <c r="P20" s="2">
        <v>108</v>
      </c>
      <c r="Q20" s="6" t="s">
        <v>3</v>
      </c>
      <c r="R20" s="4">
        <v>61974.720000000001</v>
      </c>
      <c r="S20" s="4">
        <v>42877.08</v>
      </c>
      <c r="T20" s="4">
        <v>19097.64</v>
      </c>
      <c r="U20" s="4">
        <f>IFERROR(tblInventory[[#This Row],[Gross_Profit_30D]]/tblInventory[[#This Row],[Sales_Revenue_30D]],0)</f>
        <v>0.30815209814582462</v>
      </c>
      <c r="V20" s="2">
        <v>25408.639999999999</v>
      </c>
    </row>
    <row r="21" spans="1:22" x14ac:dyDescent="0.3">
      <c r="A21" s="2" t="s">
        <v>138</v>
      </c>
      <c r="B21" s="2" t="s">
        <v>31</v>
      </c>
      <c r="C21" s="2" t="s">
        <v>6</v>
      </c>
      <c r="D21" s="2" t="s">
        <v>66</v>
      </c>
      <c r="E21" s="2" t="s">
        <v>78</v>
      </c>
      <c r="F21" s="2" t="s">
        <v>139</v>
      </c>
      <c r="G21" s="3">
        <v>422</v>
      </c>
      <c r="H21" s="4">
        <v>1605.17</v>
      </c>
      <c r="I21" s="4">
        <v>2349.81</v>
      </c>
      <c r="J21" s="3">
        <v>35</v>
      </c>
      <c r="K21" s="3">
        <f>tblInventory[[#This Row],[Qty_On_Hand]]*tblInventory[[#This Row],[Unit_Cost]]</f>
        <v>56180.950000000004</v>
      </c>
      <c r="L21" s="3">
        <v>39</v>
      </c>
      <c r="M21" s="3">
        <f>IF(tblInventory[[#This Row],[Qty_On_Hand]]&lt;=tblInventory[[#This Row],[Reorder_Level]],1,0)</f>
        <v>1</v>
      </c>
      <c r="N21" s="3">
        <v>98</v>
      </c>
      <c r="O21" s="3" t="s">
        <v>140</v>
      </c>
      <c r="P21" s="2">
        <v>137</v>
      </c>
      <c r="Q21" s="6" t="s">
        <v>3</v>
      </c>
      <c r="R21" s="4">
        <v>321923.96999999997</v>
      </c>
      <c r="S21" s="4">
        <v>219908.29</v>
      </c>
      <c r="T21" s="4">
        <v>102015.67999999999</v>
      </c>
      <c r="U21" s="4">
        <f>IFERROR(tblInventory[[#This Row],[Gross_Profit_30D]]/tblInventory[[#This Row],[Sales_Revenue_30D]],0)</f>
        <v>0.3168937062996583</v>
      </c>
      <c r="V21" s="2">
        <v>56180.95</v>
      </c>
    </row>
    <row r="22" spans="1:22" x14ac:dyDescent="0.3">
      <c r="A22" s="2" t="s">
        <v>141</v>
      </c>
      <c r="B22" s="2" t="s">
        <v>142</v>
      </c>
      <c r="C22" s="2" t="s">
        <v>6</v>
      </c>
      <c r="D22" s="2" t="s">
        <v>128</v>
      </c>
      <c r="E22" s="2" t="s">
        <v>73</v>
      </c>
      <c r="F22" s="2" t="s">
        <v>143</v>
      </c>
      <c r="G22" s="3">
        <v>177</v>
      </c>
      <c r="H22" s="4">
        <v>897.4</v>
      </c>
      <c r="I22" s="4">
        <v>2326.08</v>
      </c>
      <c r="J22" s="3">
        <v>40</v>
      </c>
      <c r="K22" s="3">
        <f>tblInventory[[#This Row],[Qty_On_Hand]]*tblInventory[[#This Row],[Unit_Cost]]</f>
        <v>35896</v>
      </c>
      <c r="L22" s="3">
        <v>85</v>
      </c>
      <c r="M22" s="3">
        <f>IF(tblInventory[[#This Row],[Qty_On_Hand]]&lt;=tblInventory[[#This Row],[Reorder_Level]],1,0)</f>
        <v>1</v>
      </c>
      <c r="N22" s="3">
        <v>75</v>
      </c>
      <c r="O22" s="3" t="s">
        <v>144</v>
      </c>
      <c r="P22" s="2">
        <v>12</v>
      </c>
      <c r="Q22" s="6" t="s">
        <v>3</v>
      </c>
      <c r="R22" s="4">
        <v>27912.959999999999</v>
      </c>
      <c r="S22" s="4">
        <v>10768.8</v>
      </c>
      <c r="T22" s="4">
        <v>17144.16</v>
      </c>
      <c r="U22" s="4">
        <f>IFERROR(tblInventory[[#This Row],[Gross_Profit_30D]]/tblInventory[[#This Row],[Sales_Revenue_30D]],0)</f>
        <v>0.61420071536662546</v>
      </c>
      <c r="V22" s="2">
        <v>35896</v>
      </c>
    </row>
    <row r="23" spans="1:22" x14ac:dyDescent="0.3">
      <c r="A23" s="2" t="s">
        <v>145</v>
      </c>
      <c r="B23" s="2" t="s">
        <v>146</v>
      </c>
      <c r="C23" s="2" t="s">
        <v>7</v>
      </c>
      <c r="D23" s="2" t="s">
        <v>66</v>
      </c>
      <c r="E23" s="2" t="s">
        <v>78</v>
      </c>
      <c r="F23" s="2" t="s">
        <v>129</v>
      </c>
      <c r="G23" s="3">
        <v>135</v>
      </c>
      <c r="H23" s="4">
        <v>981.57</v>
      </c>
      <c r="I23" s="4">
        <v>1590.75</v>
      </c>
      <c r="J23" s="3">
        <v>23</v>
      </c>
      <c r="K23" s="3">
        <f>tblInventory[[#This Row],[Qty_On_Hand]]*tblInventory[[#This Row],[Unit_Cost]]</f>
        <v>22576.11</v>
      </c>
      <c r="L23" s="3">
        <v>66</v>
      </c>
      <c r="M23" s="3">
        <f>IF(tblInventory[[#This Row],[Qty_On_Hand]]&lt;=tblInventory[[#This Row],[Reorder_Level]],1,0)</f>
        <v>1</v>
      </c>
      <c r="N23" s="3">
        <v>281</v>
      </c>
      <c r="O23" s="3" t="s">
        <v>69</v>
      </c>
      <c r="P23" s="2">
        <v>15</v>
      </c>
      <c r="Q23" s="6" t="s">
        <v>3</v>
      </c>
      <c r="R23" s="4">
        <v>23861.25</v>
      </c>
      <c r="S23" s="4">
        <v>14723.55</v>
      </c>
      <c r="T23" s="4">
        <v>9137.7000000000007</v>
      </c>
      <c r="U23" s="4">
        <f>IFERROR(tblInventory[[#This Row],[Gross_Profit_30D]]/tblInventory[[#This Row],[Sales_Revenue_30D]],0)</f>
        <v>0.382951438000943</v>
      </c>
      <c r="V23" s="2">
        <v>22576.11</v>
      </c>
    </row>
    <row r="24" spans="1:22" x14ac:dyDescent="0.3">
      <c r="A24" s="2" t="s">
        <v>147</v>
      </c>
      <c r="B24" s="2" t="s">
        <v>148</v>
      </c>
      <c r="C24" s="2" t="s">
        <v>4</v>
      </c>
      <c r="D24" s="2" t="s">
        <v>66</v>
      </c>
      <c r="E24" s="2" t="s">
        <v>91</v>
      </c>
      <c r="F24" s="2" t="s">
        <v>149</v>
      </c>
      <c r="G24" s="3">
        <v>196</v>
      </c>
      <c r="H24" s="4">
        <v>1399.25</v>
      </c>
      <c r="I24" s="4">
        <v>3352.26</v>
      </c>
      <c r="J24" s="3">
        <v>63</v>
      </c>
      <c r="K24" s="3">
        <f>tblInventory[[#This Row],[Qty_On_Hand]]*tblInventory[[#This Row],[Unit_Cost]]</f>
        <v>88152.75</v>
      </c>
      <c r="L24" s="3">
        <v>86</v>
      </c>
      <c r="M24" s="3">
        <f>IF(tblInventory[[#This Row],[Qty_On_Hand]]&lt;=tblInventory[[#This Row],[Reorder_Level]],1,0)</f>
        <v>1</v>
      </c>
      <c r="N24" s="3">
        <v>219</v>
      </c>
      <c r="O24" s="3" t="s">
        <v>144</v>
      </c>
      <c r="P24" s="2">
        <v>124</v>
      </c>
      <c r="Q24" s="6" t="s">
        <v>3</v>
      </c>
      <c r="R24" s="4">
        <v>415680.24</v>
      </c>
      <c r="S24" s="4">
        <v>173507</v>
      </c>
      <c r="T24" s="4">
        <v>242173.24</v>
      </c>
      <c r="U24" s="4">
        <f>IFERROR(tblInventory[[#This Row],[Gross_Profit_30D]]/tblInventory[[#This Row],[Sales_Revenue_30D]],0)</f>
        <v>0.58259502544552033</v>
      </c>
      <c r="V24" s="2">
        <v>88152.75</v>
      </c>
    </row>
    <row r="25" spans="1:22" x14ac:dyDescent="0.3">
      <c r="A25" s="2" t="s">
        <v>150</v>
      </c>
      <c r="B25" s="2" t="s">
        <v>20</v>
      </c>
      <c r="C25" s="2" t="s">
        <v>4</v>
      </c>
      <c r="D25" s="2" t="s">
        <v>77</v>
      </c>
      <c r="E25" s="2" t="s">
        <v>73</v>
      </c>
      <c r="F25" s="2" t="s">
        <v>139</v>
      </c>
      <c r="G25" s="3">
        <v>426</v>
      </c>
      <c r="H25" s="4">
        <v>140.69999999999999</v>
      </c>
      <c r="I25" s="4">
        <v>249.1</v>
      </c>
      <c r="J25" s="3">
        <v>2</v>
      </c>
      <c r="K25" s="3">
        <f>tblInventory[[#This Row],[Qty_On_Hand]]*tblInventory[[#This Row],[Unit_Cost]]</f>
        <v>281.39999999999998</v>
      </c>
      <c r="L25" s="3">
        <v>21</v>
      </c>
      <c r="M25" s="3">
        <f>IF(tblInventory[[#This Row],[Qty_On_Hand]]&lt;=tblInventory[[#This Row],[Reorder_Level]],1,0)</f>
        <v>1</v>
      </c>
      <c r="N25" s="3">
        <v>199</v>
      </c>
      <c r="O25" s="3" t="s">
        <v>101</v>
      </c>
      <c r="P25" s="2">
        <v>122</v>
      </c>
      <c r="Q25" s="6" t="s">
        <v>3</v>
      </c>
      <c r="R25" s="4">
        <v>30390.2</v>
      </c>
      <c r="S25" s="4">
        <v>17165.400000000001</v>
      </c>
      <c r="T25" s="4">
        <v>13224.8</v>
      </c>
      <c r="U25" s="4">
        <f>IFERROR(tblInventory[[#This Row],[Gross_Profit_30D]]/tblInventory[[#This Row],[Sales_Revenue_30D]],0)</f>
        <v>0.43516659975913285</v>
      </c>
      <c r="V25" s="2">
        <v>281.39999999999998</v>
      </c>
    </row>
    <row r="26" spans="1:22" x14ac:dyDescent="0.3">
      <c r="A26" s="2" t="s">
        <v>151</v>
      </c>
      <c r="B26" s="2" t="s">
        <v>152</v>
      </c>
      <c r="C26" s="2" t="s">
        <v>2</v>
      </c>
      <c r="D26" s="2" t="s">
        <v>96</v>
      </c>
      <c r="E26" s="2" t="s">
        <v>78</v>
      </c>
      <c r="F26" s="2" t="s">
        <v>153</v>
      </c>
      <c r="G26" s="3">
        <v>485</v>
      </c>
      <c r="H26" s="4">
        <v>155.66999999999999</v>
      </c>
      <c r="I26" s="4">
        <v>218.24</v>
      </c>
      <c r="J26" s="3">
        <v>6</v>
      </c>
      <c r="K26" s="3">
        <f>tblInventory[[#This Row],[Qty_On_Hand]]*tblInventory[[#This Row],[Unit_Cost]]</f>
        <v>934.02</v>
      </c>
      <c r="L26" s="3">
        <v>45</v>
      </c>
      <c r="M26" s="3">
        <f>IF(tblInventory[[#This Row],[Qty_On_Hand]]&lt;=tblInventory[[#This Row],[Reorder_Level]],1,0)</f>
        <v>1</v>
      </c>
      <c r="N26" s="3">
        <v>153</v>
      </c>
      <c r="O26" s="3" t="s">
        <v>126</v>
      </c>
      <c r="P26" s="2">
        <v>30</v>
      </c>
      <c r="Q26" s="6" t="s">
        <v>3</v>
      </c>
      <c r="R26" s="4">
        <v>6547.2</v>
      </c>
      <c r="S26" s="4">
        <v>4670.1000000000004</v>
      </c>
      <c r="T26" s="4">
        <v>1877.1</v>
      </c>
      <c r="U26" s="4">
        <f>IFERROR(tblInventory[[#This Row],[Gross_Profit_30D]]/tblInventory[[#This Row],[Sales_Revenue_30D]],0)</f>
        <v>0.28670271260997066</v>
      </c>
      <c r="V26" s="2">
        <v>934.02</v>
      </c>
    </row>
    <row r="27" spans="1:22" x14ac:dyDescent="0.3">
      <c r="A27" s="2" t="s">
        <v>154</v>
      </c>
      <c r="B27" s="2" t="s">
        <v>95</v>
      </c>
      <c r="C27" s="2" t="s">
        <v>2</v>
      </c>
      <c r="D27" s="2" t="s">
        <v>66</v>
      </c>
      <c r="E27" s="2" t="s">
        <v>86</v>
      </c>
      <c r="F27" s="2" t="s">
        <v>155</v>
      </c>
      <c r="G27" s="3">
        <v>386</v>
      </c>
      <c r="H27" s="4">
        <v>1139.1500000000001</v>
      </c>
      <c r="I27" s="4">
        <v>2021.48</v>
      </c>
      <c r="J27" s="3">
        <v>4</v>
      </c>
      <c r="K27" s="3">
        <f>tblInventory[[#This Row],[Qty_On_Hand]]*tblInventory[[#This Row],[Unit_Cost]]</f>
        <v>4556.6000000000004</v>
      </c>
      <c r="L27" s="3">
        <v>48</v>
      </c>
      <c r="M27" s="3">
        <f>IF(tblInventory[[#This Row],[Qty_On_Hand]]&lt;=tblInventory[[#This Row],[Reorder_Level]],1,0)</f>
        <v>1</v>
      </c>
      <c r="N27" s="3">
        <v>102</v>
      </c>
      <c r="O27" s="3" t="s">
        <v>156</v>
      </c>
      <c r="P27" s="2">
        <v>80</v>
      </c>
      <c r="Q27" s="6" t="s">
        <v>3</v>
      </c>
      <c r="R27" s="4">
        <v>161718.39999999999</v>
      </c>
      <c r="S27" s="4">
        <v>91132</v>
      </c>
      <c r="T27" s="4">
        <v>70586.399999999994</v>
      </c>
      <c r="U27" s="4">
        <f>IFERROR(tblInventory[[#This Row],[Gross_Profit_30D]]/tblInventory[[#This Row],[Sales_Revenue_30D]],0)</f>
        <v>0.43647723450145437</v>
      </c>
      <c r="V27" s="2">
        <v>4556.6000000000004</v>
      </c>
    </row>
    <row r="28" spans="1:22" x14ac:dyDescent="0.3">
      <c r="A28" s="2" t="s">
        <v>157</v>
      </c>
      <c r="B28" s="2" t="s">
        <v>103</v>
      </c>
      <c r="C28" s="2" t="s">
        <v>4</v>
      </c>
      <c r="D28" s="2" t="s">
        <v>128</v>
      </c>
      <c r="E28" s="2" t="s">
        <v>73</v>
      </c>
      <c r="F28" s="2" t="s">
        <v>158</v>
      </c>
      <c r="G28" s="3">
        <v>203</v>
      </c>
      <c r="H28" s="4">
        <v>646.03</v>
      </c>
      <c r="I28" s="4">
        <v>1568.43</v>
      </c>
      <c r="J28" s="3">
        <v>8</v>
      </c>
      <c r="K28" s="3">
        <f>tblInventory[[#This Row],[Qty_On_Hand]]*tblInventory[[#This Row],[Unit_Cost]]</f>
        <v>5168.24</v>
      </c>
      <c r="L28" s="3">
        <v>24</v>
      </c>
      <c r="M28" s="3">
        <f>IF(tblInventory[[#This Row],[Qty_On_Hand]]&lt;=tblInventory[[#This Row],[Reorder_Level]],1,0)</f>
        <v>1</v>
      </c>
      <c r="N28" s="3">
        <v>52</v>
      </c>
      <c r="O28" s="3" t="s">
        <v>118</v>
      </c>
      <c r="P28" s="2">
        <v>117</v>
      </c>
      <c r="Q28" s="6" t="s">
        <v>3</v>
      </c>
      <c r="R28" s="4">
        <v>183506.31</v>
      </c>
      <c r="S28" s="4">
        <v>75585.509999999995</v>
      </c>
      <c r="T28" s="4">
        <v>107920.8</v>
      </c>
      <c r="U28" s="4">
        <f>IFERROR(tblInventory[[#This Row],[Gross_Profit_30D]]/tblInventory[[#This Row],[Sales_Revenue_30D]],0)</f>
        <v>0.58810402759447344</v>
      </c>
      <c r="V28" s="2">
        <v>5168.24</v>
      </c>
    </row>
    <row r="29" spans="1:22" x14ac:dyDescent="0.3">
      <c r="A29" s="2" t="s">
        <v>159</v>
      </c>
      <c r="B29" s="2" t="s">
        <v>160</v>
      </c>
      <c r="C29" s="2" t="s">
        <v>2</v>
      </c>
      <c r="D29" s="2" t="s">
        <v>72</v>
      </c>
      <c r="E29" s="2" t="s">
        <v>78</v>
      </c>
      <c r="F29" s="2" t="s">
        <v>161</v>
      </c>
      <c r="G29" s="3">
        <v>309</v>
      </c>
      <c r="H29" s="4">
        <v>282.26</v>
      </c>
      <c r="I29" s="4">
        <v>514.70000000000005</v>
      </c>
      <c r="J29" s="3">
        <v>20</v>
      </c>
      <c r="K29" s="3">
        <f>tblInventory[[#This Row],[Qty_On_Hand]]*tblInventory[[#This Row],[Unit_Cost]]</f>
        <v>5645.2</v>
      </c>
      <c r="L29" s="3">
        <v>23</v>
      </c>
      <c r="M29" s="3">
        <f>IF(tblInventory[[#This Row],[Qty_On_Hand]]&lt;=tblInventory[[#This Row],[Reorder_Level]],1,0)</f>
        <v>1</v>
      </c>
      <c r="N29" s="3">
        <v>275</v>
      </c>
      <c r="O29" s="3" t="s">
        <v>162</v>
      </c>
      <c r="P29" s="2">
        <v>62</v>
      </c>
      <c r="Q29" s="6" t="s">
        <v>3</v>
      </c>
      <c r="R29" s="4">
        <v>31911.4</v>
      </c>
      <c r="S29" s="4">
        <v>17500.12</v>
      </c>
      <c r="T29" s="4">
        <v>14411.28</v>
      </c>
      <c r="U29" s="4">
        <f>IFERROR(tblInventory[[#This Row],[Gross_Profit_30D]]/tblInventory[[#This Row],[Sales_Revenue_30D]],0)</f>
        <v>0.45160287546143385</v>
      </c>
      <c r="V29" s="2">
        <v>5645.2</v>
      </c>
    </row>
    <row r="30" spans="1:22" x14ac:dyDescent="0.3">
      <c r="A30" s="2" t="s">
        <v>163</v>
      </c>
      <c r="B30" s="2" t="s">
        <v>164</v>
      </c>
      <c r="C30" s="2" t="s">
        <v>0</v>
      </c>
      <c r="D30" s="2" t="s">
        <v>96</v>
      </c>
      <c r="E30" s="2" t="s">
        <v>91</v>
      </c>
      <c r="F30" s="2" t="s">
        <v>165</v>
      </c>
      <c r="G30" s="3">
        <v>410</v>
      </c>
      <c r="H30" s="4">
        <v>1231.1199999999999</v>
      </c>
      <c r="I30" s="4">
        <v>3423.56</v>
      </c>
      <c r="J30" s="3">
        <v>29</v>
      </c>
      <c r="K30" s="3">
        <f>tblInventory[[#This Row],[Qty_On_Hand]]*tblInventory[[#This Row],[Unit_Cost]]</f>
        <v>35702.479999999996</v>
      </c>
      <c r="L30" s="3">
        <v>98</v>
      </c>
      <c r="M30" s="3">
        <f>IF(tblInventory[[#This Row],[Qty_On_Hand]]&lt;=tblInventory[[#This Row],[Reorder_Level]],1,0)</f>
        <v>1</v>
      </c>
      <c r="N30" s="3">
        <v>185</v>
      </c>
      <c r="O30" s="3" t="s">
        <v>105</v>
      </c>
      <c r="P30" s="2">
        <v>2</v>
      </c>
      <c r="Q30" s="6" t="s">
        <v>3</v>
      </c>
      <c r="R30" s="4">
        <v>6847.12</v>
      </c>
      <c r="S30" s="4">
        <v>2462.2399999999998</v>
      </c>
      <c r="T30" s="4">
        <v>4384.88</v>
      </c>
      <c r="U30" s="4">
        <f>IFERROR(tblInventory[[#This Row],[Gross_Profit_30D]]/tblInventory[[#This Row],[Sales_Revenue_30D]],0)</f>
        <v>0.64039771465959416</v>
      </c>
      <c r="V30" s="2">
        <v>35702.480000000003</v>
      </c>
    </row>
    <row r="31" spans="1:22" x14ac:dyDescent="0.3">
      <c r="A31" s="2" t="s">
        <v>166</v>
      </c>
      <c r="B31" s="2" t="s">
        <v>146</v>
      </c>
      <c r="C31" s="2" t="s">
        <v>7</v>
      </c>
      <c r="D31" s="2" t="s">
        <v>77</v>
      </c>
      <c r="E31" s="2" t="s">
        <v>78</v>
      </c>
      <c r="F31" s="2" t="s">
        <v>167</v>
      </c>
      <c r="G31" s="3">
        <v>185</v>
      </c>
      <c r="H31" s="4">
        <v>1781.63</v>
      </c>
      <c r="I31" s="4">
        <v>4300.1899999999996</v>
      </c>
      <c r="J31" s="3">
        <v>2</v>
      </c>
      <c r="K31" s="3">
        <f>tblInventory[[#This Row],[Qty_On_Hand]]*tblInventory[[#This Row],[Unit_Cost]]</f>
        <v>3563.26</v>
      </c>
      <c r="L31" s="3">
        <v>34</v>
      </c>
      <c r="M31" s="3">
        <f>IF(tblInventory[[#This Row],[Qty_On_Hand]]&lt;=tblInventory[[#This Row],[Reorder_Level]],1,0)</f>
        <v>1</v>
      </c>
      <c r="N31" s="3">
        <v>119</v>
      </c>
      <c r="O31" s="3" t="s">
        <v>168</v>
      </c>
      <c r="P31" s="2">
        <v>72</v>
      </c>
      <c r="Q31" s="6" t="s">
        <v>3</v>
      </c>
      <c r="R31" s="4">
        <v>309613.68</v>
      </c>
      <c r="S31" s="4">
        <v>128277.36</v>
      </c>
      <c r="T31" s="4">
        <v>181336.32000000001</v>
      </c>
      <c r="U31" s="4">
        <f>IFERROR(tblInventory[[#This Row],[Gross_Profit_30D]]/tblInventory[[#This Row],[Sales_Revenue_30D]],0)</f>
        <v>0.58568574876924051</v>
      </c>
      <c r="V31" s="2">
        <v>3563.26</v>
      </c>
    </row>
    <row r="32" spans="1:22" x14ac:dyDescent="0.3">
      <c r="A32" s="2" t="s">
        <v>169</v>
      </c>
      <c r="B32" s="2" t="s">
        <v>95</v>
      </c>
      <c r="C32" s="2" t="s">
        <v>2</v>
      </c>
      <c r="D32" s="2" t="s">
        <v>81</v>
      </c>
      <c r="E32" s="2" t="s">
        <v>73</v>
      </c>
      <c r="F32" s="2" t="s">
        <v>170</v>
      </c>
      <c r="G32" s="3">
        <v>486</v>
      </c>
      <c r="H32" s="4">
        <v>1020.71</v>
      </c>
      <c r="I32" s="4">
        <v>1711.41</v>
      </c>
      <c r="J32" s="3">
        <v>17</v>
      </c>
      <c r="K32" s="3">
        <f>tblInventory[[#This Row],[Qty_On_Hand]]*tblInventory[[#This Row],[Unit_Cost]]</f>
        <v>17352.07</v>
      </c>
      <c r="L32" s="3">
        <v>21</v>
      </c>
      <c r="M32" s="3">
        <f>IF(tblInventory[[#This Row],[Qty_On_Hand]]&lt;=tblInventory[[#This Row],[Reorder_Level]],1,0)</f>
        <v>1</v>
      </c>
      <c r="N32" s="3">
        <v>73</v>
      </c>
      <c r="O32" s="3" t="s">
        <v>118</v>
      </c>
      <c r="P32" s="2">
        <v>108</v>
      </c>
      <c r="Q32" s="6" t="s">
        <v>3</v>
      </c>
      <c r="R32" s="4">
        <v>184832.28</v>
      </c>
      <c r="S32" s="4">
        <v>110236.68</v>
      </c>
      <c r="T32" s="4">
        <v>74595.600000000006</v>
      </c>
      <c r="U32" s="4">
        <f>IFERROR(tblInventory[[#This Row],[Gross_Profit_30D]]/tblInventory[[#This Row],[Sales_Revenue_30D]],0)</f>
        <v>0.40358534775419103</v>
      </c>
      <c r="V32" s="2">
        <v>17352.07</v>
      </c>
    </row>
    <row r="33" spans="1:22" x14ac:dyDescent="0.3">
      <c r="A33" s="2" t="s">
        <v>171</v>
      </c>
      <c r="B33" s="2" t="s">
        <v>172</v>
      </c>
      <c r="C33" s="2" t="s">
        <v>0</v>
      </c>
      <c r="D33" s="2" t="s">
        <v>66</v>
      </c>
      <c r="E33" s="2" t="s">
        <v>67</v>
      </c>
      <c r="F33" s="2" t="s">
        <v>173</v>
      </c>
      <c r="G33" s="3">
        <v>376</v>
      </c>
      <c r="H33" s="4">
        <v>339.93</v>
      </c>
      <c r="I33" s="4">
        <v>667.2</v>
      </c>
      <c r="J33" s="3">
        <v>62</v>
      </c>
      <c r="K33" s="3">
        <f>tblInventory[[#This Row],[Qty_On_Hand]]*tblInventory[[#This Row],[Unit_Cost]]</f>
        <v>21075.66</v>
      </c>
      <c r="L33" s="3">
        <v>69</v>
      </c>
      <c r="M33" s="3">
        <f>IF(tblInventory[[#This Row],[Qty_On_Hand]]&lt;=tblInventory[[#This Row],[Reorder_Level]],1,0)</f>
        <v>1</v>
      </c>
      <c r="N33" s="3">
        <v>193</v>
      </c>
      <c r="O33" s="3" t="s">
        <v>168</v>
      </c>
      <c r="P33" s="2">
        <v>2</v>
      </c>
      <c r="Q33" s="6" t="s">
        <v>3</v>
      </c>
      <c r="R33" s="4">
        <v>1334.4</v>
      </c>
      <c r="S33" s="4">
        <v>679.86</v>
      </c>
      <c r="T33" s="4">
        <v>654.54</v>
      </c>
      <c r="U33" s="4">
        <f>IFERROR(tblInventory[[#This Row],[Gross_Profit_30D]]/tblInventory[[#This Row],[Sales_Revenue_30D]],0)</f>
        <v>0.49051258992805752</v>
      </c>
      <c r="V33" s="2">
        <v>21075.66</v>
      </c>
    </row>
    <row r="34" spans="1:22" x14ac:dyDescent="0.3">
      <c r="A34" s="2" t="s">
        <v>174</v>
      </c>
      <c r="B34" s="2" t="s">
        <v>175</v>
      </c>
      <c r="C34" s="2" t="s">
        <v>8</v>
      </c>
      <c r="D34" s="2" t="s">
        <v>96</v>
      </c>
      <c r="E34" s="2" t="s">
        <v>86</v>
      </c>
      <c r="F34" s="2" t="s">
        <v>176</v>
      </c>
      <c r="G34" s="3">
        <v>348</v>
      </c>
      <c r="H34" s="4">
        <v>313.23</v>
      </c>
      <c r="I34" s="4">
        <v>467.08</v>
      </c>
      <c r="J34" s="3">
        <v>1</v>
      </c>
      <c r="K34" s="3">
        <f>tblInventory[[#This Row],[Qty_On_Hand]]*tblInventory[[#This Row],[Unit_Cost]]</f>
        <v>313.23</v>
      </c>
      <c r="L34" s="3">
        <v>54</v>
      </c>
      <c r="M34" s="3">
        <f>IF(tblInventory[[#This Row],[Qty_On_Hand]]&lt;=tblInventory[[#This Row],[Reorder_Level]],1,0)</f>
        <v>1</v>
      </c>
      <c r="N34" s="3">
        <v>143</v>
      </c>
      <c r="O34" s="3" t="s">
        <v>93</v>
      </c>
      <c r="P34" s="2">
        <v>10</v>
      </c>
      <c r="Q34" s="6" t="s">
        <v>3</v>
      </c>
      <c r="R34" s="4">
        <v>4670.8</v>
      </c>
      <c r="S34" s="4">
        <v>3132.3</v>
      </c>
      <c r="T34" s="4">
        <v>1538.5</v>
      </c>
      <c r="U34" s="4">
        <f>IFERROR(tblInventory[[#This Row],[Gross_Profit_30D]]/tblInventory[[#This Row],[Sales_Revenue_30D]],0)</f>
        <v>0.32938682880876935</v>
      </c>
      <c r="V34" s="2">
        <v>313.23</v>
      </c>
    </row>
    <row r="35" spans="1:22" x14ac:dyDescent="0.3">
      <c r="A35" s="2" t="s">
        <v>177</v>
      </c>
      <c r="B35" s="2" t="s">
        <v>178</v>
      </c>
      <c r="C35" s="2" t="s">
        <v>0</v>
      </c>
      <c r="D35" s="2" t="s">
        <v>132</v>
      </c>
      <c r="E35" s="2" t="s">
        <v>78</v>
      </c>
      <c r="F35" s="2" t="s">
        <v>179</v>
      </c>
      <c r="G35" s="3">
        <v>497</v>
      </c>
      <c r="H35" s="4">
        <v>1948.2</v>
      </c>
      <c r="I35" s="4">
        <v>4722.8599999999997</v>
      </c>
      <c r="J35" s="3">
        <v>22</v>
      </c>
      <c r="K35" s="3">
        <f>tblInventory[[#This Row],[Qty_On_Hand]]*tblInventory[[#This Row],[Unit_Cost]]</f>
        <v>42860.4</v>
      </c>
      <c r="L35" s="3">
        <v>45</v>
      </c>
      <c r="M35" s="3">
        <f>IF(tblInventory[[#This Row],[Qty_On_Hand]]&lt;=tblInventory[[#This Row],[Reorder_Level]],1,0)</f>
        <v>1</v>
      </c>
      <c r="N35" s="3">
        <v>271</v>
      </c>
      <c r="O35" s="3" t="s">
        <v>105</v>
      </c>
      <c r="P35" s="2">
        <v>41</v>
      </c>
      <c r="Q35" s="6" t="s">
        <v>3</v>
      </c>
      <c r="R35" s="4">
        <v>193637.26</v>
      </c>
      <c r="S35" s="4">
        <v>79876.2</v>
      </c>
      <c r="T35" s="4">
        <v>113761.06</v>
      </c>
      <c r="U35" s="4">
        <f>IFERROR(tblInventory[[#This Row],[Gross_Profit_30D]]/tblInventory[[#This Row],[Sales_Revenue_30D]],0)</f>
        <v>0.58749571234379161</v>
      </c>
      <c r="V35" s="2">
        <v>42860.4</v>
      </c>
    </row>
    <row r="36" spans="1:22" x14ac:dyDescent="0.3">
      <c r="A36" s="2" t="s">
        <v>180</v>
      </c>
      <c r="B36" s="2" t="s">
        <v>148</v>
      </c>
      <c r="C36" s="2" t="s">
        <v>4</v>
      </c>
      <c r="D36" s="2" t="s">
        <v>66</v>
      </c>
      <c r="E36" s="2" t="s">
        <v>73</v>
      </c>
      <c r="F36" s="2" t="s">
        <v>181</v>
      </c>
      <c r="G36" s="3">
        <v>450</v>
      </c>
      <c r="H36" s="4">
        <v>1608.43</v>
      </c>
      <c r="I36" s="4">
        <v>4175.6400000000003</v>
      </c>
      <c r="J36" s="3">
        <v>40</v>
      </c>
      <c r="K36" s="3">
        <f>tblInventory[[#This Row],[Qty_On_Hand]]*tblInventory[[#This Row],[Unit_Cost]]</f>
        <v>64337.200000000004</v>
      </c>
      <c r="L36" s="3">
        <v>46</v>
      </c>
      <c r="M36" s="3">
        <f>IF(tblInventory[[#This Row],[Qty_On_Hand]]&lt;=tblInventory[[#This Row],[Reorder_Level]],1,0)</f>
        <v>1</v>
      </c>
      <c r="N36" s="3">
        <v>118</v>
      </c>
      <c r="O36" s="3" t="s">
        <v>182</v>
      </c>
      <c r="P36" s="2">
        <v>40</v>
      </c>
      <c r="Q36" s="6" t="s">
        <v>3</v>
      </c>
      <c r="R36" s="4">
        <v>167025.60000000001</v>
      </c>
      <c r="S36" s="4">
        <v>64337.2</v>
      </c>
      <c r="T36" s="4">
        <v>102688.4</v>
      </c>
      <c r="U36" s="4">
        <f>IFERROR(tblInventory[[#This Row],[Gross_Profit_30D]]/tblInventory[[#This Row],[Sales_Revenue_30D]],0)</f>
        <v>0.61480635303809705</v>
      </c>
      <c r="V36" s="2">
        <v>64337.2</v>
      </c>
    </row>
    <row r="37" spans="1:22" x14ac:dyDescent="0.3">
      <c r="A37" s="2" t="s">
        <v>183</v>
      </c>
      <c r="B37" s="2" t="s">
        <v>65</v>
      </c>
      <c r="C37" s="2" t="s">
        <v>7</v>
      </c>
      <c r="D37" s="2" t="s">
        <v>128</v>
      </c>
      <c r="E37" s="2" t="s">
        <v>78</v>
      </c>
      <c r="F37" s="2" t="s">
        <v>184</v>
      </c>
      <c r="G37" s="3">
        <v>163</v>
      </c>
      <c r="H37" s="4">
        <v>1636.84</v>
      </c>
      <c r="I37" s="4">
        <v>3258.06</v>
      </c>
      <c r="J37" s="3">
        <v>13</v>
      </c>
      <c r="K37" s="3">
        <f>tblInventory[[#This Row],[Qty_On_Hand]]*tblInventory[[#This Row],[Unit_Cost]]</f>
        <v>21278.92</v>
      </c>
      <c r="L37" s="3">
        <v>54</v>
      </c>
      <c r="M37" s="3">
        <f>IF(tblInventory[[#This Row],[Qty_On_Hand]]&lt;=tblInventory[[#This Row],[Reorder_Level]],1,0)</f>
        <v>1</v>
      </c>
      <c r="N37" s="3">
        <v>260</v>
      </c>
      <c r="O37" s="3" t="s">
        <v>137</v>
      </c>
      <c r="P37" s="2">
        <v>58</v>
      </c>
      <c r="Q37" s="6" t="s">
        <v>3</v>
      </c>
      <c r="R37" s="4">
        <v>188967.48</v>
      </c>
      <c r="S37" s="4">
        <v>94936.72</v>
      </c>
      <c r="T37" s="4">
        <v>94030.76</v>
      </c>
      <c r="U37" s="4">
        <f>IFERROR(tblInventory[[#This Row],[Gross_Profit_30D]]/tblInventory[[#This Row],[Sales_Revenue_30D]],0)</f>
        <v>0.49760286796437136</v>
      </c>
      <c r="V37" s="2">
        <v>21278.92</v>
      </c>
    </row>
    <row r="38" spans="1:22" x14ac:dyDescent="0.3">
      <c r="A38" s="2" t="s">
        <v>185</v>
      </c>
      <c r="B38" s="2" t="s">
        <v>186</v>
      </c>
      <c r="C38" s="2" t="s">
        <v>4</v>
      </c>
      <c r="D38" s="2" t="s">
        <v>132</v>
      </c>
      <c r="E38" s="2" t="s">
        <v>91</v>
      </c>
      <c r="F38" s="2" t="s">
        <v>187</v>
      </c>
      <c r="G38" s="3">
        <v>492</v>
      </c>
      <c r="H38" s="4">
        <v>1934.44</v>
      </c>
      <c r="I38" s="4">
        <v>3324.7</v>
      </c>
      <c r="J38" s="3">
        <v>17</v>
      </c>
      <c r="K38" s="3">
        <f>tblInventory[[#This Row],[Qty_On_Hand]]*tblInventory[[#This Row],[Unit_Cost]]</f>
        <v>32885.480000000003</v>
      </c>
      <c r="L38" s="3">
        <v>97</v>
      </c>
      <c r="M38" s="3">
        <f>IF(tblInventory[[#This Row],[Qty_On_Hand]]&lt;=tblInventory[[#This Row],[Reorder_Level]],1,0)</f>
        <v>1</v>
      </c>
      <c r="N38" s="3">
        <v>180</v>
      </c>
      <c r="O38" s="3" t="s">
        <v>83</v>
      </c>
      <c r="P38" s="2">
        <v>102</v>
      </c>
      <c r="Q38" s="6" t="s">
        <v>3</v>
      </c>
      <c r="R38" s="4">
        <v>339119.4</v>
      </c>
      <c r="S38" s="4">
        <v>197312.88</v>
      </c>
      <c r="T38" s="4">
        <v>141806.51999999999</v>
      </c>
      <c r="U38" s="4">
        <f>IFERROR(tblInventory[[#This Row],[Gross_Profit_30D]]/tblInventory[[#This Row],[Sales_Revenue_30D]],0)</f>
        <v>0.41816103708605284</v>
      </c>
      <c r="V38" s="2">
        <v>32885.480000000003</v>
      </c>
    </row>
    <row r="39" spans="1:22" x14ac:dyDescent="0.3">
      <c r="A39" s="2" t="s">
        <v>188</v>
      </c>
      <c r="B39" s="2" t="s">
        <v>146</v>
      </c>
      <c r="C39" s="2" t="s">
        <v>7</v>
      </c>
      <c r="D39" s="2" t="s">
        <v>81</v>
      </c>
      <c r="E39" s="2" t="s">
        <v>78</v>
      </c>
      <c r="F39" s="2" t="s">
        <v>189</v>
      </c>
      <c r="G39" s="3">
        <v>141</v>
      </c>
      <c r="H39" s="4">
        <v>95.75</v>
      </c>
      <c r="I39" s="4">
        <v>210.16</v>
      </c>
      <c r="J39" s="3">
        <v>22</v>
      </c>
      <c r="K39" s="3">
        <f>tblInventory[[#This Row],[Qty_On_Hand]]*tblInventory[[#This Row],[Unit_Cost]]</f>
        <v>2106.5</v>
      </c>
      <c r="L39" s="3">
        <v>59</v>
      </c>
      <c r="M39" s="3">
        <f>IF(tblInventory[[#This Row],[Qty_On_Hand]]&lt;=tblInventory[[#This Row],[Reorder_Level]],1,0)</f>
        <v>1</v>
      </c>
      <c r="N39" s="3">
        <v>236</v>
      </c>
      <c r="O39" s="3" t="s">
        <v>83</v>
      </c>
      <c r="P39" s="2">
        <v>80</v>
      </c>
      <c r="Q39" s="6" t="s">
        <v>3</v>
      </c>
      <c r="R39" s="4">
        <v>16812.8</v>
      </c>
      <c r="S39" s="4">
        <v>7660</v>
      </c>
      <c r="T39" s="4">
        <v>9152.7999999999993</v>
      </c>
      <c r="U39" s="4">
        <f>IFERROR(tblInventory[[#This Row],[Gross_Profit_30D]]/tblInventory[[#This Row],[Sales_Revenue_30D]],0)</f>
        <v>0.54439474685953559</v>
      </c>
      <c r="V39" s="2">
        <v>2106.5</v>
      </c>
    </row>
    <row r="40" spans="1:22" x14ac:dyDescent="0.3">
      <c r="A40" s="2" t="s">
        <v>190</v>
      </c>
      <c r="B40" s="2" t="s">
        <v>23</v>
      </c>
      <c r="C40" s="2" t="s">
        <v>6</v>
      </c>
      <c r="D40" s="2" t="s">
        <v>72</v>
      </c>
      <c r="E40" s="2" t="s">
        <v>91</v>
      </c>
      <c r="F40" s="2" t="s">
        <v>133</v>
      </c>
      <c r="G40" s="3">
        <v>147</v>
      </c>
      <c r="H40" s="4">
        <v>107.89</v>
      </c>
      <c r="I40" s="4">
        <v>210.83</v>
      </c>
      <c r="J40" s="3">
        <v>23</v>
      </c>
      <c r="K40" s="3">
        <f>tblInventory[[#This Row],[Qty_On_Hand]]*tblInventory[[#This Row],[Unit_Cost]]</f>
        <v>2481.4699999999998</v>
      </c>
      <c r="L40" s="3">
        <v>81</v>
      </c>
      <c r="M40" s="3">
        <f>IF(tblInventory[[#This Row],[Qty_On_Hand]]&lt;=tblInventory[[#This Row],[Reorder_Level]],1,0)</f>
        <v>1</v>
      </c>
      <c r="N40" s="3">
        <v>286</v>
      </c>
      <c r="O40" s="3" t="s">
        <v>101</v>
      </c>
      <c r="P40" s="2">
        <v>137</v>
      </c>
      <c r="Q40" s="6" t="s">
        <v>3</v>
      </c>
      <c r="R40" s="4">
        <v>28883.71</v>
      </c>
      <c r="S40" s="4">
        <v>14780.93</v>
      </c>
      <c r="T40" s="4">
        <v>14102.78</v>
      </c>
      <c r="U40" s="4">
        <f>IFERROR(tblInventory[[#This Row],[Gross_Profit_30D]]/tblInventory[[#This Row],[Sales_Revenue_30D]],0)</f>
        <v>0.48826068396338285</v>
      </c>
      <c r="V40" s="2">
        <v>2481.4699999999998</v>
      </c>
    </row>
    <row r="41" spans="1:22" x14ac:dyDescent="0.3">
      <c r="A41" s="2" t="s">
        <v>191</v>
      </c>
      <c r="B41" s="2" t="s">
        <v>192</v>
      </c>
      <c r="C41" s="2" t="s">
        <v>7</v>
      </c>
      <c r="D41" s="2" t="s">
        <v>81</v>
      </c>
      <c r="E41" s="2" t="s">
        <v>91</v>
      </c>
      <c r="F41" s="2" t="s">
        <v>193</v>
      </c>
      <c r="G41" s="3">
        <v>219</v>
      </c>
      <c r="H41" s="4">
        <v>641.54999999999995</v>
      </c>
      <c r="I41" s="4">
        <v>1650.08</v>
      </c>
      <c r="J41" s="3">
        <v>52</v>
      </c>
      <c r="K41" s="3">
        <f>tblInventory[[#This Row],[Qty_On_Hand]]*tblInventory[[#This Row],[Unit_Cost]]</f>
        <v>33360.6</v>
      </c>
      <c r="L41" s="3">
        <v>53</v>
      </c>
      <c r="M41" s="3">
        <f>IF(tblInventory[[#This Row],[Qty_On_Hand]]&lt;=tblInventory[[#This Row],[Reorder_Level]],1,0)</f>
        <v>1</v>
      </c>
      <c r="N41" s="3">
        <v>179</v>
      </c>
      <c r="O41" s="3" t="s">
        <v>194</v>
      </c>
      <c r="P41" s="2">
        <v>79</v>
      </c>
      <c r="Q41" s="6" t="s">
        <v>3</v>
      </c>
      <c r="R41" s="4">
        <v>130356.32</v>
      </c>
      <c r="S41" s="4">
        <v>50682.45</v>
      </c>
      <c r="T41" s="4">
        <v>79673.87</v>
      </c>
      <c r="U41" s="4">
        <f>IFERROR(tblInventory[[#This Row],[Gross_Profit_30D]]/tblInventory[[#This Row],[Sales_Revenue_30D]],0)</f>
        <v>0.61120066905846981</v>
      </c>
      <c r="V41" s="2">
        <v>33360.6</v>
      </c>
    </row>
    <row r="42" spans="1:22" x14ac:dyDescent="0.3">
      <c r="A42" s="2" t="s">
        <v>195</v>
      </c>
      <c r="B42" s="2" t="s">
        <v>196</v>
      </c>
      <c r="C42" s="2" t="s">
        <v>7</v>
      </c>
      <c r="D42" s="2" t="s">
        <v>81</v>
      </c>
      <c r="E42" s="2" t="s">
        <v>91</v>
      </c>
      <c r="F42" s="2" t="s">
        <v>197</v>
      </c>
      <c r="G42" s="3">
        <v>333</v>
      </c>
      <c r="H42" s="4">
        <v>399.84</v>
      </c>
      <c r="I42" s="4">
        <v>918.59</v>
      </c>
      <c r="J42" s="3">
        <v>55</v>
      </c>
      <c r="K42" s="3">
        <f>tblInventory[[#This Row],[Qty_On_Hand]]*tblInventory[[#This Row],[Unit_Cost]]</f>
        <v>21991.199999999997</v>
      </c>
      <c r="L42" s="3">
        <v>63</v>
      </c>
      <c r="M42" s="3">
        <f>IF(tblInventory[[#This Row],[Qty_On_Hand]]&lt;=tblInventory[[#This Row],[Reorder_Level]],1,0)</f>
        <v>1</v>
      </c>
      <c r="N42" s="3">
        <v>223</v>
      </c>
      <c r="O42" s="3" t="s">
        <v>198</v>
      </c>
      <c r="P42" s="2">
        <v>44</v>
      </c>
      <c r="Q42" s="6" t="s">
        <v>3</v>
      </c>
      <c r="R42" s="4">
        <v>40417.96</v>
      </c>
      <c r="S42" s="4">
        <v>17592.96</v>
      </c>
      <c r="T42" s="4">
        <v>22825</v>
      </c>
      <c r="U42" s="4">
        <f>IFERROR(tblInventory[[#This Row],[Gross_Profit_30D]]/tblInventory[[#This Row],[Sales_Revenue_30D]],0)</f>
        <v>0.56472419686693742</v>
      </c>
      <c r="V42" s="2">
        <v>21991.200000000001</v>
      </c>
    </row>
    <row r="43" spans="1:22" x14ac:dyDescent="0.3">
      <c r="A43" s="2" t="s">
        <v>199</v>
      </c>
      <c r="B43" s="2" t="s">
        <v>160</v>
      </c>
      <c r="C43" s="2" t="s">
        <v>2</v>
      </c>
      <c r="D43" s="2" t="s">
        <v>77</v>
      </c>
      <c r="E43" s="2" t="s">
        <v>91</v>
      </c>
      <c r="F43" s="2" t="s">
        <v>200</v>
      </c>
      <c r="G43" s="3">
        <v>205</v>
      </c>
      <c r="H43" s="4">
        <v>436.16</v>
      </c>
      <c r="I43" s="4">
        <v>1081.08</v>
      </c>
      <c r="J43" s="3">
        <v>42</v>
      </c>
      <c r="K43" s="3">
        <f>tblInventory[[#This Row],[Qty_On_Hand]]*tblInventory[[#This Row],[Unit_Cost]]</f>
        <v>18318.72</v>
      </c>
      <c r="L43" s="3">
        <v>92</v>
      </c>
      <c r="M43" s="3">
        <f>IF(tblInventory[[#This Row],[Qty_On_Hand]]&lt;=tblInventory[[#This Row],[Reorder_Level]],1,0)</f>
        <v>1</v>
      </c>
      <c r="N43" s="3">
        <v>217</v>
      </c>
      <c r="O43" s="3" t="s">
        <v>201</v>
      </c>
      <c r="P43" s="2">
        <v>82</v>
      </c>
      <c r="Q43" s="6" t="s">
        <v>3</v>
      </c>
      <c r="R43" s="4">
        <v>88648.56</v>
      </c>
      <c r="S43" s="4">
        <v>35765.120000000003</v>
      </c>
      <c r="T43" s="4">
        <v>52883.44</v>
      </c>
      <c r="U43" s="4">
        <f>IFERROR(tblInventory[[#This Row],[Gross_Profit_30D]]/tblInventory[[#This Row],[Sales_Revenue_30D]],0)</f>
        <v>0.59655159655159662</v>
      </c>
      <c r="V43" s="2">
        <v>18318.72</v>
      </c>
    </row>
    <row r="44" spans="1:22" x14ac:dyDescent="0.3">
      <c r="A44" s="2" t="s">
        <v>202</v>
      </c>
      <c r="B44" s="2" t="s">
        <v>31</v>
      </c>
      <c r="C44" s="2" t="s">
        <v>6</v>
      </c>
      <c r="D44" s="2" t="s">
        <v>108</v>
      </c>
      <c r="E44" s="2" t="s">
        <v>73</v>
      </c>
      <c r="F44" s="2" t="s">
        <v>153</v>
      </c>
      <c r="G44" s="3">
        <v>456</v>
      </c>
      <c r="H44" s="4">
        <v>1477.2</v>
      </c>
      <c r="I44" s="4">
        <v>3380.24</v>
      </c>
      <c r="J44" s="3">
        <v>4</v>
      </c>
      <c r="K44" s="3">
        <f>tblInventory[[#This Row],[Qty_On_Hand]]*tblInventory[[#This Row],[Unit_Cost]]</f>
        <v>5908.8</v>
      </c>
      <c r="L44" s="3">
        <v>51</v>
      </c>
      <c r="M44" s="3">
        <f>IF(tblInventory[[#This Row],[Qty_On_Hand]]&lt;=tblInventory[[#This Row],[Reorder_Level]],1,0)</f>
        <v>1</v>
      </c>
      <c r="N44" s="3">
        <v>181</v>
      </c>
      <c r="O44" s="3" t="s">
        <v>137</v>
      </c>
      <c r="P44" s="2">
        <v>85</v>
      </c>
      <c r="Q44" s="6" t="s">
        <v>3</v>
      </c>
      <c r="R44" s="4">
        <v>287320.40000000002</v>
      </c>
      <c r="S44" s="4">
        <v>125562</v>
      </c>
      <c r="T44" s="4">
        <v>161758.39999999999</v>
      </c>
      <c r="U44" s="4">
        <f>IFERROR(tblInventory[[#This Row],[Gross_Profit_30D]]/tblInventory[[#This Row],[Sales_Revenue_30D]],0)</f>
        <v>0.56298961020519245</v>
      </c>
      <c r="V44" s="2">
        <v>5908.8</v>
      </c>
    </row>
    <row r="45" spans="1:22" x14ac:dyDescent="0.3">
      <c r="A45" s="2" t="s">
        <v>203</v>
      </c>
      <c r="B45" s="2" t="s">
        <v>204</v>
      </c>
      <c r="C45" s="2" t="s">
        <v>8</v>
      </c>
      <c r="D45" s="2" t="s">
        <v>77</v>
      </c>
      <c r="E45" s="2" t="s">
        <v>73</v>
      </c>
      <c r="F45" s="2" t="s">
        <v>205</v>
      </c>
      <c r="G45" s="3">
        <v>125</v>
      </c>
      <c r="H45" s="4">
        <v>111.5</v>
      </c>
      <c r="I45" s="4">
        <v>309.51</v>
      </c>
      <c r="J45" s="3">
        <v>3</v>
      </c>
      <c r="K45" s="3">
        <f>tblInventory[[#This Row],[Qty_On_Hand]]*tblInventory[[#This Row],[Unit_Cost]]</f>
        <v>334.5</v>
      </c>
      <c r="L45" s="3">
        <v>93</v>
      </c>
      <c r="M45" s="3">
        <f>IF(tblInventory[[#This Row],[Qty_On_Hand]]&lt;=tblInventory[[#This Row],[Reorder_Level]],1,0)</f>
        <v>1</v>
      </c>
      <c r="N45" s="3">
        <v>267</v>
      </c>
      <c r="O45" s="3" t="s">
        <v>162</v>
      </c>
      <c r="P45" s="2">
        <v>18</v>
      </c>
      <c r="Q45" s="6" t="s">
        <v>3</v>
      </c>
      <c r="R45" s="4">
        <v>5571.18</v>
      </c>
      <c r="S45" s="4">
        <v>2007</v>
      </c>
      <c r="T45" s="4">
        <v>3564.18</v>
      </c>
      <c r="U45" s="4">
        <f>IFERROR(tblInventory[[#This Row],[Gross_Profit_30D]]/tblInventory[[#This Row],[Sales_Revenue_30D]],0)</f>
        <v>0.63975315821782808</v>
      </c>
      <c r="V45" s="2">
        <v>334.5</v>
      </c>
    </row>
    <row r="46" spans="1:22" x14ac:dyDescent="0.3">
      <c r="A46" s="2" t="s">
        <v>206</v>
      </c>
      <c r="B46" s="2" t="s">
        <v>112</v>
      </c>
      <c r="C46" s="2" t="s">
        <v>6</v>
      </c>
      <c r="D46" s="2" t="s">
        <v>132</v>
      </c>
      <c r="E46" s="2" t="s">
        <v>91</v>
      </c>
      <c r="F46" s="2" t="s">
        <v>207</v>
      </c>
      <c r="G46" s="3">
        <v>174</v>
      </c>
      <c r="H46" s="4">
        <v>1318.99</v>
      </c>
      <c r="I46" s="4">
        <v>1725.66</v>
      </c>
      <c r="J46" s="3">
        <v>5</v>
      </c>
      <c r="K46" s="3">
        <f>tblInventory[[#This Row],[Qty_On_Hand]]*tblInventory[[#This Row],[Unit_Cost]]</f>
        <v>6594.95</v>
      </c>
      <c r="L46" s="3">
        <v>28</v>
      </c>
      <c r="M46" s="3">
        <f>IF(tblInventory[[#This Row],[Qty_On_Hand]]&lt;=tblInventory[[#This Row],[Reorder_Level]],1,0)</f>
        <v>1</v>
      </c>
      <c r="N46" s="3">
        <v>249</v>
      </c>
      <c r="O46" s="3" t="s">
        <v>140</v>
      </c>
      <c r="P46" s="2">
        <v>108</v>
      </c>
      <c r="Q46" s="6" t="s">
        <v>3</v>
      </c>
      <c r="R46" s="4">
        <v>186371.28</v>
      </c>
      <c r="S46" s="4">
        <v>142450.92000000001</v>
      </c>
      <c r="T46" s="4">
        <v>43920.36</v>
      </c>
      <c r="U46" s="4">
        <f>IFERROR(tblInventory[[#This Row],[Gross_Profit_30D]]/tblInventory[[#This Row],[Sales_Revenue_30D]],0)</f>
        <v>0.2356605588586396</v>
      </c>
      <c r="V46" s="2">
        <v>6594.95</v>
      </c>
    </row>
    <row r="47" spans="1:22" x14ac:dyDescent="0.3">
      <c r="A47" s="2" t="s">
        <v>208</v>
      </c>
      <c r="B47" s="2" t="s">
        <v>107</v>
      </c>
      <c r="C47" s="2" t="s">
        <v>4</v>
      </c>
      <c r="D47" s="2" t="s">
        <v>108</v>
      </c>
      <c r="E47" s="2" t="s">
        <v>78</v>
      </c>
      <c r="F47" s="2" t="s">
        <v>209</v>
      </c>
      <c r="G47" s="3">
        <v>484</v>
      </c>
      <c r="H47" s="4">
        <v>923.79</v>
      </c>
      <c r="I47" s="4">
        <v>2311.44</v>
      </c>
      <c r="J47" s="3">
        <v>76</v>
      </c>
      <c r="K47" s="3">
        <f>tblInventory[[#This Row],[Qty_On_Hand]]*tblInventory[[#This Row],[Unit_Cost]]</f>
        <v>70208.039999999994</v>
      </c>
      <c r="L47" s="3">
        <v>100</v>
      </c>
      <c r="M47" s="3">
        <f>IF(tblInventory[[#This Row],[Qty_On_Hand]]&lt;=tblInventory[[#This Row],[Reorder_Level]],1,0)</f>
        <v>1</v>
      </c>
      <c r="N47" s="3">
        <v>185</v>
      </c>
      <c r="O47" s="3" t="s">
        <v>69</v>
      </c>
      <c r="P47" s="2">
        <v>143</v>
      </c>
      <c r="Q47" s="6" t="s">
        <v>3</v>
      </c>
      <c r="R47" s="4">
        <v>330535.92</v>
      </c>
      <c r="S47" s="4">
        <v>132101.97</v>
      </c>
      <c r="T47" s="4">
        <v>198433.95</v>
      </c>
      <c r="U47" s="4">
        <f>IFERROR(tblInventory[[#This Row],[Gross_Profit_30D]]/tblInventory[[#This Row],[Sales_Revenue_30D]],0)</f>
        <v>0.60034004776243388</v>
      </c>
      <c r="V47" s="2">
        <v>70208.039999999994</v>
      </c>
    </row>
    <row r="48" spans="1:22" x14ac:dyDescent="0.3">
      <c r="A48" s="2" t="s">
        <v>210</v>
      </c>
      <c r="B48" s="2" t="s">
        <v>211</v>
      </c>
      <c r="C48" s="2" t="s">
        <v>2</v>
      </c>
      <c r="D48" s="2" t="s">
        <v>108</v>
      </c>
      <c r="E48" s="2" t="s">
        <v>86</v>
      </c>
      <c r="F48" s="2" t="s">
        <v>125</v>
      </c>
      <c r="G48" s="3">
        <v>268</v>
      </c>
      <c r="H48" s="4">
        <v>1796.47</v>
      </c>
      <c r="I48" s="4">
        <v>4339.34</v>
      </c>
      <c r="J48" s="3">
        <v>19</v>
      </c>
      <c r="K48" s="3">
        <f>tblInventory[[#This Row],[Qty_On_Hand]]*tblInventory[[#This Row],[Unit_Cost]]</f>
        <v>34132.93</v>
      </c>
      <c r="L48" s="3">
        <v>75</v>
      </c>
      <c r="M48" s="3">
        <f>IF(tblInventory[[#This Row],[Qty_On_Hand]]&lt;=tblInventory[[#This Row],[Reorder_Level]],1,0)</f>
        <v>1</v>
      </c>
      <c r="N48" s="3">
        <v>165</v>
      </c>
      <c r="O48" s="3" t="s">
        <v>75</v>
      </c>
      <c r="P48" s="2">
        <v>66</v>
      </c>
      <c r="Q48" s="6" t="s">
        <v>3</v>
      </c>
      <c r="R48" s="4">
        <v>286396.44</v>
      </c>
      <c r="S48" s="4">
        <v>118567.02</v>
      </c>
      <c r="T48" s="4">
        <v>167829.42</v>
      </c>
      <c r="U48" s="4">
        <f>IFERROR(tblInventory[[#This Row],[Gross_Profit_30D]]/tblInventory[[#This Row],[Sales_Revenue_30D]],0)</f>
        <v>0.58600386233851232</v>
      </c>
      <c r="V48" s="2">
        <v>34132.93</v>
      </c>
    </row>
    <row r="49" spans="1:22" x14ac:dyDescent="0.3">
      <c r="A49" s="2" t="s">
        <v>212</v>
      </c>
      <c r="B49" s="2" t="s">
        <v>103</v>
      </c>
      <c r="C49" s="2" t="s">
        <v>4</v>
      </c>
      <c r="D49" s="2" t="s">
        <v>108</v>
      </c>
      <c r="E49" s="2" t="s">
        <v>73</v>
      </c>
      <c r="F49" s="2" t="s">
        <v>143</v>
      </c>
      <c r="G49" s="3">
        <v>89</v>
      </c>
      <c r="H49" s="4">
        <v>484.3</v>
      </c>
      <c r="I49" s="4">
        <v>873.57</v>
      </c>
      <c r="J49" s="3">
        <v>15</v>
      </c>
      <c r="K49" s="3">
        <f>tblInventory[[#This Row],[Qty_On_Hand]]*tblInventory[[#This Row],[Unit_Cost]]</f>
        <v>7264.5</v>
      </c>
      <c r="L49" s="3">
        <v>84</v>
      </c>
      <c r="M49" s="3">
        <f>IF(tblInventory[[#This Row],[Qty_On_Hand]]&lt;=tblInventory[[#This Row],[Reorder_Level]],1,0)</f>
        <v>1</v>
      </c>
      <c r="N49" s="3">
        <v>70</v>
      </c>
      <c r="O49" s="3" t="s">
        <v>144</v>
      </c>
      <c r="P49" s="2">
        <v>35</v>
      </c>
      <c r="Q49" s="6" t="s">
        <v>3</v>
      </c>
      <c r="R49" s="4">
        <v>30574.95</v>
      </c>
      <c r="S49" s="4">
        <v>16950.5</v>
      </c>
      <c r="T49" s="4">
        <v>13624.45</v>
      </c>
      <c r="U49" s="4">
        <f>IFERROR(tblInventory[[#This Row],[Gross_Profit_30D]]/tblInventory[[#This Row],[Sales_Revenue_30D]],0)</f>
        <v>0.44560825119910252</v>
      </c>
      <c r="V49" s="2">
        <v>7264.5</v>
      </c>
    </row>
    <row r="50" spans="1:22" x14ac:dyDescent="0.3">
      <c r="A50" s="2" t="s">
        <v>213</v>
      </c>
      <c r="B50" s="2" t="s">
        <v>20</v>
      </c>
      <c r="C50" s="2" t="s">
        <v>4</v>
      </c>
      <c r="D50" s="2" t="s">
        <v>128</v>
      </c>
      <c r="E50" s="2" t="s">
        <v>73</v>
      </c>
      <c r="F50" s="2" t="s">
        <v>214</v>
      </c>
      <c r="G50" s="3">
        <v>82</v>
      </c>
      <c r="H50" s="4">
        <v>827.05</v>
      </c>
      <c r="I50" s="4">
        <v>1748.31</v>
      </c>
      <c r="J50" s="3">
        <v>68</v>
      </c>
      <c r="K50" s="3">
        <f>tblInventory[[#This Row],[Qty_On_Hand]]*tblInventory[[#This Row],[Unit_Cost]]</f>
        <v>56239.399999999994</v>
      </c>
      <c r="L50" s="3">
        <v>68</v>
      </c>
      <c r="M50" s="3">
        <f>IF(tblInventory[[#This Row],[Qty_On_Hand]]&lt;=tblInventory[[#This Row],[Reorder_Level]],1,0)</f>
        <v>1</v>
      </c>
      <c r="N50" s="3">
        <v>65</v>
      </c>
      <c r="O50" s="3" t="s">
        <v>162</v>
      </c>
      <c r="P50" s="2">
        <v>52</v>
      </c>
      <c r="Q50" s="6" t="s">
        <v>3</v>
      </c>
      <c r="R50" s="4">
        <v>90912.12</v>
      </c>
      <c r="S50" s="4">
        <v>43006.6</v>
      </c>
      <c r="T50" s="4">
        <v>47905.52</v>
      </c>
      <c r="U50" s="4">
        <f>IFERROR(tblInventory[[#This Row],[Gross_Profit_30D]]/tblInventory[[#This Row],[Sales_Revenue_30D]],0)</f>
        <v>0.52694316225383364</v>
      </c>
      <c r="V50" s="2">
        <v>56239.4</v>
      </c>
    </row>
    <row r="51" spans="1:22" x14ac:dyDescent="0.3">
      <c r="A51" s="2" t="s">
        <v>215</v>
      </c>
      <c r="B51" s="2" t="s">
        <v>112</v>
      </c>
      <c r="C51" s="2" t="s">
        <v>6</v>
      </c>
      <c r="D51" s="2" t="s">
        <v>66</v>
      </c>
      <c r="E51" s="2" t="s">
        <v>86</v>
      </c>
      <c r="F51" s="2" t="s">
        <v>97</v>
      </c>
      <c r="G51" s="3">
        <v>53</v>
      </c>
      <c r="H51" s="4">
        <v>611.25</v>
      </c>
      <c r="I51" s="4">
        <v>1152.19</v>
      </c>
      <c r="J51" s="3">
        <v>47</v>
      </c>
      <c r="K51" s="3">
        <f>tblInventory[[#This Row],[Qty_On_Hand]]*tblInventory[[#This Row],[Unit_Cost]]</f>
        <v>28728.75</v>
      </c>
      <c r="L51" s="3">
        <v>68</v>
      </c>
      <c r="M51" s="3">
        <f>IF(tblInventory[[#This Row],[Qty_On_Hand]]&lt;=tblInventory[[#This Row],[Reorder_Level]],1,0)</f>
        <v>1</v>
      </c>
      <c r="N51" s="3">
        <v>187</v>
      </c>
      <c r="O51" s="3" t="s">
        <v>137</v>
      </c>
      <c r="P51" s="2">
        <v>139</v>
      </c>
      <c r="Q51" s="6" t="s">
        <v>3</v>
      </c>
      <c r="R51" s="4">
        <v>160154.41</v>
      </c>
      <c r="S51" s="4">
        <v>84963.75</v>
      </c>
      <c r="T51" s="4">
        <v>75190.66</v>
      </c>
      <c r="U51" s="4">
        <f>IFERROR(tblInventory[[#This Row],[Gross_Profit_30D]]/tblInventory[[#This Row],[Sales_Revenue_30D]],0)</f>
        <v>0.46948853921662226</v>
      </c>
      <c r="V51" s="2">
        <v>28728.75</v>
      </c>
    </row>
    <row r="52" spans="1:22" x14ac:dyDescent="0.3">
      <c r="A52" s="2" t="s">
        <v>216</v>
      </c>
      <c r="B52" s="2" t="s">
        <v>95</v>
      </c>
      <c r="C52" s="2" t="s">
        <v>2</v>
      </c>
      <c r="D52" s="2" t="s">
        <v>108</v>
      </c>
      <c r="E52" s="2" t="s">
        <v>73</v>
      </c>
      <c r="F52" s="2" t="s">
        <v>217</v>
      </c>
      <c r="G52" s="3">
        <v>298</v>
      </c>
      <c r="H52" s="4">
        <v>789.94</v>
      </c>
      <c r="I52" s="4">
        <v>1819.48</v>
      </c>
      <c r="J52" s="3">
        <v>10</v>
      </c>
      <c r="K52" s="3">
        <f>tblInventory[[#This Row],[Qty_On_Hand]]*tblInventory[[#This Row],[Unit_Cost]]</f>
        <v>7899.4000000000005</v>
      </c>
      <c r="L52" s="3">
        <v>66</v>
      </c>
      <c r="M52" s="3">
        <f>IF(tblInventory[[#This Row],[Qty_On_Hand]]&lt;=tblInventory[[#This Row],[Reorder_Level]],1,0)</f>
        <v>1</v>
      </c>
      <c r="N52" s="3">
        <v>235</v>
      </c>
      <c r="O52" s="3" t="s">
        <v>156</v>
      </c>
      <c r="P52" s="2">
        <v>42</v>
      </c>
      <c r="Q52" s="6" t="s">
        <v>3</v>
      </c>
      <c r="R52" s="4">
        <v>76418.16</v>
      </c>
      <c r="S52" s="4">
        <v>33177.480000000003</v>
      </c>
      <c r="T52" s="4">
        <v>43240.68</v>
      </c>
      <c r="U52" s="4">
        <f>IFERROR(tblInventory[[#This Row],[Gross_Profit_30D]]/tblInventory[[#This Row],[Sales_Revenue_30D]],0)</f>
        <v>0.56584298810649192</v>
      </c>
      <c r="V52" s="2">
        <v>7899.4</v>
      </c>
    </row>
    <row r="53" spans="1:22" x14ac:dyDescent="0.3">
      <c r="A53" s="2" t="s">
        <v>218</v>
      </c>
      <c r="B53" s="2" t="s">
        <v>142</v>
      </c>
      <c r="C53" s="2" t="s">
        <v>6</v>
      </c>
      <c r="D53" s="2" t="s">
        <v>66</v>
      </c>
      <c r="E53" s="2" t="s">
        <v>91</v>
      </c>
      <c r="F53" s="2" t="s">
        <v>219</v>
      </c>
      <c r="G53" s="3">
        <v>389</v>
      </c>
      <c r="H53" s="4">
        <v>186.22</v>
      </c>
      <c r="I53" s="4">
        <v>361.81</v>
      </c>
      <c r="J53" s="3">
        <v>48</v>
      </c>
      <c r="K53" s="3">
        <f>tblInventory[[#This Row],[Qty_On_Hand]]*tblInventory[[#This Row],[Unit_Cost]]</f>
        <v>8938.56</v>
      </c>
      <c r="L53" s="3">
        <v>74</v>
      </c>
      <c r="M53" s="3">
        <f>IF(tblInventory[[#This Row],[Qty_On_Hand]]&lt;=tblInventory[[#This Row],[Reorder_Level]],1,0)</f>
        <v>1</v>
      </c>
      <c r="N53" s="3">
        <v>96</v>
      </c>
      <c r="O53" s="3" t="s">
        <v>101</v>
      </c>
      <c r="P53" s="2">
        <v>12</v>
      </c>
      <c r="Q53" s="6" t="s">
        <v>3</v>
      </c>
      <c r="R53" s="4">
        <v>4341.72</v>
      </c>
      <c r="S53" s="4">
        <v>2234.64</v>
      </c>
      <c r="T53" s="4">
        <v>2107.08</v>
      </c>
      <c r="U53" s="4">
        <f>IFERROR(tblInventory[[#This Row],[Gross_Profit_30D]]/tblInventory[[#This Row],[Sales_Revenue_30D]],0)</f>
        <v>0.48530996932091425</v>
      </c>
      <c r="V53" s="2">
        <v>8938.56</v>
      </c>
    </row>
    <row r="54" spans="1:22" x14ac:dyDescent="0.3">
      <c r="A54" s="2" t="s">
        <v>220</v>
      </c>
      <c r="B54" s="2" t="s">
        <v>99</v>
      </c>
      <c r="C54" s="2" t="s">
        <v>0</v>
      </c>
      <c r="D54" s="2" t="s">
        <v>81</v>
      </c>
      <c r="E54" s="2" t="s">
        <v>73</v>
      </c>
      <c r="F54" s="2" t="s">
        <v>221</v>
      </c>
      <c r="G54" s="3">
        <v>222</v>
      </c>
      <c r="H54" s="4">
        <v>1761.69</v>
      </c>
      <c r="I54" s="4">
        <v>3025.5</v>
      </c>
      <c r="J54" s="3">
        <v>51</v>
      </c>
      <c r="K54" s="3">
        <f>tblInventory[[#This Row],[Qty_On_Hand]]*tblInventory[[#This Row],[Unit_Cost]]</f>
        <v>89846.19</v>
      </c>
      <c r="L54" s="3">
        <v>68</v>
      </c>
      <c r="M54" s="3">
        <f>IF(tblInventory[[#This Row],[Qty_On_Hand]]&lt;=tblInventory[[#This Row],[Reorder_Level]],1,0)</f>
        <v>1</v>
      </c>
      <c r="N54" s="3">
        <v>114</v>
      </c>
      <c r="O54" s="3" t="s">
        <v>182</v>
      </c>
      <c r="P54" s="2">
        <v>20</v>
      </c>
      <c r="Q54" s="6" t="s">
        <v>3</v>
      </c>
      <c r="R54" s="4">
        <v>60510</v>
      </c>
      <c r="S54" s="4">
        <v>35233.800000000003</v>
      </c>
      <c r="T54" s="4">
        <v>25276.2</v>
      </c>
      <c r="U54" s="4">
        <f>IFERROR(tblInventory[[#This Row],[Gross_Profit_30D]]/tblInventory[[#This Row],[Sales_Revenue_30D]],0)</f>
        <v>0.41771938522558255</v>
      </c>
      <c r="V54" s="2">
        <v>89846.19</v>
      </c>
    </row>
    <row r="55" spans="1:22" x14ac:dyDescent="0.3">
      <c r="A55" s="2" t="s">
        <v>222</v>
      </c>
      <c r="B55" s="2" t="s">
        <v>223</v>
      </c>
      <c r="C55" s="2" t="s">
        <v>6</v>
      </c>
      <c r="D55" s="2" t="s">
        <v>66</v>
      </c>
      <c r="E55" s="2" t="s">
        <v>67</v>
      </c>
      <c r="F55" s="2" t="s">
        <v>224</v>
      </c>
      <c r="G55" s="3">
        <v>85</v>
      </c>
      <c r="H55" s="4">
        <v>99.71</v>
      </c>
      <c r="I55" s="4">
        <v>134.26</v>
      </c>
      <c r="J55" s="3">
        <v>38</v>
      </c>
      <c r="K55" s="3">
        <f>tblInventory[[#This Row],[Qty_On_Hand]]*tblInventory[[#This Row],[Unit_Cost]]</f>
        <v>3788.9799999999996</v>
      </c>
      <c r="L55" s="3">
        <v>46</v>
      </c>
      <c r="M55" s="3">
        <f>IF(tblInventory[[#This Row],[Qty_On_Hand]]&lt;=tblInventory[[#This Row],[Reorder_Level]],1,0)</f>
        <v>1</v>
      </c>
      <c r="N55" s="3">
        <v>101</v>
      </c>
      <c r="O55" s="3" t="s">
        <v>118</v>
      </c>
      <c r="P55" s="2">
        <v>5</v>
      </c>
      <c r="Q55" s="6" t="s">
        <v>3</v>
      </c>
      <c r="R55" s="4">
        <v>671.3</v>
      </c>
      <c r="S55" s="4">
        <v>498.55</v>
      </c>
      <c r="T55" s="4">
        <v>172.75</v>
      </c>
      <c r="U55" s="4">
        <f>IFERROR(tblInventory[[#This Row],[Gross_Profit_30D]]/tblInventory[[#This Row],[Sales_Revenue_30D]],0)</f>
        <v>0.25733651124683454</v>
      </c>
      <c r="V55" s="2">
        <v>3788.98</v>
      </c>
    </row>
    <row r="56" spans="1:22" x14ac:dyDescent="0.3">
      <c r="A56" s="2" t="s">
        <v>225</v>
      </c>
      <c r="B56" s="2" t="s">
        <v>135</v>
      </c>
      <c r="C56" s="2" t="s">
        <v>2</v>
      </c>
      <c r="D56" s="2" t="s">
        <v>132</v>
      </c>
      <c r="E56" s="2" t="s">
        <v>73</v>
      </c>
      <c r="F56" s="2" t="s">
        <v>226</v>
      </c>
      <c r="G56" s="3">
        <v>108</v>
      </c>
      <c r="H56" s="4">
        <v>1896.56</v>
      </c>
      <c r="I56" s="4">
        <v>3788.48</v>
      </c>
      <c r="J56" s="3">
        <v>7</v>
      </c>
      <c r="K56" s="3">
        <f>tblInventory[[#This Row],[Qty_On_Hand]]*tblInventory[[#This Row],[Unit_Cost]]</f>
        <v>13275.92</v>
      </c>
      <c r="L56" s="3">
        <v>47</v>
      </c>
      <c r="M56" s="3">
        <f>IF(tblInventory[[#This Row],[Qty_On_Hand]]&lt;=tblInventory[[#This Row],[Reorder_Level]],1,0)</f>
        <v>1</v>
      </c>
      <c r="N56" s="3">
        <v>246</v>
      </c>
      <c r="O56" s="3" t="s">
        <v>194</v>
      </c>
      <c r="P56" s="2">
        <v>94</v>
      </c>
      <c r="Q56" s="6" t="s">
        <v>3</v>
      </c>
      <c r="R56" s="4">
        <v>356117.12</v>
      </c>
      <c r="S56" s="4">
        <v>178276.64</v>
      </c>
      <c r="T56" s="4">
        <v>177840.48</v>
      </c>
      <c r="U56" s="4">
        <f>IFERROR(tblInventory[[#This Row],[Gross_Profit_30D]]/tblInventory[[#This Row],[Sales_Revenue_30D]],0)</f>
        <v>0.49938761719739849</v>
      </c>
      <c r="V56" s="2">
        <v>13275.92</v>
      </c>
    </row>
    <row r="57" spans="1:22" x14ac:dyDescent="0.3">
      <c r="A57" s="2" t="s">
        <v>227</v>
      </c>
      <c r="B57" s="2" t="s">
        <v>228</v>
      </c>
      <c r="C57" s="2" t="s">
        <v>4</v>
      </c>
      <c r="D57" s="2" t="s">
        <v>72</v>
      </c>
      <c r="E57" s="2" t="s">
        <v>73</v>
      </c>
      <c r="F57" s="2" t="s">
        <v>229</v>
      </c>
      <c r="G57" s="3">
        <v>346</v>
      </c>
      <c r="H57" s="4">
        <v>1859.2</v>
      </c>
      <c r="I57" s="4">
        <v>4022.74</v>
      </c>
      <c r="J57" s="3">
        <v>22</v>
      </c>
      <c r="K57" s="3">
        <f>tblInventory[[#This Row],[Qty_On_Hand]]*tblInventory[[#This Row],[Unit_Cost]]</f>
        <v>40902.400000000001</v>
      </c>
      <c r="L57" s="3">
        <v>63</v>
      </c>
      <c r="M57" s="3">
        <f>IF(tblInventory[[#This Row],[Qty_On_Hand]]&lt;=tblInventory[[#This Row],[Reorder_Level]],1,0)</f>
        <v>1</v>
      </c>
      <c r="N57" s="3">
        <v>151</v>
      </c>
      <c r="O57" s="3" t="s">
        <v>122</v>
      </c>
      <c r="P57" s="2">
        <v>50</v>
      </c>
      <c r="Q57" s="6" t="s">
        <v>3</v>
      </c>
      <c r="R57" s="4">
        <v>201137</v>
      </c>
      <c r="S57" s="4">
        <v>92960</v>
      </c>
      <c r="T57" s="4">
        <v>108177</v>
      </c>
      <c r="U57" s="4">
        <f>IFERROR(tblInventory[[#This Row],[Gross_Profit_30D]]/tblInventory[[#This Row],[Sales_Revenue_30D]],0)</f>
        <v>0.53782745094139817</v>
      </c>
      <c r="V57" s="2">
        <v>40902.400000000001</v>
      </c>
    </row>
    <row r="58" spans="1:22" x14ac:dyDescent="0.3">
      <c r="A58" s="2" t="s">
        <v>230</v>
      </c>
      <c r="B58" s="2" t="s">
        <v>120</v>
      </c>
      <c r="C58" s="2" t="s">
        <v>8</v>
      </c>
      <c r="D58" s="2" t="s">
        <v>132</v>
      </c>
      <c r="E58" s="2" t="s">
        <v>78</v>
      </c>
      <c r="F58" s="2" t="s">
        <v>197</v>
      </c>
      <c r="G58" s="3">
        <v>485</v>
      </c>
      <c r="H58" s="4">
        <v>1208.81</v>
      </c>
      <c r="I58" s="4">
        <v>1790.95</v>
      </c>
      <c r="J58" s="3">
        <v>39</v>
      </c>
      <c r="K58" s="3">
        <f>tblInventory[[#This Row],[Qty_On_Hand]]*tblInventory[[#This Row],[Unit_Cost]]</f>
        <v>47143.59</v>
      </c>
      <c r="L58" s="3">
        <v>87</v>
      </c>
      <c r="M58" s="3">
        <f>IF(tblInventory[[#This Row],[Qty_On_Hand]]&lt;=tblInventory[[#This Row],[Reorder_Level]],1,0)</f>
        <v>1</v>
      </c>
      <c r="N58" s="3">
        <v>250</v>
      </c>
      <c r="O58" s="3" t="s">
        <v>198</v>
      </c>
      <c r="P58" s="2">
        <v>10</v>
      </c>
      <c r="Q58" s="6" t="s">
        <v>3</v>
      </c>
      <c r="R58" s="4">
        <v>17909.5</v>
      </c>
      <c r="S58" s="4">
        <v>12088.1</v>
      </c>
      <c r="T58" s="4">
        <v>5821.4</v>
      </c>
      <c r="U58" s="4">
        <f>IFERROR(tblInventory[[#This Row],[Gross_Profit_30D]]/tblInventory[[#This Row],[Sales_Revenue_30D]],0)</f>
        <v>0.32504536698400288</v>
      </c>
      <c r="V58" s="2">
        <v>47143.59</v>
      </c>
    </row>
    <row r="59" spans="1:22" x14ac:dyDescent="0.3">
      <c r="A59" s="2" t="s">
        <v>231</v>
      </c>
      <c r="B59" s="2" t="s">
        <v>232</v>
      </c>
      <c r="C59" s="2" t="s">
        <v>0</v>
      </c>
      <c r="D59" s="2" t="s">
        <v>128</v>
      </c>
      <c r="E59" s="2" t="s">
        <v>67</v>
      </c>
      <c r="F59" s="2" t="s">
        <v>193</v>
      </c>
      <c r="G59" s="3">
        <v>381</v>
      </c>
      <c r="H59" s="4">
        <v>45.05</v>
      </c>
      <c r="I59" s="4">
        <v>86.95</v>
      </c>
      <c r="J59" s="3">
        <v>42</v>
      </c>
      <c r="K59" s="3">
        <f>tblInventory[[#This Row],[Qty_On_Hand]]*tblInventory[[#This Row],[Unit_Cost]]</f>
        <v>1892.1</v>
      </c>
      <c r="L59" s="3">
        <v>77</v>
      </c>
      <c r="M59" s="3">
        <f>IF(tblInventory[[#This Row],[Qty_On_Hand]]&lt;=tblInventory[[#This Row],[Reorder_Level]],1,0)</f>
        <v>1</v>
      </c>
      <c r="N59" s="3">
        <v>77</v>
      </c>
      <c r="O59" s="3" t="s">
        <v>75</v>
      </c>
      <c r="P59" s="2">
        <v>110</v>
      </c>
      <c r="Q59" s="6" t="s">
        <v>3</v>
      </c>
      <c r="R59" s="4">
        <v>9564.5</v>
      </c>
      <c r="S59" s="4">
        <v>4955.5</v>
      </c>
      <c r="T59" s="4">
        <v>4609</v>
      </c>
      <c r="U59" s="4">
        <f>IFERROR(tblInventory[[#This Row],[Gross_Profit_30D]]/tblInventory[[#This Row],[Sales_Revenue_30D]],0)</f>
        <v>0.48188614146060954</v>
      </c>
      <c r="V59" s="2">
        <v>1892.1</v>
      </c>
    </row>
    <row r="60" spans="1:22" x14ac:dyDescent="0.3">
      <c r="A60" s="2" t="s">
        <v>233</v>
      </c>
      <c r="B60" s="2" t="s">
        <v>234</v>
      </c>
      <c r="C60" s="2" t="s">
        <v>0</v>
      </c>
      <c r="D60" s="2" t="s">
        <v>96</v>
      </c>
      <c r="E60" s="2" t="s">
        <v>91</v>
      </c>
      <c r="F60" s="2" t="s">
        <v>235</v>
      </c>
      <c r="G60" s="3">
        <v>383</v>
      </c>
      <c r="H60" s="4">
        <v>1239.51</v>
      </c>
      <c r="I60" s="4">
        <v>3321.18</v>
      </c>
      <c r="J60" s="3">
        <v>18</v>
      </c>
      <c r="K60" s="3">
        <f>tblInventory[[#This Row],[Qty_On_Hand]]*tblInventory[[#This Row],[Unit_Cost]]</f>
        <v>22311.18</v>
      </c>
      <c r="L60" s="3">
        <v>76</v>
      </c>
      <c r="M60" s="3">
        <f>IF(tblInventory[[#This Row],[Qty_On_Hand]]&lt;=tblInventory[[#This Row],[Reorder_Level]],1,0)</f>
        <v>1</v>
      </c>
      <c r="N60" s="3">
        <v>169</v>
      </c>
      <c r="O60" s="3" t="s">
        <v>75</v>
      </c>
      <c r="P60" s="2">
        <v>111</v>
      </c>
      <c r="Q60" s="6" t="s">
        <v>3</v>
      </c>
      <c r="R60" s="4">
        <v>368650.98</v>
      </c>
      <c r="S60" s="4">
        <v>137585.60999999999</v>
      </c>
      <c r="T60" s="4">
        <v>231065.37</v>
      </c>
      <c r="U60" s="4">
        <f>IFERROR(tblInventory[[#This Row],[Gross_Profit_30D]]/tblInventory[[#This Row],[Sales_Revenue_30D]],0)</f>
        <v>0.62678626271385474</v>
      </c>
      <c r="V60" s="2">
        <v>22311.18</v>
      </c>
    </row>
    <row r="61" spans="1:22" x14ac:dyDescent="0.3">
      <c r="A61" s="2" t="s">
        <v>236</v>
      </c>
      <c r="B61" s="2" t="s">
        <v>25</v>
      </c>
      <c r="C61" s="2" t="s">
        <v>7</v>
      </c>
      <c r="D61" s="2" t="s">
        <v>77</v>
      </c>
      <c r="E61" s="2" t="s">
        <v>67</v>
      </c>
      <c r="F61" s="2" t="s">
        <v>184</v>
      </c>
      <c r="G61" s="3">
        <v>475</v>
      </c>
      <c r="H61" s="4">
        <v>572.28</v>
      </c>
      <c r="I61" s="4">
        <v>1130.94</v>
      </c>
      <c r="J61" s="3">
        <v>21</v>
      </c>
      <c r="K61" s="3">
        <f>tblInventory[[#This Row],[Qty_On_Hand]]*tblInventory[[#This Row],[Unit_Cost]]</f>
        <v>12017.88</v>
      </c>
      <c r="L61" s="3">
        <v>74</v>
      </c>
      <c r="M61" s="3">
        <f>IF(tblInventory[[#This Row],[Qty_On_Hand]]&lt;=tblInventory[[#This Row],[Reorder_Level]],1,0)</f>
        <v>1</v>
      </c>
      <c r="N61" s="3">
        <v>195</v>
      </c>
      <c r="O61" s="3" t="s">
        <v>69</v>
      </c>
      <c r="P61" s="2">
        <v>97</v>
      </c>
      <c r="Q61" s="6" t="s">
        <v>3</v>
      </c>
      <c r="R61" s="4">
        <v>109701.18</v>
      </c>
      <c r="S61" s="4">
        <v>55511.16</v>
      </c>
      <c r="T61" s="4">
        <v>54190.02</v>
      </c>
      <c r="U61" s="4">
        <f>IFERROR(tblInventory[[#This Row],[Gross_Profit_30D]]/tblInventory[[#This Row],[Sales_Revenue_30D]],0)</f>
        <v>0.49397846039577697</v>
      </c>
      <c r="V61" s="2">
        <v>12017.88</v>
      </c>
    </row>
    <row r="62" spans="1:22" x14ac:dyDescent="0.3">
      <c r="A62" s="2" t="s">
        <v>237</v>
      </c>
      <c r="B62" s="2" t="s">
        <v>172</v>
      </c>
      <c r="C62" s="2" t="s">
        <v>0</v>
      </c>
      <c r="D62" s="2" t="s">
        <v>108</v>
      </c>
      <c r="E62" s="2" t="s">
        <v>67</v>
      </c>
      <c r="F62" s="2" t="s">
        <v>238</v>
      </c>
      <c r="G62" s="3">
        <v>158</v>
      </c>
      <c r="H62" s="4">
        <v>1599.71</v>
      </c>
      <c r="I62" s="4">
        <v>2896.29</v>
      </c>
      <c r="J62" s="3">
        <v>56</v>
      </c>
      <c r="K62" s="3">
        <f>tblInventory[[#This Row],[Qty_On_Hand]]*tblInventory[[#This Row],[Unit_Cost]]</f>
        <v>89583.760000000009</v>
      </c>
      <c r="L62" s="3">
        <v>91</v>
      </c>
      <c r="M62" s="3">
        <f>IF(tblInventory[[#This Row],[Qty_On_Hand]]&lt;=tblInventory[[#This Row],[Reorder_Level]],1,0)</f>
        <v>1</v>
      </c>
      <c r="N62" s="3">
        <v>229</v>
      </c>
      <c r="O62" s="3" t="s">
        <v>137</v>
      </c>
      <c r="P62" s="2">
        <v>70</v>
      </c>
      <c r="Q62" s="6" t="s">
        <v>3</v>
      </c>
      <c r="R62" s="4">
        <v>202740.3</v>
      </c>
      <c r="S62" s="4">
        <v>111979.7</v>
      </c>
      <c r="T62" s="4">
        <v>90760.6</v>
      </c>
      <c r="U62" s="4">
        <f>IFERROR(tblInventory[[#This Row],[Gross_Profit_30D]]/tblInventory[[#This Row],[Sales_Revenue_30D]],0)</f>
        <v>0.44766925963905552</v>
      </c>
      <c r="V62" s="2">
        <v>89583.76</v>
      </c>
    </row>
    <row r="63" spans="1:22" x14ac:dyDescent="0.3">
      <c r="A63" s="2" t="s">
        <v>37</v>
      </c>
      <c r="B63" s="2" t="s">
        <v>38</v>
      </c>
      <c r="C63" s="2" t="s">
        <v>2</v>
      </c>
      <c r="D63" s="2" t="s">
        <v>132</v>
      </c>
      <c r="E63" s="2" t="s">
        <v>78</v>
      </c>
      <c r="F63" s="2" t="s">
        <v>239</v>
      </c>
      <c r="G63" s="3">
        <v>300</v>
      </c>
      <c r="H63" s="4">
        <v>1521.17</v>
      </c>
      <c r="I63" s="4">
        <v>3553.32</v>
      </c>
      <c r="J63" s="3">
        <v>82</v>
      </c>
      <c r="K63" s="3">
        <f>tblInventory[[#This Row],[Qty_On_Hand]]*tblInventory[[#This Row],[Unit_Cost]]</f>
        <v>124735.94</v>
      </c>
      <c r="L63" s="3">
        <v>97</v>
      </c>
      <c r="M63" s="3">
        <f>IF(tblInventory[[#This Row],[Qty_On_Hand]]&lt;=tblInventory[[#This Row],[Reorder_Level]],1,0)</f>
        <v>1</v>
      </c>
      <c r="N63" s="3">
        <v>232</v>
      </c>
      <c r="O63" s="3" t="s">
        <v>156</v>
      </c>
      <c r="P63" s="2">
        <v>125</v>
      </c>
      <c r="Q63" s="6" t="s">
        <v>3</v>
      </c>
      <c r="R63" s="4">
        <v>444165</v>
      </c>
      <c r="S63" s="4">
        <v>190146.25</v>
      </c>
      <c r="T63" s="4">
        <v>254018.75</v>
      </c>
      <c r="U63" s="4">
        <f>IFERROR(tblInventory[[#This Row],[Gross_Profit_30D]]/tblInventory[[#This Row],[Sales_Revenue_30D]],0)</f>
        <v>0.57190177073835169</v>
      </c>
      <c r="V63" s="2">
        <v>124735.94</v>
      </c>
    </row>
    <row r="64" spans="1:22" x14ac:dyDescent="0.3">
      <c r="A64" s="2" t="s">
        <v>240</v>
      </c>
      <c r="B64" s="2" t="s">
        <v>223</v>
      </c>
      <c r="C64" s="2" t="s">
        <v>6</v>
      </c>
      <c r="D64" s="2" t="s">
        <v>72</v>
      </c>
      <c r="E64" s="2" t="s">
        <v>67</v>
      </c>
      <c r="F64" s="2" t="s">
        <v>224</v>
      </c>
      <c r="G64" s="3">
        <v>404</v>
      </c>
      <c r="H64" s="4">
        <v>626.29</v>
      </c>
      <c r="I64" s="4">
        <v>1360.51</v>
      </c>
      <c r="J64" s="3">
        <v>63</v>
      </c>
      <c r="K64" s="3">
        <f>tblInventory[[#This Row],[Qty_On_Hand]]*tblInventory[[#This Row],[Unit_Cost]]</f>
        <v>39456.269999999997</v>
      </c>
      <c r="L64" s="3">
        <v>75</v>
      </c>
      <c r="M64" s="3">
        <f>IF(tblInventory[[#This Row],[Qty_On_Hand]]&lt;=tblInventory[[#This Row],[Reorder_Level]],1,0)</f>
        <v>1</v>
      </c>
      <c r="N64" s="3">
        <v>191</v>
      </c>
      <c r="O64" s="3" t="s">
        <v>140</v>
      </c>
      <c r="P64" s="2">
        <v>135</v>
      </c>
      <c r="Q64" s="6" t="s">
        <v>3</v>
      </c>
      <c r="R64" s="4">
        <v>183668.85</v>
      </c>
      <c r="S64" s="4">
        <v>84549.15</v>
      </c>
      <c r="T64" s="4">
        <v>99119.7</v>
      </c>
      <c r="U64" s="4">
        <f>IFERROR(tblInventory[[#This Row],[Gross_Profit_30D]]/tblInventory[[#This Row],[Sales_Revenue_30D]],0)</f>
        <v>0.53966527258160535</v>
      </c>
      <c r="V64" s="2">
        <v>39456.269999999997</v>
      </c>
    </row>
    <row r="65" spans="1:22" x14ac:dyDescent="0.3">
      <c r="A65" s="2" t="s">
        <v>241</v>
      </c>
      <c r="B65" s="2" t="s">
        <v>99</v>
      </c>
      <c r="C65" s="2" t="s">
        <v>0</v>
      </c>
      <c r="D65" s="2" t="s">
        <v>81</v>
      </c>
      <c r="E65" s="2" t="s">
        <v>67</v>
      </c>
      <c r="F65" s="2" t="s">
        <v>197</v>
      </c>
      <c r="G65" s="3">
        <v>188</v>
      </c>
      <c r="H65" s="4">
        <v>517.78</v>
      </c>
      <c r="I65" s="4">
        <v>766.82</v>
      </c>
      <c r="J65" s="3">
        <v>21</v>
      </c>
      <c r="K65" s="3">
        <f>tblInventory[[#This Row],[Qty_On_Hand]]*tblInventory[[#This Row],[Unit_Cost]]</f>
        <v>10873.38</v>
      </c>
      <c r="L65" s="3">
        <v>39</v>
      </c>
      <c r="M65" s="3">
        <f>IF(tblInventory[[#This Row],[Qty_On_Hand]]&lt;=tblInventory[[#This Row],[Reorder_Level]],1,0)</f>
        <v>1</v>
      </c>
      <c r="N65" s="3">
        <v>130</v>
      </c>
      <c r="O65" s="3" t="s">
        <v>144</v>
      </c>
      <c r="P65" s="2">
        <v>30</v>
      </c>
      <c r="Q65" s="6" t="s">
        <v>3</v>
      </c>
      <c r="R65" s="4">
        <v>23004.6</v>
      </c>
      <c r="S65" s="4">
        <v>15533.4</v>
      </c>
      <c r="T65" s="4">
        <v>7471.2</v>
      </c>
      <c r="U65" s="4">
        <f>IFERROR(tblInventory[[#This Row],[Gross_Profit_30D]]/tblInventory[[#This Row],[Sales_Revenue_30D]],0)</f>
        <v>0.32476982864296705</v>
      </c>
      <c r="V65" s="2">
        <v>10873.38</v>
      </c>
    </row>
    <row r="66" spans="1:22" x14ac:dyDescent="0.3">
      <c r="A66" s="2" t="s">
        <v>242</v>
      </c>
      <c r="B66" s="2" t="s">
        <v>146</v>
      </c>
      <c r="C66" s="2" t="s">
        <v>7</v>
      </c>
      <c r="D66" s="2" t="s">
        <v>96</v>
      </c>
      <c r="E66" s="2" t="s">
        <v>73</v>
      </c>
      <c r="F66" s="2" t="s">
        <v>100</v>
      </c>
      <c r="G66" s="3">
        <v>191</v>
      </c>
      <c r="H66" s="4">
        <v>1187.3800000000001</v>
      </c>
      <c r="I66" s="4">
        <v>2897.58</v>
      </c>
      <c r="J66" s="3">
        <v>23</v>
      </c>
      <c r="K66" s="3">
        <f>tblInventory[[#This Row],[Qty_On_Hand]]*tblInventory[[#This Row],[Unit_Cost]]</f>
        <v>27309.74</v>
      </c>
      <c r="L66" s="3">
        <v>91</v>
      </c>
      <c r="M66" s="3">
        <f>IF(tblInventory[[#This Row],[Qty_On_Hand]]&lt;=tblInventory[[#This Row],[Reorder_Level]],1,0)</f>
        <v>1</v>
      </c>
      <c r="N66" s="3">
        <v>122</v>
      </c>
      <c r="O66" s="3" t="s">
        <v>137</v>
      </c>
      <c r="P66" s="2">
        <v>25</v>
      </c>
      <c r="Q66" s="6" t="s">
        <v>3</v>
      </c>
      <c r="R66" s="4">
        <v>72439.5</v>
      </c>
      <c r="S66" s="4">
        <v>29684.5</v>
      </c>
      <c r="T66" s="4">
        <v>42755</v>
      </c>
      <c r="U66" s="4">
        <f>IFERROR(tblInventory[[#This Row],[Gross_Profit_30D]]/tblInventory[[#This Row],[Sales_Revenue_30D]],0)</f>
        <v>0.59021666356062641</v>
      </c>
      <c r="V66" s="2">
        <v>27309.74</v>
      </c>
    </row>
    <row r="67" spans="1:22" x14ac:dyDescent="0.3">
      <c r="A67" s="2" t="s">
        <v>243</v>
      </c>
      <c r="B67" s="2" t="s">
        <v>103</v>
      </c>
      <c r="C67" s="2" t="s">
        <v>4</v>
      </c>
      <c r="D67" s="2" t="s">
        <v>132</v>
      </c>
      <c r="E67" s="2" t="s">
        <v>67</v>
      </c>
      <c r="F67" s="2" t="s">
        <v>235</v>
      </c>
      <c r="G67" s="3">
        <v>57</v>
      </c>
      <c r="H67" s="4">
        <v>1077.5899999999999</v>
      </c>
      <c r="I67" s="4">
        <v>1844.26</v>
      </c>
      <c r="J67" s="3">
        <v>18</v>
      </c>
      <c r="K67" s="3">
        <f>tblInventory[[#This Row],[Qty_On_Hand]]*tblInventory[[#This Row],[Unit_Cost]]</f>
        <v>19396.62</v>
      </c>
      <c r="L67" s="3">
        <v>21</v>
      </c>
      <c r="M67" s="3">
        <f>IF(tblInventory[[#This Row],[Qty_On_Hand]]&lt;=tblInventory[[#This Row],[Reorder_Level]],1,0)</f>
        <v>1</v>
      </c>
      <c r="N67" s="3">
        <v>191</v>
      </c>
      <c r="O67" s="3" t="s">
        <v>198</v>
      </c>
      <c r="P67" s="2">
        <v>74</v>
      </c>
      <c r="Q67" s="6" t="s">
        <v>3</v>
      </c>
      <c r="R67" s="4">
        <v>136475.24</v>
      </c>
      <c r="S67" s="4">
        <v>79741.66</v>
      </c>
      <c r="T67" s="4">
        <v>56733.58</v>
      </c>
      <c r="U67" s="4">
        <f>IFERROR(tblInventory[[#This Row],[Gross_Profit_30D]]/tblInventory[[#This Row],[Sales_Revenue_30D]],0)</f>
        <v>0.41570602843416876</v>
      </c>
      <c r="V67" s="2">
        <v>19396.62</v>
      </c>
    </row>
    <row r="68" spans="1:22" x14ac:dyDescent="0.3">
      <c r="A68" s="2" t="s">
        <v>244</v>
      </c>
      <c r="B68" s="2" t="s">
        <v>245</v>
      </c>
      <c r="C68" s="2" t="s">
        <v>7</v>
      </c>
      <c r="D68" s="2" t="s">
        <v>108</v>
      </c>
      <c r="E68" s="2" t="s">
        <v>78</v>
      </c>
      <c r="F68" s="2" t="s">
        <v>246</v>
      </c>
      <c r="G68" s="3">
        <v>343</v>
      </c>
      <c r="H68" s="4">
        <v>949.41</v>
      </c>
      <c r="I68" s="4">
        <v>1861.51</v>
      </c>
      <c r="J68" s="3">
        <v>23</v>
      </c>
      <c r="K68" s="3">
        <f>tblInventory[[#This Row],[Qty_On_Hand]]*tblInventory[[#This Row],[Unit_Cost]]</f>
        <v>21836.43</v>
      </c>
      <c r="L68" s="3">
        <v>38</v>
      </c>
      <c r="M68" s="3">
        <f>IF(tblInventory[[#This Row],[Qty_On_Hand]]&lt;=tblInventory[[#This Row],[Reorder_Level]],1,0)</f>
        <v>1</v>
      </c>
      <c r="N68" s="3">
        <v>297</v>
      </c>
      <c r="O68" s="3" t="s">
        <v>201</v>
      </c>
      <c r="P68" s="2">
        <v>13</v>
      </c>
      <c r="Q68" s="6" t="s">
        <v>3</v>
      </c>
      <c r="R68" s="4">
        <v>24199.63</v>
      </c>
      <c r="S68" s="4">
        <v>12342.33</v>
      </c>
      <c r="T68" s="4">
        <v>11857.3</v>
      </c>
      <c r="U68" s="4">
        <f>IFERROR(tblInventory[[#This Row],[Gross_Profit_30D]]/tblInventory[[#This Row],[Sales_Revenue_30D]],0)</f>
        <v>0.48997856578798926</v>
      </c>
      <c r="V68" s="2">
        <v>21836.43</v>
      </c>
    </row>
    <row r="69" spans="1:22" x14ac:dyDescent="0.3">
      <c r="A69" s="2" t="s">
        <v>247</v>
      </c>
      <c r="B69" s="2" t="s">
        <v>234</v>
      </c>
      <c r="C69" s="2" t="s">
        <v>0</v>
      </c>
      <c r="D69" s="2" t="s">
        <v>72</v>
      </c>
      <c r="E69" s="2" t="s">
        <v>78</v>
      </c>
      <c r="F69" s="2" t="s">
        <v>248</v>
      </c>
      <c r="G69" s="3">
        <v>87</v>
      </c>
      <c r="H69" s="4">
        <v>1266.3</v>
      </c>
      <c r="I69" s="4">
        <v>1748.02</v>
      </c>
      <c r="J69" s="3">
        <v>15</v>
      </c>
      <c r="K69" s="3">
        <f>tblInventory[[#This Row],[Qty_On_Hand]]*tblInventory[[#This Row],[Unit_Cost]]</f>
        <v>18994.5</v>
      </c>
      <c r="L69" s="3">
        <v>34</v>
      </c>
      <c r="M69" s="3">
        <f>IF(tblInventory[[#This Row],[Qty_On_Hand]]&lt;=tblInventory[[#This Row],[Reorder_Level]],1,0)</f>
        <v>1</v>
      </c>
      <c r="N69" s="3">
        <v>257</v>
      </c>
      <c r="O69" s="3" t="s">
        <v>137</v>
      </c>
      <c r="P69" s="2">
        <v>144</v>
      </c>
      <c r="Q69" s="6" t="s">
        <v>3</v>
      </c>
      <c r="R69" s="4">
        <v>251714.88</v>
      </c>
      <c r="S69" s="4">
        <v>182347.2</v>
      </c>
      <c r="T69" s="4">
        <v>69367.679999999993</v>
      </c>
      <c r="U69" s="4">
        <f>IFERROR(tblInventory[[#This Row],[Gross_Profit_30D]]/tblInventory[[#This Row],[Sales_Revenue_30D]],0)</f>
        <v>0.27558037093397098</v>
      </c>
      <c r="V69" s="2">
        <v>18994.5</v>
      </c>
    </row>
    <row r="70" spans="1:22" x14ac:dyDescent="0.3">
      <c r="A70" s="2" t="s">
        <v>249</v>
      </c>
      <c r="B70" s="2" t="s">
        <v>12</v>
      </c>
      <c r="C70" s="2" t="s">
        <v>0</v>
      </c>
      <c r="D70" s="2" t="s">
        <v>132</v>
      </c>
      <c r="E70" s="2" t="s">
        <v>78</v>
      </c>
      <c r="F70" s="2" t="s">
        <v>209</v>
      </c>
      <c r="G70" s="3">
        <v>360</v>
      </c>
      <c r="H70" s="4">
        <v>1585.67</v>
      </c>
      <c r="I70" s="4">
        <v>2598.17</v>
      </c>
      <c r="J70" s="3">
        <v>76</v>
      </c>
      <c r="K70" s="3">
        <f>tblInventory[[#This Row],[Qty_On_Hand]]*tblInventory[[#This Row],[Unit_Cost]]</f>
        <v>120510.92000000001</v>
      </c>
      <c r="L70" s="3">
        <v>81</v>
      </c>
      <c r="M70" s="3">
        <f>IF(tblInventory[[#This Row],[Qty_On_Hand]]&lt;=tblInventory[[#This Row],[Reorder_Level]],1,0)</f>
        <v>1</v>
      </c>
      <c r="N70" s="3">
        <v>147</v>
      </c>
      <c r="O70" s="3" t="s">
        <v>156</v>
      </c>
      <c r="P70" s="2">
        <v>115</v>
      </c>
      <c r="Q70" s="6" t="s">
        <v>3</v>
      </c>
      <c r="R70" s="4">
        <v>298789.55</v>
      </c>
      <c r="S70" s="4">
        <v>182352.05</v>
      </c>
      <c r="T70" s="4">
        <v>116437.5</v>
      </c>
      <c r="U70" s="4">
        <f>IFERROR(tblInventory[[#This Row],[Gross_Profit_30D]]/tblInventory[[#This Row],[Sales_Revenue_30D]],0)</f>
        <v>0.3896973639138317</v>
      </c>
      <c r="V70" s="2">
        <v>120510.92</v>
      </c>
    </row>
    <row r="71" spans="1:22" x14ac:dyDescent="0.3">
      <c r="A71" s="2" t="s">
        <v>250</v>
      </c>
      <c r="B71" s="2" t="s">
        <v>27</v>
      </c>
      <c r="C71" s="2" t="s">
        <v>6</v>
      </c>
      <c r="D71" s="2" t="s">
        <v>128</v>
      </c>
      <c r="E71" s="2" t="s">
        <v>67</v>
      </c>
      <c r="F71" s="2" t="s">
        <v>251</v>
      </c>
      <c r="G71" s="3">
        <v>80</v>
      </c>
      <c r="H71" s="4">
        <v>1921.02</v>
      </c>
      <c r="I71" s="4">
        <v>2783.27</v>
      </c>
      <c r="J71" s="3">
        <v>12</v>
      </c>
      <c r="K71" s="3">
        <f>tblInventory[[#This Row],[Qty_On_Hand]]*tblInventory[[#This Row],[Unit_Cost]]</f>
        <v>23052.239999999998</v>
      </c>
      <c r="L71" s="3">
        <v>41</v>
      </c>
      <c r="M71" s="3">
        <f>IF(tblInventory[[#This Row],[Qty_On_Hand]]&lt;=tblInventory[[#This Row],[Reorder_Level]],1,0)</f>
        <v>1</v>
      </c>
      <c r="N71" s="3">
        <v>210</v>
      </c>
      <c r="O71" s="3" t="s">
        <v>252</v>
      </c>
      <c r="P71" s="2">
        <v>54</v>
      </c>
      <c r="Q71" s="6" t="s">
        <v>3</v>
      </c>
      <c r="R71" s="4">
        <v>150296.57999999999</v>
      </c>
      <c r="S71" s="4">
        <v>103735.08</v>
      </c>
      <c r="T71" s="4">
        <v>46561.5</v>
      </c>
      <c r="U71" s="4">
        <f>IFERROR(tblInventory[[#This Row],[Gross_Profit_30D]]/tblInventory[[#This Row],[Sales_Revenue_30D]],0)</f>
        <v>0.3097974684453898</v>
      </c>
      <c r="V71" s="2">
        <v>23052.240000000002</v>
      </c>
    </row>
    <row r="72" spans="1:22" x14ac:dyDescent="0.3">
      <c r="A72" s="2" t="s">
        <v>253</v>
      </c>
      <c r="B72" s="2" t="s">
        <v>12</v>
      </c>
      <c r="C72" s="2" t="s">
        <v>0</v>
      </c>
      <c r="D72" s="2" t="s">
        <v>96</v>
      </c>
      <c r="E72" s="2" t="s">
        <v>73</v>
      </c>
      <c r="F72" s="2" t="s">
        <v>235</v>
      </c>
      <c r="G72" s="3">
        <v>88</v>
      </c>
      <c r="H72" s="4">
        <v>25.3</v>
      </c>
      <c r="I72" s="4">
        <v>49.99</v>
      </c>
      <c r="J72" s="3">
        <v>49</v>
      </c>
      <c r="K72" s="3">
        <f>tblInventory[[#This Row],[Qty_On_Hand]]*tblInventory[[#This Row],[Unit_Cost]]</f>
        <v>1239.7</v>
      </c>
      <c r="L72" s="3">
        <v>91</v>
      </c>
      <c r="M72" s="3">
        <f>IF(tblInventory[[#This Row],[Qty_On_Hand]]&lt;=tblInventory[[#This Row],[Reorder_Level]],1,0)</f>
        <v>1</v>
      </c>
      <c r="N72" s="3">
        <v>170</v>
      </c>
      <c r="O72" s="3" t="s">
        <v>105</v>
      </c>
      <c r="P72" s="2">
        <v>74</v>
      </c>
      <c r="Q72" s="6" t="s">
        <v>3</v>
      </c>
      <c r="R72" s="4">
        <v>3699.26</v>
      </c>
      <c r="S72" s="4">
        <v>1872.2</v>
      </c>
      <c r="T72" s="4">
        <v>1827.06</v>
      </c>
      <c r="U72" s="4">
        <f>IFERROR(tblInventory[[#This Row],[Gross_Profit_30D]]/tblInventory[[#This Row],[Sales_Revenue_30D]],0)</f>
        <v>0.49389877975595115</v>
      </c>
      <c r="V72" s="2">
        <v>1239.7</v>
      </c>
    </row>
    <row r="73" spans="1:22" x14ac:dyDescent="0.3">
      <c r="A73" s="2" t="s">
        <v>254</v>
      </c>
      <c r="B73" s="2" t="s">
        <v>204</v>
      </c>
      <c r="C73" s="2" t="s">
        <v>8</v>
      </c>
      <c r="D73" s="2" t="s">
        <v>77</v>
      </c>
      <c r="E73" s="2" t="s">
        <v>67</v>
      </c>
      <c r="F73" s="2" t="s">
        <v>197</v>
      </c>
      <c r="G73" s="3">
        <v>86</v>
      </c>
      <c r="H73" s="4">
        <v>1849.34</v>
      </c>
      <c r="I73" s="4">
        <v>4589.58</v>
      </c>
      <c r="J73" s="3">
        <v>40</v>
      </c>
      <c r="K73" s="3">
        <f>tblInventory[[#This Row],[Qty_On_Hand]]*tblInventory[[#This Row],[Unit_Cost]]</f>
        <v>73973.599999999991</v>
      </c>
      <c r="L73" s="3">
        <v>95</v>
      </c>
      <c r="M73" s="3">
        <f>IF(tblInventory[[#This Row],[Qty_On_Hand]]&lt;=tblInventory[[#This Row],[Reorder_Level]],1,0)</f>
        <v>1</v>
      </c>
      <c r="N73" s="3">
        <v>200</v>
      </c>
      <c r="O73" s="3" t="s">
        <v>144</v>
      </c>
      <c r="P73" s="2">
        <v>50</v>
      </c>
      <c r="Q73" s="6" t="s">
        <v>3</v>
      </c>
      <c r="R73" s="4">
        <v>229479</v>
      </c>
      <c r="S73" s="4">
        <v>92467</v>
      </c>
      <c r="T73" s="4">
        <v>137012</v>
      </c>
      <c r="U73" s="4">
        <f>IFERROR(tblInventory[[#This Row],[Gross_Profit_30D]]/tblInventory[[#This Row],[Sales_Revenue_30D]],0)</f>
        <v>0.5970568112986373</v>
      </c>
      <c r="V73" s="2">
        <v>73973.600000000006</v>
      </c>
    </row>
    <row r="74" spans="1:22" x14ac:dyDescent="0.3">
      <c r="A74" s="2" t="s">
        <v>255</v>
      </c>
      <c r="B74" s="2" t="s">
        <v>42</v>
      </c>
      <c r="C74" s="2" t="s">
        <v>6</v>
      </c>
      <c r="D74" s="2" t="s">
        <v>132</v>
      </c>
      <c r="E74" s="2" t="s">
        <v>73</v>
      </c>
      <c r="F74" s="2" t="s">
        <v>256</v>
      </c>
      <c r="G74" s="3">
        <v>473</v>
      </c>
      <c r="H74" s="4">
        <v>161.38999999999999</v>
      </c>
      <c r="I74" s="4">
        <v>249.97</v>
      </c>
      <c r="J74" s="3">
        <v>47</v>
      </c>
      <c r="K74" s="3">
        <f>tblInventory[[#This Row],[Qty_On_Hand]]*tblInventory[[#This Row],[Unit_Cost]]</f>
        <v>7585.329999999999</v>
      </c>
      <c r="L74" s="3">
        <v>54</v>
      </c>
      <c r="M74" s="3">
        <f>IF(tblInventory[[#This Row],[Qty_On_Hand]]&lt;=tblInventory[[#This Row],[Reorder_Level]],1,0)</f>
        <v>1</v>
      </c>
      <c r="N74" s="3">
        <v>202</v>
      </c>
      <c r="O74" s="3" t="s">
        <v>83</v>
      </c>
      <c r="P74" s="2">
        <v>145</v>
      </c>
      <c r="Q74" s="6" t="s">
        <v>3</v>
      </c>
      <c r="R74" s="4">
        <v>36245.65</v>
      </c>
      <c r="S74" s="4">
        <v>23401.55</v>
      </c>
      <c r="T74" s="4">
        <v>12844.1</v>
      </c>
      <c r="U74" s="4">
        <f>IFERROR(tblInventory[[#This Row],[Gross_Profit_30D]]/tblInventory[[#This Row],[Sales_Revenue_30D]],0)</f>
        <v>0.35436252350282033</v>
      </c>
      <c r="V74" s="2">
        <v>7585.33</v>
      </c>
    </row>
    <row r="75" spans="1:22" x14ac:dyDescent="0.3">
      <c r="A75" s="2" t="s">
        <v>257</v>
      </c>
      <c r="B75" s="2" t="s">
        <v>234</v>
      </c>
      <c r="C75" s="2" t="s">
        <v>0</v>
      </c>
      <c r="D75" s="2" t="s">
        <v>72</v>
      </c>
      <c r="E75" s="2" t="s">
        <v>91</v>
      </c>
      <c r="F75" s="2" t="s">
        <v>258</v>
      </c>
      <c r="G75" s="3">
        <v>408</v>
      </c>
      <c r="H75" s="4">
        <v>1886.5</v>
      </c>
      <c r="I75" s="4">
        <v>3868.66</v>
      </c>
      <c r="J75" s="3">
        <v>38</v>
      </c>
      <c r="K75" s="3">
        <f>tblInventory[[#This Row],[Qty_On_Hand]]*tblInventory[[#This Row],[Unit_Cost]]</f>
        <v>71687</v>
      </c>
      <c r="L75" s="3">
        <v>78</v>
      </c>
      <c r="M75" s="3">
        <f>IF(tblInventory[[#This Row],[Qty_On_Hand]]&lt;=tblInventory[[#This Row],[Reorder_Level]],1,0)</f>
        <v>1</v>
      </c>
      <c r="N75" s="3">
        <v>162</v>
      </c>
      <c r="O75" s="3" t="s">
        <v>198</v>
      </c>
      <c r="P75" s="2">
        <v>20</v>
      </c>
      <c r="Q75" s="6" t="s">
        <v>3</v>
      </c>
      <c r="R75" s="4">
        <v>77373.2</v>
      </c>
      <c r="S75" s="4">
        <v>37730</v>
      </c>
      <c r="T75" s="4">
        <v>39643.199999999997</v>
      </c>
      <c r="U75" s="4">
        <f>IFERROR(tblInventory[[#This Row],[Gross_Profit_30D]]/tblInventory[[#This Row],[Sales_Revenue_30D]],0)</f>
        <v>0.51236345401250039</v>
      </c>
      <c r="V75" s="2">
        <v>71687</v>
      </c>
    </row>
    <row r="76" spans="1:22" x14ac:dyDescent="0.3">
      <c r="A76" s="2" t="s">
        <v>259</v>
      </c>
      <c r="B76" s="2" t="s">
        <v>38</v>
      </c>
      <c r="C76" s="2" t="s">
        <v>2</v>
      </c>
      <c r="D76" s="2" t="s">
        <v>128</v>
      </c>
      <c r="E76" s="2" t="s">
        <v>67</v>
      </c>
      <c r="F76" s="2" t="s">
        <v>82</v>
      </c>
      <c r="G76" s="3">
        <v>63</v>
      </c>
      <c r="H76" s="4">
        <v>473.27</v>
      </c>
      <c r="I76" s="4">
        <v>1093.94</v>
      </c>
      <c r="J76" s="3">
        <v>17</v>
      </c>
      <c r="K76" s="3">
        <f>tblInventory[[#This Row],[Qty_On_Hand]]*tblInventory[[#This Row],[Unit_Cost]]</f>
        <v>8045.59</v>
      </c>
      <c r="L76" s="3">
        <v>88</v>
      </c>
      <c r="M76" s="3">
        <f>IF(tblInventory[[#This Row],[Qty_On_Hand]]&lt;=tblInventory[[#This Row],[Reorder_Level]],1,0)</f>
        <v>1</v>
      </c>
      <c r="N76" s="3">
        <v>200</v>
      </c>
      <c r="O76" s="3" t="s">
        <v>83</v>
      </c>
      <c r="P76" s="2">
        <v>5</v>
      </c>
      <c r="Q76" s="6" t="s">
        <v>3</v>
      </c>
      <c r="R76" s="4">
        <v>5469.7</v>
      </c>
      <c r="S76" s="4">
        <v>2366.35</v>
      </c>
      <c r="T76" s="4">
        <v>3103.35</v>
      </c>
      <c r="U76" s="4">
        <f>IFERROR(tblInventory[[#This Row],[Gross_Profit_30D]]/tblInventory[[#This Row],[Sales_Revenue_30D]],0)</f>
        <v>0.56737115381099512</v>
      </c>
      <c r="V76" s="2">
        <v>8045.59</v>
      </c>
    </row>
    <row r="77" spans="1:22" x14ac:dyDescent="0.3">
      <c r="A77" s="2" t="s">
        <v>260</v>
      </c>
      <c r="B77" s="2" t="s">
        <v>261</v>
      </c>
      <c r="C77" s="2" t="s">
        <v>7</v>
      </c>
      <c r="D77" s="2" t="s">
        <v>66</v>
      </c>
      <c r="E77" s="2" t="s">
        <v>73</v>
      </c>
      <c r="F77" s="2" t="s">
        <v>226</v>
      </c>
      <c r="G77" s="3">
        <v>383</v>
      </c>
      <c r="H77" s="4">
        <v>1833.82</v>
      </c>
      <c r="I77" s="4">
        <v>2883.19</v>
      </c>
      <c r="J77" s="3">
        <v>226</v>
      </c>
      <c r="K77" s="3">
        <f>tblInventory[[#This Row],[Qty_On_Hand]]*tblInventory[[#This Row],[Unit_Cost]]</f>
        <v>414443.32</v>
      </c>
      <c r="L77" s="3">
        <v>89</v>
      </c>
      <c r="M77" s="3">
        <f>IF(tblInventory[[#This Row],[Qty_On_Hand]]&lt;=tblInventory[[#This Row],[Reorder_Level]],1,0)</f>
        <v>0</v>
      </c>
      <c r="N77" s="3">
        <v>161</v>
      </c>
      <c r="O77" s="3" t="s">
        <v>75</v>
      </c>
      <c r="P77" s="2">
        <v>125</v>
      </c>
      <c r="Q77" s="7" t="s">
        <v>1</v>
      </c>
      <c r="R77" s="4">
        <v>360398.75</v>
      </c>
      <c r="S77" s="4">
        <v>229227.5</v>
      </c>
      <c r="T77" s="4">
        <v>131171.25</v>
      </c>
      <c r="U77" s="4">
        <f>IFERROR(tblInventory[[#This Row],[Gross_Profit_30D]]/tblInventory[[#This Row],[Sales_Revenue_30D]],0)</f>
        <v>0.36396144548226095</v>
      </c>
      <c r="V77" s="2">
        <v>414443.32</v>
      </c>
    </row>
    <row r="78" spans="1:22" x14ac:dyDescent="0.3">
      <c r="A78" s="2" t="s">
        <v>262</v>
      </c>
      <c r="B78" s="2" t="s">
        <v>263</v>
      </c>
      <c r="C78" s="2" t="s">
        <v>8</v>
      </c>
      <c r="D78" s="2" t="s">
        <v>81</v>
      </c>
      <c r="E78" s="2" t="s">
        <v>91</v>
      </c>
      <c r="F78" s="2" t="s">
        <v>187</v>
      </c>
      <c r="G78" s="3">
        <v>393</v>
      </c>
      <c r="H78" s="4">
        <v>1718.31</v>
      </c>
      <c r="I78" s="4">
        <v>3083.86</v>
      </c>
      <c r="J78" s="3">
        <v>53</v>
      </c>
      <c r="K78" s="3">
        <f>tblInventory[[#This Row],[Qty_On_Hand]]*tblInventory[[#This Row],[Unit_Cost]]</f>
        <v>91070.43</v>
      </c>
      <c r="L78" s="3">
        <v>78</v>
      </c>
      <c r="M78" s="3">
        <f>IF(tblInventory[[#This Row],[Qty_On_Hand]]&lt;=tblInventory[[#This Row],[Reorder_Level]],1,0)</f>
        <v>1</v>
      </c>
      <c r="N78" s="3">
        <v>123</v>
      </c>
      <c r="O78" s="3" t="s">
        <v>182</v>
      </c>
      <c r="P78" s="2">
        <v>102</v>
      </c>
      <c r="Q78" s="6" t="s">
        <v>3</v>
      </c>
      <c r="R78" s="4">
        <v>314553.71999999997</v>
      </c>
      <c r="S78" s="4">
        <v>175267.62</v>
      </c>
      <c r="T78" s="4">
        <v>139286.1</v>
      </c>
      <c r="U78" s="4">
        <f>IFERROR(tblInventory[[#This Row],[Gross_Profit_30D]]/tblInventory[[#This Row],[Sales_Revenue_30D]],0)</f>
        <v>0.44280544512396808</v>
      </c>
      <c r="V78" s="2">
        <v>91070.43</v>
      </c>
    </row>
    <row r="79" spans="1:22" x14ac:dyDescent="0.3">
      <c r="A79" s="2" t="s">
        <v>264</v>
      </c>
      <c r="B79" s="2" t="s">
        <v>38</v>
      </c>
      <c r="C79" s="2" t="s">
        <v>2</v>
      </c>
      <c r="D79" s="2" t="s">
        <v>108</v>
      </c>
      <c r="E79" s="2" t="s">
        <v>78</v>
      </c>
      <c r="F79" s="2" t="s">
        <v>265</v>
      </c>
      <c r="G79" s="3">
        <v>215</v>
      </c>
      <c r="H79" s="4">
        <v>1940.97</v>
      </c>
      <c r="I79" s="4">
        <v>3700</v>
      </c>
      <c r="J79" s="3">
        <v>29</v>
      </c>
      <c r="K79" s="3">
        <f>tblInventory[[#This Row],[Qty_On_Hand]]*tblInventory[[#This Row],[Unit_Cost]]</f>
        <v>56288.13</v>
      </c>
      <c r="L79" s="3">
        <v>80</v>
      </c>
      <c r="M79" s="3">
        <f>IF(tblInventory[[#This Row],[Qty_On_Hand]]&lt;=tblInventory[[#This Row],[Reorder_Level]],1,0)</f>
        <v>1</v>
      </c>
      <c r="N79" s="3">
        <v>261</v>
      </c>
      <c r="O79" s="3" t="s">
        <v>83</v>
      </c>
      <c r="P79" s="2">
        <v>0</v>
      </c>
      <c r="Q79" s="6" t="s">
        <v>3</v>
      </c>
      <c r="R79" s="4">
        <v>0</v>
      </c>
      <c r="S79" s="4">
        <v>0</v>
      </c>
      <c r="T79" s="4">
        <v>0</v>
      </c>
      <c r="U79" s="4">
        <f>IFERROR(tblInventory[[#This Row],[Gross_Profit_30D]]/tblInventory[[#This Row],[Sales_Revenue_30D]],0)</f>
        <v>0</v>
      </c>
      <c r="V79" s="2">
        <v>56288.13</v>
      </c>
    </row>
    <row r="80" spans="1:22" x14ac:dyDescent="0.3">
      <c r="A80" s="2" t="s">
        <v>266</v>
      </c>
      <c r="B80" s="2" t="s">
        <v>146</v>
      </c>
      <c r="C80" s="2" t="s">
        <v>7</v>
      </c>
      <c r="D80" s="2" t="s">
        <v>108</v>
      </c>
      <c r="E80" s="2" t="s">
        <v>91</v>
      </c>
      <c r="F80" s="2" t="s">
        <v>267</v>
      </c>
      <c r="G80" s="3">
        <v>315</v>
      </c>
      <c r="H80" s="4">
        <v>1252.82</v>
      </c>
      <c r="I80" s="4">
        <v>2565.4499999999998</v>
      </c>
      <c r="J80" s="3">
        <v>185</v>
      </c>
      <c r="K80" s="3">
        <f>tblInventory[[#This Row],[Qty_On_Hand]]*tblInventory[[#This Row],[Unit_Cost]]</f>
        <v>231771.69999999998</v>
      </c>
      <c r="L80" s="3">
        <v>71</v>
      </c>
      <c r="M80" s="3">
        <f>IF(tblInventory[[#This Row],[Qty_On_Hand]]&lt;=tblInventory[[#This Row],[Reorder_Level]],1,0)</f>
        <v>0</v>
      </c>
      <c r="N80" s="3">
        <v>244</v>
      </c>
      <c r="O80" s="3" t="s">
        <v>162</v>
      </c>
      <c r="P80" s="2">
        <v>13</v>
      </c>
      <c r="Q80" s="7" t="s">
        <v>1</v>
      </c>
      <c r="R80" s="4">
        <v>33350.85</v>
      </c>
      <c r="S80" s="4">
        <v>16286.66</v>
      </c>
      <c r="T80" s="4">
        <v>17064.189999999999</v>
      </c>
      <c r="U80" s="4">
        <f>IFERROR(tblInventory[[#This Row],[Gross_Profit_30D]]/tblInventory[[#This Row],[Sales_Revenue_30D]],0)</f>
        <v>0.51165682433880999</v>
      </c>
      <c r="V80" s="2">
        <v>231771.7</v>
      </c>
    </row>
    <row r="81" spans="1:22" x14ac:dyDescent="0.3">
      <c r="A81" s="2" t="s">
        <v>268</v>
      </c>
      <c r="B81" s="2" t="s">
        <v>103</v>
      </c>
      <c r="C81" s="2" t="s">
        <v>4</v>
      </c>
      <c r="D81" s="2" t="s">
        <v>96</v>
      </c>
      <c r="E81" s="2" t="s">
        <v>67</v>
      </c>
      <c r="F81" s="2" t="s">
        <v>269</v>
      </c>
      <c r="G81" s="3">
        <v>298</v>
      </c>
      <c r="H81" s="4">
        <v>77.16</v>
      </c>
      <c r="I81" s="4">
        <v>173.23</v>
      </c>
      <c r="J81" s="3">
        <v>62</v>
      </c>
      <c r="K81" s="3">
        <f>tblInventory[[#This Row],[Qty_On_Hand]]*tblInventory[[#This Row],[Unit_Cost]]</f>
        <v>4783.92</v>
      </c>
      <c r="L81" s="3">
        <v>45</v>
      </c>
      <c r="M81" s="3">
        <f>IF(tblInventory[[#This Row],[Qty_On_Hand]]&lt;=tblInventory[[#This Row],[Reorder_Level]],1,0)</f>
        <v>0</v>
      </c>
      <c r="N81" s="3">
        <v>231</v>
      </c>
      <c r="O81" s="3" t="s">
        <v>88</v>
      </c>
      <c r="P81" s="2">
        <v>40</v>
      </c>
      <c r="Q81" s="7" t="s">
        <v>1</v>
      </c>
      <c r="R81" s="4">
        <v>6929.2</v>
      </c>
      <c r="S81" s="4">
        <v>3086.4</v>
      </c>
      <c r="T81" s="4">
        <v>3842.8</v>
      </c>
      <c r="U81" s="4">
        <f>IFERROR(tblInventory[[#This Row],[Gross_Profit_30D]]/tblInventory[[#This Row],[Sales_Revenue_30D]],0)</f>
        <v>0.55458061536685332</v>
      </c>
      <c r="V81" s="2">
        <v>4783.92</v>
      </c>
    </row>
    <row r="82" spans="1:22" x14ac:dyDescent="0.3">
      <c r="A82" s="2" t="s">
        <v>270</v>
      </c>
      <c r="B82" s="2" t="s">
        <v>232</v>
      </c>
      <c r="C82" s="2" t="s">
        <v>0</v>
      </c>
      <c r="D82" s="2" t="s">
        <v>66</v>
      </c>
      <c r="E82" s="2" t="s">
        <v>86</v>
      </c>
      <c r="F82" s="2" t="s">
        <v>271</v>
      </c>
      <c r="G82" s="3">
        <v>165</v>
      </c>
      <c r="H82" s="4">
        <v>933.67</v>
      </c>
      <c r="I82" s="4">
        <v>1378.28</v>
      </c>
      <c r="J82" s="3">
        <v>29</v>
      </c>
      <c r="K82" s="3">
        <f>tblInventory[[#This Row],[Qty_On_Hand]]*tblInventory[[#This Row],[Unit_Cost]]</f>
        <v>27076.43</v>
      </c>
      <c r="L82" s="3">
        <v>34</v>
      </c>
      <c r="M82" s="3">
        <f>IF(tblInventory[[#This Row],[Qty_On_Hand]]&lt;=tblInventory[[#This Row],[Reorder_Level]],1,0)</f>
        <v>1</v>
      </c>
      <c r="N82" s="3">
        <v>177</v>
      </c>
      <c r="O82" s="3" t="s">
        <v>126</v>
      </c>
      <c r="P82" s="2">
        <v>74</v>
      </c>
      <c r="Q82" s="6" t="s">
        <v>3</v>
      </c>
      <c r="R82" s="4">
        <v>101992.72</v>
      </c>
      <c r="S82" s="4">
        <v>69091.58</v>
      </c>
      <c r="T82" s="4">
        <v>32901.14</v>
      </c>
      <c r="U82" s="4">
        <f>IFERROR(tblInventory[[#This Row],[Gross_Profit_30D]]/tblInventory[[#This Row],[Sales_Revenue_30D]],0)</f>
        <v>0.32258321966508979</v>
      </c>
      <c r="V82" s="2">
        <v>27076.43</v>
      </c>
    </row>
    <row r="83" spans="1:22" x14ac:dyDescent="0.3">
      <c r="A83" s="2" t="s">
        <v>272</v>
      </c>
      <c r="B83" s="2" t="s">
        <v>273</v>
      </c>
      <c r="C83" s="2" t="s">
        <v>2</v>
      </c>
      <c r="D83" s="2" t="s">
        <v>128</v>
      </c>
      <c r="E83" s="2" t="s">
        <v>91</v>
      </c>
      <c r="F83" s="2" t="s">
        <v>226</v>
      </c>
      <c r="G83" s="3">
        <v>283</v>
      </c>
      <c r="H83" s="4">
        <v>306.39</v>
      </c>
      <c r="I83" s="4">
        <v>485.91</v>
      </c>
      <c r="J83" s="3">
        <v>282</v>
      </c>
      <c r="K83" s="3">
        <f>tblInventory[[#This Row],[Qty_On_Hand]]*tblInventory[[#This Row],[Unit_Cost]]</f>
        <v>86401.98</v>
      </c>
      <c r="L83" s="3">
        <v>91</v>
      </c>
      <c r="M83" s="3">
        <f>IF(tblInventory[[#This Row],[Qty_On_Hand]]&lt;=tblInventory[[#This Row],[Reorder_Level]],1,0)</f>
        <v>0</v>
      </c>
      <c r="N83" s="3">
        <v>180</v>
      </c>
      <c r="O83" s="3" t="s">
        <v>69</v>
      </c>
      <c r="P83" s="2">
        <v>34</v>
      </c>
      <c r="Q83" s="7" t="s">
        <v>1</v>
      </c>
      <c r="R83" s="4">
        <v>16520.939999999999</v>
      </c>
      <c r="S83" s="4">
        <v>10417.26</v>
      </c>
      <c r="T83" s="4">
        <v>6103.68</v>
      </c>
      <c r="U83" s="4">
        <f>IFERROR(tblInventory[[#This Row],[Gross_Profit_30D]]/tblInventory[[#This Row],[Sales_Revenue_30D]],0)</f>
        <v>0.36945113292585052</v>
      </c>
      <c r="V83" s="2">
        <v>86401.98</v>
      </c>
    </row>
    <row r="84" spans="1:22" x14ac:dyDescent="0.3">
      <c r="A84" s="2" t="s">
        <v>274</v>
      </c>
      <c r="B84" s="2" t="s">
        <v>44</v>
      </c>
      <c r="C84" s="2" t="s">
        <v>8</v>
      </c>
      <c r="D84" s="2" t="s">
        <v>128</v>
      </c>
      <c r="E84" s="2" t="s">
        <v>67</v>
      </c>
      <c r="F84" s="2" t="s">
        <v>275</v>
      </c>
      <c r="G84" s="3">
        <v>186</v>
      </c>
      <c r="H84" s="4">
        <v>580.02</v>
      </c>
      <c r="I84" s="4">
        <v>1013.78</v>
      </c>
      <c r="J84" s="3">
        <v>0</v>
      </c>
      <c r="K84" s="3">
        <f>tblInventory[[#This Row],[Qty_On_Hand]]*tblInventory[[#This Row],[Unit_Cost]]</f>
        <v>0</v>
      </c>
      <c r="L84" s="3">
        <v>90</v>
      </c>
      <c r="M84" s="3">
        <f>IF(tblInventory[[#This Row],[Qty_On_Hand]]&lt;=tblInventory[[#This Row],[Reorder_Level]],1,0)</f>
        <v>1</v>
      </c>
      <c r="N84" s="3">
        <v>198</v>
      </c>
      <c r="O84" s="3" t="s">
        <v>75</v>
      </c>
      <c r="P84" s="2">
        <v>125</v>
      </c>
      <c r="Q84" s="5" t="s">
        <v>5</v>
      </c>
      <c r="R84" s="4">
        <v>126722.5</v>
      </c>
      <c r="S84" s="4">
        <v>72502.5</v>
      </c>
      <c r="T84" s="4">
        <v>54220</v>
      </c>
      <c r="U84" s="4">
        <f>IFERROR(tblInventory[[#This Row],[Gross_Profit_30D]]/tblInventory[[#This Row],[Sales_Revenue_30D]],0)</f>
        <v>0.42786403361676101</v>
      </c>
      <c r="V84" s="2">
        <v>0</v>
      </c>
    </row>
    <row r="85" spans="1:22" x14ac:dyDescent="0.3">
      <c r="A85" s="2" t="s">
        <v>276</v>
      </c>
      <c r="B85" s="2" t="s">
        <v>277</v>
      </c>
      <c r="C85" s="2" t="s">
        <v>4</v>
      </c>
      <c r="D85" s="2" t="s">
        <v>108</v>
      </c>
      <c r="E85" s="2" t="s">
        <v>67</v>
      </c>
      <c r="F85" s="2" t="s">
        <v>187</v>
      </c>
      <c r="G85" s="3">
        <v>440</v>
      </c>
      <c r="H85" s="4">
        <v>766.88</v>
      </c>
      <c r="I85" s="4">
        <v>2070.02</v>
      </c>
      <c r="J85" s="3">
        <v>278</v>
      </c>
      <c r="K85" s="3">
        <f>tblInventory[[#This Row],[Qty_On_Hand]]*tblInventory[[#This Row],[Unit_Cost]]</f>
        <v>213192.63999999998</v>
      </c>
      <c r="L85" s="3">
        <v>39</v>
      </c>
      <c r="M85" s="3">
        <f>IF(tblInventory[[#This Row],[Qty_On_Hand]]&lt;=tblInventory[[#This Row],[Reorder_Level]],1,0)</f>
        <v>0</v>
      </c>
      <c r="N85" s="3">
        <v>228</v>
      </c>
      <c r="O85" s="3" t="s">
        <v>105</v>
      </c>
      <c r="P85" s="2">
        <v>61</v>
      </c>
      <c r="Q85" s="7" t="s">
        <v>1</v>
      </c>
      <c r="R85" s="4">
        <v>126271.22</v>
      </c>
      <c r="S85" s="4">
        <v>46779.68</v>
      </c>
      <c r="T85" s="4">
        <v>79491.539999999994</v>
      </c>
      <c r="U85" s="4">
        <f>IFERROR(tblInventory[[#This Row],[Gross_Profit_30D]]/tblInventory[[#This Row],[Sales_Revenue_30D]],0)</f>
        <v>0.6295301494671548</v>
      </c>
      <c r="V85" s="2">
        <v>213192.64</v>
      </c>
    </row>
    <row r="86" spans="1:22" x14ac:dyDescent="0.3">
      <c r="A86" s="2" t="s">
        <v>278</v>
      </c>
      <c r="B86" s="2" t="s">
        <v>279</v>
      </c>
      <c r="C86" s="2" t="s">
        <v>2</v>
      </c>
      <c r="D86" s="2" t="s">
        <v>132</v>
      </c>
      <c r="E86" s="2" t="s">
        <v>91</v>
      </c>
      <c r="F86" s="2" t="s">
        <v>280</v>
      </c>
      <c r="G86" s="3">
        <v>431</v>
      </c>
      <c r="H86" s="4">
        <v>1416.35</v>
      </c>
      <c r="I86" s="4">
        <v>3565.11</v>
      </c>
      <c r="J86" s="3">
        <v>242</v>
      </c>
      <c r="K86" s="3">
        <f>tblInventory[[#This Row],[Qty_On_Hand]]*tblInventory[[#This Row],[Unit_Cost]]</f>
        <v>342756.69999999995</v>
      </c>
      <c r="L86" s="3">
        <v>64</v>
      </c>
      <c r="M86" s="3">
        <f>IF(tblInventory[[#This Row],[Qty_On_Hand]]&lt;=tblInventory[[#This Row],[Reorder_Level]],1,0)</f>
        <v>0</v>
      </c>
      <c r="N86" s="3">
        <v>219</v>
      </c>
      <c r="O86" s="3" t="s">
        <v>182</v>
      </c>
      <c r="P86" s="2">
        <v>38</v>
      </c>
      <c r="Q86" s="7" t="s">
        <v>1</v>
      </c>
      <c r="R86" s="4">
        <v>135474.18</v>
      </c>
      <c r="S86" s="4">
        <v>53821.3</v>
      </c>
      <c r="T86" s="4">
        <v>81652.88</v>
      </c>
      <c r="U86" s="4">
        <f>IFERROR(tblInventory[[#This Row],[Gross_Profit_30D]]/tblInventory[[#This Row],[Sales_Revenue_30D]],0)</f>
        <v>0.6027191306860098</v>
      </c>
      <c r="V86" s="2">
        <v>342756.7</v>
      </c>
    </row>
    <row r="87" spans="1:22" x14ac:dyDescent="0.3">
      <c r="A87" s="2" t="s">
        <v>281</v>
      </c>
      <c r="B87" s="2" t="s">
        <v>223</v>
      </c>
      <c r="C87" s="2" t="s">
        <v>6</v>
      </c>
      <c r="D87" s="2" t="s">
        <v>96</v>
      </c>
      <c r="E87" s="2" t="s">
        <v>86</v>
      </c>
      <c r="F87" s="2" t="s">
        <v>219</v>
      </c>
      <c r="G87" s="3">
        <v>495</v>
      </c>
      <c r="H87" s="4">
        <v>1750.9</v>
      </c>
      <c r="I87" s="4">
        <v>3432.57</v>
      </c>
      <c r="J87" s="3">
        <v>51</v>
      </c>
      <c r="K87" s="3">
        <f>tblInventory[[#This Row],[Qty_On_Hand]]*tblInventory[[#This Row],[Unit_Cost]]</f>
        <v>89295.900000000009</v>
      </c>
      <c r="L87" s="3">
        <v>82</v>
      </c>
      <c r="M87" s="3">
        <f>IF(tblInventory[[#This Row],[Qty_On_Hand]]&lt;=tblInventory[[#This Row],[Reorder_Level]],1,0)</f>
        <v>1</v>
      </c>
      <c r="N87" s="3">
        <v>283</v>
      </c>
      <c r="O87" s="3" t="s">
        <v>182</v>
      </c>
      <c r="P87" s="2">
        <v>116</v>
      </c>
      <c r="Q87" s="6" t="s">
        <v>3</v>
      </c>
      <c r="R87" s="4">
        <v>398178.12</v>
      </c>
      <c r="S87" s="4">
        <v>203104.4</v>
      </c>
      <c r="T87" s="4">
        <v>195073.72</v>
      </c>
      <c r="U87" s="4">
        <f>IFERROR(tblInventory[[#This Row],[Gross_Profit_30D]]/tblInventory[[#This Row],[Sales_Revenue_30D]],0)</f>
        <v>0.48991571912590276</v>
      </c>
      <c r="V87" s="2">
        <v>89295.9</v>
      </c>
    </row>
    <row r="88" spans="1:22" x14ac:dyDescent="0.3">
      <c r="A88" s="2" t="s">
        <v>282</v>
      </c>
      <c r="B88" s="2" t="s">
        <v>283</v>
      </c>
      <c r="C88" s="2" t="s">
        <v>8</v>
      </c>
      <c r="D88" s="2" t="s">
        <v>128</v>
      </c>
      <c r="E88" s="2" t="s">
        <v>73</v>
      </c>
      <c r="F88" s="2" t="s">
        <v>284</v>
      </c>
      <c r="G88" s="3">
        <v>450</v>
      </c>
      <c r="H88" s="4">
        <v>690.35</v>
      </c>
      <c r="I88" s="4">
        <v>1614.77</v>
      </c>
      <c r="J88" s="3">
        <v>135</v>
      </c>
      <c r="K88" s="3">
        <f>tblInventory[[#This Row],[Qty_On_Hand]]*tblInventory[[#This Row],[Unit_Cost]]</f>
        <v>93197.25</v>
      </c>
      <c r="L88" s="3">
        <v>98</v>
      </c>
      <c r="M88" s="3">
        <f>IF(tblInventory[[#This Row],[Qty_On_Hand]]&lt;=tblInventory[[#This Row],[Reorder_Level]],1,0)</f>
        <v>0</v>
      </c>
      <c r="N88" s="3">
        <v>70</v>
      </c>
      <c r="O88" s="3" t="s">
        <v>137</v>
      </c>
      <c r="P88" s="2">
        <v>84</v>
      </c>
      <c r="Q88" s="7" t="s">
        <v>1</v>
      </c>
      <c r="R88" s="4">
        <v>135640.68</v>
      </c>
      <c r="S88" s="4">
        <v>57989.4</v>
      </c>
      <c r="T88" s="4">
        <v>77651.28</v>
      </c>
      <c r="U88" s="4">
        <f>IFERROR(tblInventory[[#This Row],[Gross_Profit_30D]]/tblInventory[[#This Row],[Sales_Revenue_30D]],0)</f>
        <v>0.57247781417787058</v>
      </c>
      <c r="V88" s="2">
        <v>93197.25</v>
      </c>
    </row>
    <row r="89" spans="1:22" x14ac:dyDescent="0.3">
      <c r="A89" s="2" t="s">
        <v>285</v>
      </c>
      <c r="B89" s="2" t="s">
        <v>146</v>
      </c>
      <c r="C89" s="2" t="s">
        <v>7</v>
      </c>
      <c r="D89" s="2" t="s">
        <v>128</v>
      </c>
      <c r="E89" s="2" t="s">
        <v>67</v>
      </c>
      <c r="F89" s="2" t="s">
        <v>286</v>
      </c>
      <c r="G89" s="3">
        <v>438</v>
      </c>
      <c r="H89" s="4">
        <v>1747.32</v>
      </c>
      <c r="I89" s="4">
        <v>2365.61</v>
      </c>
      <c r="J89" s="3">
        <v>249</v>
      </c>
      <c r="K89" s="3">
        <f>tblInventory[[#This Row],[Qty_On_Hand]]*tblInventory[[#This Row],[Unit_Cost]]</f>
        <v>435082.68</v>
      </c>
      <c r="L89" s="3">
        <v>23</v>
      </c>
      <c r="M89" s="3">
        <f>IF(tblInventory[[#This Row],[Qty_On_Hand]]&lt;=tblInventory[[#This Row],[Reorder_Level]],1,0)</f>
        <v>0</v>
      </c>
      <c r="N89" s="3">
        <v>110</v>
      </c>
      <c r="O89" s="3" t="s">
        <v>88</v>
      </c>
      <c r="P89" s="2">
        <v>73</v>
      </c>
      <c r="Q89" s="7" t="s">
        <v>1</v>
      </c>
      <c r="R89" s="4">
        <v>172689.53</v>
      </c>
      <c r="S89" s="4">
        <v>127554.36</v>
      </c>
      <c r="T89" s="4">
        <v>45135.17</v>
      </c>
      <c r="U89" s="4">
        <f>IFERROR(tblInventory[[#This Row],[Gross_Profit_30D]]/tblInventory[[#This Row],[Sales_Revenue_30D]],0)</f>
        <v>0.26136599016744094</v>
      </c>
      <c r="V89" s="2">
        <v>435082.68</v>
      </c>
    </row>
    <row r="90" spans="1:22" x14ac:dyDescent="0.3">
      <c r="A90" s="2" t="s">
        <v>287</v>
      </c>
      <c r="B90" s="2" t="s">
        <v>40</v>
      </c>
      <c r="C90" s="2" t="s">
        <v>4</v>
      </c>
      <c r="D90" s="2" t="s">
        <v>128</v>
      </c>
      <c r="E90" s="2" t="s">
        <v>78</v>
      </c>
      <c r="F90" s="2" t="s">
        <v>79</v>
      </c>
      <c r="G90" s="3">
        <v>410</v>
      </c>
      <c r="H90" s="4">
        <v>898.48</v>
      </c>
      <c r="I90" s="4">
        <v>2103.34</v>
      </c>
      <c r="J90" s="3">
        <v>51</v>
      </c>
      <c r="K90" s="3">
        <f>tblInventory[[#This Row],[Qty_On_Hand]]*tblInventory[[#This Row],[Unit_Cost]]</f>
        <v>45822.48</v>
      </c>
      <c r="L90" s="3">
        <v>18</v>
      </c>
      <c r="M90" s="3">
        <f>IF(tblInventory[[#This Row],[Qty_On_Hand]]&lt;=tblInventory[[#This Row],[Reorder_Level]],1,0)</f>
        <v>0</v>
      </c>
      <c r="N90" s="3">
        <v>61</v>
      </c>
      <c r="O90" s="3" t="s">
        <v>118</v>
      </c>
      <c r="P90" s="2">
        <v>83</v>
      </c>
      <c r="Q90" s="7" t="s">
        <v>1</v>
      </c>
      <c r="R90" s="4">
        <v>174577.22</v>
      </c>
      <c r="S90" s="4">
        <v>74573.84</v>
      </c>
      <c r="T90" s="4">
        <v>100003.38</v>
      </c>
      <c r="U90" s="4">
        <f>IFERROR(tblInventory[[#This Row],[Gross_Profit_30D]]/tblInventory[[#This Row],[Sales_Revenue_30D]],0)</f>
        <v>0.57283178183270422</v>
      </c>
      <c r="V90" s="2">
        <v>45822.48</v>
      </c>
    </row>
    <row r="91" spans="1:22" x14ac:dyDescent="0.3">
      <c r="A91" s="2" t="s">
        <v>288</v>
      </c>
      <c r="B91" s="2" t="s">
        <v>44</v>
      </c>
      <c r="C91" s="2" t="s">
        <v>8</v>
      </c>
      <c r="D91" s="2" t="s">
        <v>81</v>
      </c>
      <c r="E91" s="2" t="s">
        <v>67</v>
      </c>
      <c r="F91" s="2" t="s">
        <v>114</v>
      </c>
      <c r="G91" s="3">
        <v>175</v>
      </c>
      <c r="H91" s="4">
        <v>835.86</v>
      </c>
      <c r="I91" s="4">
        <v>1941.45</v>
      </c>
      <c r="J91" s="3">
        <v>135</v>
      </c>
      <c r="K91" s="3">
        <f>tblInventory[[#This Row],[Qty_On_Hand]]*tblInventory[[#This Row],[Unit_Cost]]</f>
        <v>112841.1</v>
      </c>
      <c r="L91" s="3">
        <v>38</v>
      </c>
      <c r="M91" s="3">
        <f>IF(tblInventory[[#This Row],[Qty_On_Hand]]&lt;=tblInventory[[#This Row],[Reorder_Level]],1,0)</f>
        <v>0</v>
      </c>
      <c r="N91" s="3">
        <v>93</v>
      </c>
      <c r="O91" s="3" t="s">
        <v>168</v>
      </c>
      <c r="P91" s="2">
        <v>44</v>
      </c>
      <c r="Q91" s="7" t="s">
        <v>1</v>
      </c>
      <c r="R91" s="4">
        <v>85423.8</v>
      </c>
      <c r="S91" s="4">
        <v>36777.839999999997</v>
      </c>
      <c r="T91" s="4">
        <v>48645.96</v>
      </c>
      <c r="U91" s="4">
        <f>IFERROR(tblInventory[[#This Row],[Gross_Profit_30D]]/tblInventory[[#This Row],[Sales_Revenue_30D]],0)</f>
        <v>0.56946612068299463</v>
      </c>
      <c r="V91" s="2">
        <v>112841.1</v>
      </c>
    </row>
    <row r="92" spans="1:22" x14ac:dyDescent="0.3">
      <c r="A92" s="2" t="s">
        <v>289</v>
      </c>
      <c r="B92" s="2" t="s">
        <v>120</v>
      </c>
      <c r="C92" s="2" t="s">
        <v>8</v>
      </c>
      <c r="D92" s="2" t="s">
        <v>128</v>
      </c>
      <c r="E92" s="2" t="s">
        <v>86</v>
      </c>
      <c r="F92" s="2" t="s">
        <v>170</v>
      </c>
      <c r="G92" s="3">
        <v>304</v>
      </c>
      <c r="H92" s="4">
        <v>303.37</v>
      </c>
      <c r="I92" s="4">
        <v>604.23</v>
      </c>
      <c r="J92" s="3">
        <v>298</v>
      </c>
      <c r="K92" s="3">
        <f>tblInventory[[#This Row],[Qty_On_Hand]]*tblInventory[[#This Row],[Unit_Cost]]</f>
        <v>90404.26</v>
      </c>
      <c r="L92" s="3">
        <v>47</v>
      </c>
      <c r="M92" s="3">
        <f>IF(tblInventory[[#This Row],[Qty_On_Hand]]&lt;=tblInventory[[#This Row],[Reorder_Level]],1,0)</f>
        <v>0</v>
      </c>
      <c r="N92" s="3">
        <v>167</v>
      </c>
      <c r="O92" s="3" t="s">
        <v>69</v>
      </c>
      <c r="P92" s="2">
        <v>65</v>
      </c>
      <c r="Q92" s="7" t="s">
        <v>1</v>
      </c>
      <c r="R92" s="4">
        <v>39274.949999999997</v>
      </c>
      <c r="S92" s="4">
        <v>19719.05</v>
      </c>
      <c r="T92" s="4">
        <v>19555.900000000001</v>
      </c>
      <c r="U92" s="4">
        <f>IFERROR(tblInventory[[#This Row],[Gross_Profit_30D]]/tblInventory[[#This Row],[Sales_Revenue_30D]],0)</f>
        <v>0.49792297635006544</v>
      </c>
      <c r="V92" s="2">
        <v>90404.26</v>
      </c>
    </row>
    <row r="93" spans="1:22" x14ac:dyDescent="0.3">
      <c r="A93" s="2" t="s">
        <v>290</v>
      </c>
      <c r="B93" s="2" t="s">
        <v>291</v>
      </c>
      <c r="C93" s="2" t="s">
        <v>7</v>
      </c>
      <c r="D93" s="2" t="s">
        <v>108</v>
      </c>
      <c r="E93" s="2" t="s">
        <v>67</v>
      </c>
      <c r="F93" s="2" t="s">
        <v>292</v>
      </c>
      <c r="G93" s="3">
        <v>130</v>
      </c>
      <c r="H93" s="4">
        <v>894.62</v>
      </c>
      <c r="I93" s="4">
        <v>1626.73</v>
      </c>
      <c r="J93" s="3">
        <v>18</v>
      </c>
      <c r="K93" s="3">
        <f>tblInventory[[#This Row],[Qty_On_Hand]]*tblInventory[[#This Row],[Unit_Cost]]</f>
        <v>16103.16</v>
      </c>
      <c r="L93" s="3">
        <v>90</v>
      </c>
      <c r="M93" s="3">
        <f>IF(tblInventory[[#This Row],[Qty_On_Hand]]&lt;=tblInventory[[#This Row],[Reorder_Level]],1,0)</f>
        <v>1</v>
      </c>
      <c r="N93" s="3">
        <v>126</v>
      </c>
      <c r="O93" s="3" t="s">
        <v>105</v>
      </c>
      <c r="P93" s="2">
        <v>108</v>
      </c>
      <c r="Q93" s="6" t="s">
        <v>3</v>
      </c>
      <c r="R93" s="4">
        <v>175686.84</v>
      </c>
      <c r="S93" s="4">
        <v>96618.96</v>
      </c>
      <c r="T93" s="4">
        <v>79067.88</v>
      </c>
      <c r="U93" s="4">
        <f>IFERROR(tblInventory[[#This Row],[Gross_Profit_30D]]/tblInventory[[#This Row],[Sales_Revenue_30D]],0)</f>
        <v>0.4500501005083819</v>
      </c>
      <c r="V93" s="2">
        <v>16103.16</v>
      </c>
    </row>
    <row r="94" spans="1:22" x14ac:dyDescent="0.3">
      <c r="A94" s="2" t="s">
        <v>293</v>
      </c>
      <c r="B94" s="2" t="s">
        <v>261</v>
      </c>
      <c r="C94" s="2" t="s">
        <v>7</v>
      </c>
      <c r="D94" s="2" t="s">
        <v>108</v>
      </c>
      <c r="E94" s="2" t="s">
        <v>67</v>
      </c>
      <c r="F94" s="2" t="s">
        <v>294</v>
      </c>
      <c r="G94" s="3">
        <v>486</v>
      </c>
      <c r="H94" s="4">
        <v>231.17</v>
      </c>
      <c r="I94" s="4">
        <v>432.76</v>
      </c>
      <c r="J94" s="3">
        <v>247</v>
      </c>
      <c r="K94" s="3">
        <f>tblInventory[[#This Row],[Qty_On_Hand]]*tblInventory[[#This Row],[Unit_Cost]]</f>
        <v>57098.99</v>
      </c>
      <c r="L94" s="3">
        <v>60</v>
      </c>
      <c r="M94" s="3">
        <f>IF(tblInventory[[#This Row],[Qty_On_Hand]]&lt;=tblInventory[[#This Row],[Reorder_Level]],1,0)</f>
        <v>0</v>
      </c>
      <c r="N94" s="3">
        <v>197</v>
      </c>
      <c r="O94" s="3" t="s">
        <v>140</v>
      </c>
      <c r="P94" s="2">
        <v>75</v>
      </c>
      <c r="Q94" s="7" t="s">
        <v>1</v>
      </c>
      <c r="R94" s="4">
        <v>32457</v>
      </c>
      <c r="S94" s="4">
        <v>17337.75</v>
      </c>
      <c r="T94" s="4">
        <v>15119.25</v>
      </c>
      <c r="U94" s="4">
        <f>IFERROR(tblInventory[[#This Row],[Gross_Profit_30D]]/tblInventory[[#This Row],[Sales_Revenue_30D]],0)</f>
        <v>0.46582401330991774</v>
      </c>
      <c r="V94" s="2">
        <v>57098.99</v>
      </c>
    </row>
    <row r="95" spans="1:22" x14ac:dyDescent="0.3">
      <c r="A95" s="2" t="s">
        <v>295</v>
      </c>
      <c r="B95" s="2" t="s">
        <v>261</v>
      </c>
      <c r="C95" s="2" t="s">
        <v>7</v>
      </c>
      <c r="D95" s="2" t="s">
        <v>66</v>
      </c>
      <c r="E95" s="2" t="s">
        <v>91</v>
      </c>
      <c r="F95" s="2" t="s">
        <v>143</v>
      </c>
      <c r="G95" s="3">
        <v>339</v>
      </c>
      <c r="H95" s="4">
        <v>1823.02</v>
      </c>
      <c r="I95" s="4">
        <v>4407.62</v>
      </c>
      <c r="J95" s="3">
        <v>25</v>
      </c>
      <c r="K95" s="3">
        <f>tblInventory[[#This Row],[Qty_On_Hand]]*tblInventory[[#This Row],[Unit_Cost]]</f>
        <v>45575.5</v>
      </c>
      <c r="L95" s="3">
        <v>51</v>
      </c>
      <c r="M95" s="3">
        <f>IF(tblInventory[[#This Row],[Qty_On_Hand]]&lt;=tblInventory[[#This Row],[Reorder_Level]],1,0)</f>
        <v>1</v>
      </c>
      <c r="N95" s="3">
        <v>248</v>
      </c>
      <c r="O95" s="3" t="s">
        <v>201</v>
      </c>
      <c r="P95" s="2">
        <v>58</v>
      </c>
      <c r="Q95" s="6" t="s">
        <v>3</v>
      </c>
      <c r="R95" s="4">
        <v>255641.96</v>
      </c>
      <c r="S95" s="4">
        <v>105735.16</v>
      </c>
      <c r="T95" s="4">
        <v>149906.79999999999</v>
      </c>
      <c r="U95" s="4">
        <f>IFERROR(tblInventory[[#This Row],[Gross_Profit_30D]]/tblInventory[[#This Row],[Sales_Revenue_30D]],0)</f>
        <v>0.58639356387347363</v>
      </c>
      <c r="V95" s="2">
        <v>45575.5</v>
      </c>
    </row>
    <row r="96" spans="1:22" x14ac:dyDescent="0.3">
      <c r="A96" s="2" t="s">
        <v>296</v>
      </c>
      <c r="B96" s="2" t="s">
        <v>211</v>
      </c>
      <c r="C96" s="2" t="s">
        <v>2</v>
      </c>
      <c r="D96" s="2" t="s">
        <v>132</v>
      </c>
      <c r="E96" s="2" t="s">
        <v>73</v>
      </c>
      <c r="F96" s="2" t="s">
        <v>297</v>
      </c>
      <c r="G96" s="3">
        <v>397</v>
      </c>
      <c r="H96" s="4">
        <v>1447.44</v>
      </c>
      <c r="I96" s="4">
        <v>3312.86</v>
      </c>
      <c r="J96" s="3">
        <v>386</v>
      </c>
      <c r="K96" s="3">
        <f>tblInventory[[#This Row],[Qty_On_Hand]]*tblInventory[[#This Row],[Unit_Cost]]</f>
        <v>558711.84</v>
      </c>
      <c r="L96" s="3">
        <v>32</v>
      </c>
      <c r="M96" s="3">
        <f>IF(tblInventory[[#This Row],[Qty_On_Hand]]&lt;=tblInventory[[#This Row],[Reorder_Level]],1,0)</f>
        <v>0</v>
      </c>
      <c r="N96" s="3">
        <v>210</v>
      </c>
      <c r="O96" s="3" t="s">
        <v>83</v>
      </c>
      <c r="P96" s="2">
        <v>24</v>
      </c>
      <c r="Q96" s="7" t="s">
        <v>1</v>
      </c>
      <c r="R96" s="4">
        <v>79508.639999999999</v>
      </c>
      <c r="S96" s="4">
        <v>34738.559999999998</v>
      </c>
      <c r="T96" s="4">
        <v>44770.080000000002</v>
      </c>
      <c r="U96" s="4">
        <f>IFERROR(tblInventory[[#This Row],[Gross_Profit_30D]]/tblInventory[[#This Row],[Sales_Revenue_30D]],0)</f>
        <v>0.56308446478269536</v>
      </c>
      <c r="V96" s="2">
        <v>558711.84</v>
      </c>
    </row>
    <row r="97" spans="1:22" x14ac:dyDescent="0.3">
      <c r="A97" s="2" t="s">
        <v>298</v>
      </c>
      <c r="B97" s="2" t="s">
        <v>291</v>
      </c>
      <c r="C97" s="2" t="s">
        <v>7</v>
      </c>
      <c r="D97" s="2" t="s">
        <v>77</v>
      </c>
      <c r="E97" s="2" t="s">
        <v>91</v>
      </c>
      <c r="F97" s="2" t="s">
        <v>176</v>
      </c>
      <c r="G97" s="3">
        <v>236</v>
      </c>
      <c r="H97" s="4">
        <v>280.2</v>
      </c>
      <c r="I97" s="4">
        <v>746.58</v>
      </c>
      <c r="J97" s="3">
        <v>187</v>
      </c>
      <c r="K97" s="3">
        <f>tblInventory[[#This Row],[Qty_On_Hand]]*tblInventory[[#This Row],[Unit_Cost]]</f>
        <v>52397.4</v>
      </c>
      <c r="L97" s="3">
        <v>56</v>
      </c>
      <c r="M97" s="3">
        <f>IF(tblInventory[[#This Row],[Qty_On_Hand]]&lt;=tblInventory[[#This Row],[Reorder_Level]],1,0)</f>
        <v>0</v>
      </c>
      <c r="N97" s="3">
        <v>241</v>
      </c>
      <c r="O97" s="3" t="s">
        <v>101</v>
      </c>
      <c r="P97" s="2">
        <v>106</v>
      </c>
      <c r="Q97" s="7" t="s">
        <v>1</v>
      </c>
      <c r="R97" s="4">
        <v>79137.48</v>
      </c>
      <c r="S97" s="4">
        <v>29701.200000000001</v>
      </c>
      <c r="T97" s="4">
        <v>49436.28</v>
      </c>
      <c r="U97" s="4">
        <f>IFERROR(tblInventory[[#This Row],[Gross_Profit_30D]]/tblInventory[[#This Row],[Sales_Revenue_30D]],0)</f>
        <v>0.62468857992445559</v>
      </c>
      <c r="V97" s="2">
        <v>52397.4</v>
      </c>
    </row>
    <row r="98" spans="1:22" x14ac:dyDescent="0.3">
      <c r="A98" s="2" t="s">
        <v>19</v>
      </c>
      <c r="B98" s="2" t="s">
        <v>20</v>
      </c>
      <c r="C98" s="2" t="s">
        <v>4</v>
      </c>
      <c r="D98" s="2" t="s">
        <v>96</v>
      </c>
      <c r="E98" s="2" t="s">
        <v>86</v>
      </c>
      <c r="F98" s="2" t="s">
        <v>299</v>
      </c>
      <c r="G98" s="3">
        <v>321</v>
      </c>
      <c r="H98" s="4">
        <v>1828.7</v>
      </c>
      <c r="I98" s="4">
        <v>4655.34</v>
      </c>
      <c r="J98" s="3">
        <v>256</v>
      </c>
      <c r="K98" s="3">
        <f>tblInventory[[#This Row],[Qty_On_Hand]]*tblInventory[[#This Row],[Unit_Cost]]</f>
        <v>468147.20000000001</v>
      </c>
      <c r="L98" s="3">
        <v>47</v>
      </c>
      <c r="M98" s="3">
        <f>IF(tblInventory[[#This Row],[Qty_On_Hand]]&lt;=tblInventory[[#This Row],[Reorder_Level]],1,0)</f>
        <v>0</v>
      </c>
      <c r="N98" s="3">
        <v>283</v>
      </c>
      <c r="O98" s="3" t="s">
        <v>93</v>
      </c>
      <c r="P98" s="2">
        <v>123</v>
      </c>
      <c r="Q98" s="7" t="s">
        <v>1</v>
      </c>
      <c r="R98" s="4">
        <v>572606.81999999995</v>
      </c>
      <c r="S98" s="4">
        <v>224930.1</v>
      </c>
      <c r="T98" s="4">
        <v>347676.72</v>
      </c>
      <c r="U98" s="4">
        <f>IFERROR(tblInventory[[#This Row],[Gross_Profit_30D]]/tblInventory[[#This Row],[Sales_Revenue_30D]],0)</f>
        <v>0.60718228958572307</v>
      </c>
      <c r="V98" s="2">
        <v>468147.20000000001</v>
      </c>
    </row>
    <row r="99" spans="1:22" x14ac:dyDescent="0.3">
      <c r="A99" s="2" t="s">
        <v>17</v>
      </c>
      <c r="B99" s="2" t="s">
        <v>18</v>
      </c>
      <c r="C99" s="2" t="s">
        <v>0</v>
      </c>
      <c r="D99" s="2" t="s">
        <v>72</v>
      </c>
      <c r="E99" s="2" t="s">
        <v>91</v>
      </c>
      <c r="F99" s="2" t="s">
        <v>284</v>
      </c>
      <c r="G99" s="3">
        <v>436</v>
      </c>
      <c r="H99" s="4">
        <v>1723.08</v>
      </c>
      <c r="I99" s="4">
        <v>4111.83</v>
      </c>
      <c r="J99" s="3">
        <v>115</v>
      </c>
      <c r="K99" s="3">
        <f>tblInventory[[#This Row],[Qty_On_Hand]]*tblInventory[[#This Row],[Unit_Cost]]</f>
        <v>198154.19999999998</v>
      </c>
      <c r="L99" s="3">
        <v>65</v>
      </c>
      <c r="M99" s="3">
        <f>IF(tblInventory[[#This Row],[Qty_On_Hand]]&lt;=tblInventory[[#This Row],[Reorder_Level]],1,0)</f>
        <v>0</v>
      </c>
      <c r="N99" s="3">
        <v>297</v>
      </c>
      <c r="O99" s="3" t="s">
        <v>168</v>
      </c>
      <c r="P99" s="2">
        <v>142</v>
      </c>
      <c r="Q99" s="7" t="s">
        <v>1</v>
      </c>
      <c r="R99" s="4">
        <v>583879.86</v>
      </c>
      <c r="S99" s="4">
        <v>244677.36</v>
      </c>
      <c r="T99" s="4">
        <v>339202.5</v>
      </c>
      <c r="U99" s="4">
        <f>IFERROR(tblInventory[[#This Row],[Gross_Profit_30D]]/tblInventory[[#This Row],[Sales_Revenue_30D]],0)</f>
        <v>0.58094571030417119</v>
      </c>
      <c r="V99" s="2">
        <v>198154.2</v>
      </c>
    </row>
    <row r="100" spans="1:22" x14ac:dyDescent="0.3">
      <c r="A100" s="2" t="s">
        <v>300</v>
      </c>
      <c r="B100" s="2" t="s">
        <v>12</v>
      </c>
      <c r="C100" s="2" t="s">
        <v>0</v>
      </c>
      <c r="D100" s="2" t="s">
        <v>128</v>
      </c>
      <c r="E100" s="2" t="s">
        <v>78</v>
      </c>
      <c r="F100" s="2" t="s">
        <v>149</v>
      </c>
      <c r="G100" s="3">
        <v>113</v>
      </c>
      <c r="H100" s="4">
        <v>749.8</v>
      </c>
      <c r="I100" s="4">
        <v>1817.15</v>
      </c>
      <c r="J100" s="3">
        <v>58</v>
      </c>
      <c r="K100" s="3">
        <f>tblInventory[[#This Row],[Qty_On_Hand]]*tblInventory[[#This Row],[Unit_Cost]]</f>
        <v>43488.399999999994</v>
      </c>
      <c r="L100" s="3">
        <v>48</v>
      </c>
      <c r="M100" s="3">
        <f>IF(tblInventory[[#This Row],[Qty_On_Hand]]&lt;=tblInventory[[#This Row],[Reorder_Level]],1,0)</f>
        <v>0</v>
      </c>
      <c r="N100" s="3">
        <v>199</v>
      </c>
      <c r="O100" s="3" t="s">
        <v>105</v>
      </c>
      <c r="P100" s="2">
        <v>97</v>
      </c>
      <c r="Q100" s="7" t="s">
        <v>1</v>
      </c>
      <c r="R100" s="4">
        <v>176263.55</v>
      </c>
      <c r="S100" s="4">
        <v>72730.600000000006</v>
      </c>
      <c r="T100" s="4">
        <v>103532.95</v>
      </c>
      <c r="U100" s="4">
        <f>IFERROR(tblInventory[[#This Row],[Gross_Profit_30D]]/tblInventory[[#This Row],[Sales_Revenue_30D]],0)</f>
        <v>0.58737583578680908</v>
      </c>
      <c r="V100" s="2">
        <v>43488.4</v>
      </c>
    </row>
    <row r="101" spans="1:22" x14ac:dyDescent="0.3">
      <c r="A101" s="2" t="s">
        <v>301</v>
      </c>
      <c r="B101" s="2" t="s">
        <v>14</v>
      </c>
      <c r="C101" s="2" t="s">
        <v>7</v>
      </c>
      <c r="D101" s="2" t="s">
        <v>72</v>
      </c>
      <c r="E101" s="2" t="s">
        <v>73</v>
      </c>
      <c r="F101" s="2" t="s">
        <v>226</v>
      </c>
      <c r="G101" s="3">
        <v>367</v>
      </c>
      <c r="H101" s="4">
        <v>669.45</v>
      </c>
      <c r="I101" s="4">
        <v>1482.91</v>
      </c>
      <c r="J101" s="3">
        <v>287</v>
      </c>
      <c r="K101" s="3">
        <f>tblInventory[[#This Row],[Qty_On_Hand]]*tblInventory[[#This Row],[Unit_Cost]]</f>
        <v>192132.15000000002</v>
      </c>
      <c r="L101" s="3">
        <v>97</v>
      </c>
      <c r="M101" s="3">
        <f>IF(tblInventory[[#This Row],[Qty_On_Hand]]&lt;=tblInventory[[#This Row],[Reorder_Level]],1,0)</f>
        <v>0</v>
      </c>
      <c r="N101" s="3">
        <v>66</v>
      </c>
      <c r="O101" s="3" t="s">
        <v>201</v>
      </c>
      <c r="P101" s="2">
        <v>118</v>
      </c>
      <c r="Q101" s="7" t="s">
        <v>1</v>
      </c>
      <c r="R101" s="4">
        <v>174983.38</v>
      </c>
      <c r="S101" s="4">
        <v>78995.100000000006</v>
      </c>
      <c r="T101" s="4">
        <v>95988.28</v>
      </c>
      <c r="U101" s="4">
        <f>IFERROR(tblInventory[[#This Row],[Gross_Profit_30D]]/tblInventory[[#This Row],[Sales_Revenue_30D]],0)</f>
        <v>0.5485565543424753</v>
      </c>
      <c r="V101" s="2">
        <v>192132.15</v>
      </c>
    </row>
    <row r="102" spans="1:22" x14ac:dyDescent="0.3">
      <c r="A102" s="2" t="s">
        <v>302</v>
      </c>
      <c r="B102" s="2" t="s">
        <v>261</v>
      </c>
      <c r="C102" s="2" t="s">
        <v>7</v>
      </c>
      <c r="D102" s="2" t="s">
        <v>128</v>
      </c>
      <c r="E102" s="2" t="s">
        <v>78</v>
      </c>
      <c r="F102" s="2" t="s">
        <v>303</v>
      </c>
      <c r="G102" s="3">
        <v>69</v>
      </c>
      <c r="H102" s="4">
        <v>1991.94</v>
      </c>
      <c r="I102" s="4">
        <v>2936.48</v>
      </c>
      <c r="J102" s="3">
        <v>38</v>
      </c>
      <c r="K102" s="3">
        <f>tblInventory[[#This Row],[Qty_On_Hand]]*tblInventory[[#This Row],[Unit_Cost]]</f>
        <v>75693.72</v>
      </c>
      <c r="L102" s="3">
        <v>45</v>
      </c>
      <c r="M102" s="3">
        <f>IF(tblInventory[[#This Row],[Qty_On_Hand]]&lt;=tblInventory[[#This Row],[Reorder_Level]],1,0)</f>
        <v>1</v>
      </c>
      <c r="N102" s="3">
        <v>277</v>
      </c>
      <c r="O102" s="3" t="s">
        <v>110</v>
      </c>
      <c r="P102" s="2">
        <v>137</v>
      </c>
      <c r="Q102" s="6" t="s">
        <v>3</v>
      </c>
      <c r="R102" s="4">
        <v>402297.76</v>
      </c>
      <c r="S102" s="4">
        <v>272895.78000000003</v>
      </c>
      <c r="T102" s="4">
        <v>129401.98</v>
      </c>
      <c r="U102" s="4">
        <f>IFERROR(tblInventory[[#This Row],[Gross_Profit_30D]]/tblInventory[[#This Row],[Sales_Revenue_30D]],0)</f>
        <v>0.32165722225249277</v>
      </c>
      <c r="V102" s="2">
        <v>75693.72</v>
      </c>
    </row>
    <row r="103" spans="1:22" x14ac:dyDescent="0.3">
      <c r="A103" s="2" t="s">
        <v>304</v>
      </c>
      <c r="B103" s="2" t="s">
        <v>148</v>
      </c>
      <c r="C103" s="2" t="s">
        <v>4</v>
      </c>
      <c r="D103" s="2" t="s">
        <v>108</v>
      </c>
      <c r="E103" s="2" t="s">
        <v>67</v>
      </c>
      <c r="F103" s="2" t="s">
        <v>158</v>
      </c>
      <c r="G103" s="3">
        <v>326</v>
      </c>
      <c r="H103" s="4">
        <v>1182.93</v>
      </c>
      <c r="I103" s="4">
        <v>2827.08</v>
      </c>
      <c r="J103" s="3">
        <v>214</v>
      </c>
      <c r="K103" s="3">
        <f>tblInventory[[#This Row],[Qty_On_Hand]]*tblInventory[[#This Row],[Unit_Cost]]</f>
        <v>253147.02000000002</v>
      </c>
      <c r="L103" s="3">
        <v>68</v>
      </c>
      <c r="M103" s="3">
        <f>IF(tblInventory[[#This Row],[Qty_On_Hand]]&lt;=tblInventory[[#This Row],[Reorder_Level]],1,0)</f>
        <v>0</v>
      </c>
      <c r="N103" s="3">
        <v>217</v>
      </c>
      <c r="O103" s="3" t="s">
        <v>88</v>
      </c>
      <c r="P103" s="2">
        <v>25</v>
      </c>
      <c r="Q103" s="7" t="s">
        <v>1</v>
      </c>
      <c r="R103" s="4">
        <v>70677</v>
      </c>
      <c r="S103" s="4">
        <v>29573.25</v>
      </c>
      <c r="T103" s="4">
        <v>41103.75</v>
      </c>
      <c r="U103" s="4">
        <f>IFERROR(tblInventory[[#This Row],[Gross_Profit_30D]]/tblInventory[[#This Row],[Sales_Revenue_30D]],0)</f>
        <v>0.58157179846343221</v>
      </c>
      <c r="V103" s="2">
        <v>253147.02</v>
      </c>
    </row>
    <row r="104" spans="1:22" x14ac:dyDescent="0.3">
      <c r="A104" s="2" t="s">
        <v>305</v>
      </c>
      <c r="B104" s="2" t="s">
        <v>23</v>
      </c>
      <c r="C104" s="2" t="s">
        <v>6</v>
      </c>
      <c r="D104" s="2" t="s">
        <v>128</v>
      </c>
      <c r="E104" s="2" t="s">
        <v>67</v>
      </c>
      <c r="F104" s="2" t="s">
        <v>176</v>
      </c>
      <c r="G104" s="3">
        <v>239</v>
      </c>
      <c r="H104" s="4">
        <v>897.9</v>
      </c>
      <c r="I104" s="4">
        <v>2447.5300000000002</v>
      </c>
      <c r="J104" s="3">
        <v>55</v>
      </c>
      <c r="K104" s="3">
        <f>tblInventory[[#This Row],[Qty_On_Hand]]*tblInventory[[#This Row],[Unit_Cost]]</f>
        <v>49384.5</v>
      </c>
      <c r="L104" s="3">
        <v>61</v>
      </c>
      <c r="M104" s="3">
        <f>IF(tblInventory[[#This Row],[Qty_On_Hand]]&lt;=tblInventory[[#This Row],[Reorder_Level]],1,0)</f>
        <v>1</v>
      </c>
      <c r="N104" s="3">
        <v>75</v>
      </c>
      <c r="O104" s="3" t="s">
        <v>88</v>
      </c>
      <c r="P104" s="2">
        <v>94</v>
      </c>
      <c r="Q104" s="6" t="s">
        <v>3</v>
      </c>
      <c r="R104" s="4">
        <v>230067.82</v>
      </c>
      <c r="S104" s="4">
        <v>84402.6</v>
      </c>
      <c r="T104" s="4">
        <v>145665.22</v>
      </c>
      <c r="U104" s="4">
        <f>IFERROR(tblInventory[[#This Row],[Gross_Profit_30D]]/tblInventory[[#This Row],[Sales_Revenue_30D]],0)</f>
        <v>0.63314034965863542</v>
      </c>
      <c r="V104" s="2">
        <v>49384.5</v>
      </c>
    </row>
    <row r="105" spans="1:22" x14ac:dyDescent="0.3">
      <c r="A105" s="2" t="s">
        <v>306</v>
      </c>
      <c r="B105" s="2" t="s">
        <v>211</v>
      </c>
      <c r="C105" s="2" t="s">
        <v>2</v>
      </c>
      <c r="D105" s="2" t="s">
        <v>66</v>
      </c>
      <c r="E105" s="2" t="s">
        <v>91</v>
      </c>
      <c r="F105" s="2" t="s">
        <v>143</v>
      </c>
      <c r="G105" s="3">
        <v>112</v>
      </c>
      <c r="H105" s="4">
        <v>1651.9</v>
      </c>
      <c r="I105" s="4">
        <v>2374.62</v>
      </c>
      <c r="J105" s="3">
        <v>108</v>
      </c>
      <c r="K105" s="3">
        <f>tblInventory[[#This Row],[Qty_On_Hand]]*tblInventory[[#This Row],[Unit_Cost]]</f>
        <v>178405.2</v>
      </c>
      <c r="L105" s="3">
        <v>42</v>
      </c>
      <c r="M105" s="3">
        <f>IF(tblInventory[[#This Row],[Qty_On_Hand]]&lt;=tblInventory[[#This Row],[Reorder_Level]],1,0)</f>
        <v>0</v>
      </c>
      <c r="N105" s="3">
        <v>214</v>
      </c>
      <c r="O105" s="3" t="s">
        <v>162</v>
      </c>
      <c r="P105" s="2">
        <v>5</v>
      </c>
      <c r="Q105" s="7" t="s">
        <v>1</v>
      </c>
      <c r="R105" s="4">
        <v>11873.1</v>
      </c>
      <c r="S105" s="4">
        <v>8259.5</v>
      </c>
      <c r="T105" s="4">
        <v>3613.6</v>
      </c>
      <c r="U105" s="4">
        <f>IFERROR(tblInventory[[#This Row],[Gross_Profit_30D]]/tblInventory[[#This Row],[Sales_Revenue_30D]],0)</f>
        <v>0.30435185419140742</v>
      </c>
      <c r="V105" s="2">
        <v>178405.2</v>
      </c>
    </row>
    <row r="106" spans="1:22" x14ac:dyDescent="0.3">
      <c r="A106" s="2" t="s">
        <v>307</v>
      </c>
      <c r="B106" s="2" t="s">
        <v>308</v>
      </c>
      <c r="C106" s="2" t="s">
        <v>8</v>
      </c>
      <c r="D106" s="2" t="s">
        <v>132</v>
      </c>
      <c r="E106" s="2" t="s">
        <v>73</v>
      </c>
      <c r="F106" s="2" t="s">
        <v>136</v>
      </c>
      <c r="G106" s="3">
        <v>155</v>
      </c>
      <c r="H106" s="4">
        <v>1663.04</v>
      </c>
      <c r="I106" s="4">
        <v>3544.46</v>
      </c>
      <c r="J106" s="3">
        <v>17</v>
      </c>
      <c r="K106" s="3">
        <f>tblInventory[[#This Row],[Qty_On_Hand]]*tblInventory[[#This Row],[Unit_Cost]]</f>
        <v>28271.68</v>
      </c>
      <c r="L106" s="3">
        <v>90</v>
      </c>
      <c r="M106" s="3">
        <f>IF(tblInventory[[#This Row],[Qty_On_Hand]]&lt;=tblInventory[[#This Row],[Reorder_Level]],1,0)</f>
        <v>1</v>
      </c>
      <c r="N106" s="3">
        <v>105</v>
      </c>
      <c r="O106" s="3" t="s">
        <v>101</v>
      </c>
      <c r="P106" s="2">
        <v>59</v>
      </c>
      <c r="Q106" s="6" t="s">
        <v>3</v>
      </c>
      <c r="R106" s="4">
        <v>209123.14</v>
      </c>
      <c r="S106" s="4">
        <v>98119.360000000001</v>
      </c>
      <c r="T106" s="4">
        <v>111003.78</v>
      </c>
      <c r="U106" s="4">
        <f>IFERROR(tblInventory[[#This Row],[Gross_Profit_30D]]/tblInventory[[#This Row],[Sales_Revenue_30D]],0)</f>
        <v>0.53080582091489248</v>
      </c>
      <c r="V106" s="2">
        <v>28271.68</v>
      </c>
    </row>
    <row r="107" spans="1:22" x14ac:dyDescent="0.3">
      <c r="A107" s="2" t="s">
        <v>309</v>
      </c>
      <c r="B107" s="2" t="s">
        <v>310</v>
      </c>
      <c r="C107" s="2" t="s">
        <v>0</v>
      </c>
      <c r="D107" s="2" t="s">
        <v>66</v>
      </c>
      <c r="E107" s="2" t="s">
        <v>67</v>
      </c>
      <c r="F107" s="2" t="s">
        <v>184</v>
      </c>
      <c r="G107" s="3">
        <v>116</v>
      </c>
      <c r="H107" s="4">
        <v>516.29999999999995</v>
      </c>
      <c r="I107" s="4">
        <v>806.33</v>
      </c>
      <c r="J107" s="3">
        <v>69</v>
      </c>
      <c r="K107" s="3">
        <f>tblInventory[[#This Row],[Qty_On_Hand]]*tblInventory[[#This Row],[Unit_Cost]]</f>
        <v>35624.699999999997</v>
      </c>
      <c r="L107" s="3">
        <v>99</v>
      </c>
      <c r="M107" s="3">
        <f>IF(tblInventory[[#This Row],[Qty_On_Hand]]&lt;=tblInventory[[#This Row],[Reorder_Level]],1,0)</f>
        <v>1</v>
      </c>
      <c r="N107" s="3">
        <v>271</v>
      </c>
      <c r="O107" s="3" t="s">
        <v>168</v>
      </c>
      <c r="P107" s="2">
        <v>6</v>
      </c>
      <c r="Q107" s="6" t="s">
        <v>3</v>
      </c>
      <c r="R107" s="4">
        <v>4837.9799999999996</v>
      </c>
      <c r="S107" s="4">
        <v>3097.8</v>
      </c>
      <c r="T107" s="4">
        <v>1740.18</v>
      </c>
      <c r="U107" s="4">
        <f>IFERROR(tblInventory[[#This Row],[Gross_Profit_30D]]/tblInventory[[#This Row],[Sales_Revenue_30D]],0)</f>
        <v>0.35969144146937365</v>
      </c>
      <c r="V107" s="2">
        <v>35624.699999999997</v>
      </c>
    </row>
    <row r="108" spans="1:22" x14ac:dyDescent="0.3">
      <c r="A108" s="2" t="s">
        <v>311</v>
      </c>
      <c r="B108" s="2" t="s">
        <v>186</v>
      </c>
      <c r="C108" s="2" t="s">
        <v>4</v>
      </c>
      <c r="D108" s="2" t="s">
        <v>81</v>
      </c>
      <c r="E108" s="2" t="s">
        <v>73</v>
      </c>
      <c r="F108" s="2" t="s">
        <v>219</v>
      </c>
      <c r="G108" s="3">
        <v>58</v>
      </c>
      <c r="H108" s="4">
        <v>545.42999999999995</v>
      </c>
      <c r="I108" s="4">
        <v>812.77</v>
      </c>
      <c r="J108" s="3">
        <v>11</v>
      </c>
      <c r="K108" s="3">
        <f>tblInventory[[#This Row],[Qty_On_Hand]]*tblInventory[[#This Row],[Unit_Cost]]</f>
        <v>5999.73</v>
      </c>
      <c r="L108" s="3">
        <v>68</v>
      </c>
      <c r="M108" s="3">
        <f>IF(tblInventory[[#This Row],[Qty_On_Hand]]&lt;=tblInventory[[#This Row],[Reorder_Level]],1,0)</f>
        <v>1</v>
      </c>
      <c r="N108" s="3">
        <v>184</v>
      </c>
      <c r="O108" s="3" t="s">
        <v>182</v>
      </c>
      <c r="P108" s="2">
        <v>29</v>
      </c>
      <c r="Q108" s="6" t="s">
        <v>3</v>
      </c>
      <c r="R108" s="4">
        <v>23570.33</v>
      </c>
      <c r="S108" s="4">
        <v>15817.47</v>
      </c>
      <c r="T108" s="4">
        <v>7752.86</v>
      </c>
      <c r="U108" s="4">
        <f>IFERROR(tblInventory[[#This Row],[Gross_Profit_30D]]/tblInventory[[#This Row],[Sales_Revenue_30D]],0)</f>
        <v>0.32892454199835131</v>
      </c>
      <c r="V108" s="2">
        <v>5999.73</v>
      </c>
    </row>
    <row r="109" spans="1:22" x14ac:dyDescent="0.3">
      <c r="A109" s="2" t="s">
        <v>312</v>
      </c>
      <c r="B109" s="2" t="s">
        <v>65</v>
      </c>
      <c r="C109" s="2" t="s">
        <v>7</v>
      </c>
      <c r="D109" s="2" t="s">
        <v>108</v>
      </c>
      <c r="E109" s="2" t="s">
        <v>91</v>
      </c>
      <c r="F109" s="2" t="s">
        <v>313</v>
      </c>
      <c r="G109" s="3">
        <v>312</v>
      </c>
      <c r="H109" s="4">
        <v>235.93</v>
      </c>
      <c r="I109" s="4">
        <v>485.01</v>
      </c>
      <c r="J109" s="3">
        <v>303</v>
      </c>
      <c r="K109" s="3">
        <f>tblInventory[[#This Row],[Qty_On_Hand]]*tblInventory[[#This Row],[Unit_Cost]]</f>
        <v>71486.790000000008</v>
      </c>
      <c r="L109" s="3">
        <v>93</v>
      </c>
      <c r="M109" s="3">
        <f>IF(tblInventory[[#This Row],[Qty_On_Hand]]&lt;=tblInventory[[#This Row],[Reorder_Level]],1,0)</f>
        <v>0</v>
      </c>
      <c r="N109" s="3">
        <v>61</v>
      </c>
      <c r="O109" s="3" t="s">
        <v>93</v>
      </c>
      <c r="P109" s="2">
        <v>133</v>
      </c>
      <c r="Q109" s="7" t="s">
        <v>1</v>
      </c>
      <c r="R109" s="4">
        <v>64506.33</v>
      </c>
      <c r="S109" s="4">
        <v>31378.69</v>
      </c>
      <c r="T109" s="4">
        <v>33127.64</v>
      </c>
      <c r="U109" s="4">
        <f>IFERROR(tblInventory[[#This Row],[Gross_Profit_30D]]/tblInventory[[#This Row],[Sales_Revenue_30D]],0)</f>
        <v>0.51355642151708214</v>
      </c>
      <c r="V109" s="2">
        <v>71486.789999999994</v>
      </c>
    </row>
    <row r="110" spans="1:22" x14ac:dyDescent="0.3">
      <c r="A110" s="2" t="s">
        <v>314</v>
      </c>
      <c r="B110" s="2" t="s">
        <v>234</v>
      </c>
      <c r="C110" s="2" t="s">
        <v>0</v>
      </c>
      <c r="D110" s="2" t="s">
        <v>66</v>
      </c>
      <c r="E110" s="2" t="s">
        <v>78</v>
      </c>
      <c r="F110" s="2" t="s">
        <v>315</v>
      </c>
      <c r="G110" s="3">
        <v>268</v>
      </c>
      <c r="H110" s="4">
        <v>990.73</v>
      </c>
      <c r="I110" s="4">
        <v>2639.85</v>
      </c>
      <c r="J110" s="3">
        <v>55</v>
      </c>
      <c r="K110" s="3">
        <f>tblInventory[[#This Row],[Qty_On_Hand]]*tblInventory[[#This Row],[Unit_Cost]]</f>
        <v>54490.15</v>
      </c>
      <c r="L110" s="3">
        <v>24</v>
      </c>
      <c r="M110" s="3">
        <f>IF(tblInventory[[#This Row],[Qty_On_Hand]]&lt;=tblInventory[[#This Row],[Reorder_Level]],1,0)</f>
        <v>0</v>
      </c>
      <c r="N110" s="3">
        <v>280</v>
      </c>
      <c r="O110" s="3" t="s">
        <v>140</v>
      </c>
      <c r="P110" s="2">
        <v>20</v>
      </c>
      <c r="Q110" s="7" t="s">
        <v>1</v>
      </c>
      <c r="R110" s="4">
        <v>52797</v>
      </c>
      <c r="S110" s="4">
        <v>19814.599999999999</v>
      </c>
      <c r="T110" s="4">
        <v>32982.400000000001</v>
      </c>
      <c r="U110" s="4">
        <f>IFERROR(tblInventory[[#This Row],[Gross_Profit_30D]]/tblInventory[[#This Row],[Sales_Revenue_30D]],0)</f>
        <v>0.62470216110763876</v>
      </c>
      <c r="V110" s="2">
        <v>54490.15</v>
      </c>
    </row>
    <row r="111" spans="1:22" x14ac:dyDescent="0.3">
      <c r="A111" s="2" t="s">
        <v>316</v>
      </c>
      <c r="B111" s="2" t="s">
        <v>85</v>
      </c>
      <c r="C111" s="2" t="s">
        <v>0</v>
      </c>
      <c r="D111" s="2" t="s">
        <v>96</v>
      </c>
      <c r="E111" s="2" t="s">
        <v>78</v>
      </c>
      <c r="F111" s="2" t="s">
        <v>317</v>
      </c>
      <c r="G111" s="3">
        <v>369</v>
      </c>
      <c r="H111" s="4">
        <v>1179.02</v>
      </c>
      <c r="I111" s="4">
        <v>2792.19</v>
      </c>
      <c r="J111" s="3">
        <v>324</v>
      </c>
      <c r="K111" s="3">
        <f>tblInventory[[#This Row],[Qty_On_Hand]]*tblInventory[[#This Row],[Unit_Cost]]</f>
        <v>382002.48</v>
      </c>
      <c r="L111" s="3">
        <v>63</v>
      </c>
      <c r="M111" s="3">
        <f>IF(tblInventory[[#This Row],[Qty_On_Hand]]&lt;=tblInventory[[#This Row],[Reorder_Level]],1,0)</f>
        <v>0</v>
      </c>
      <c r="N111" s="3">
        <v>202</v>
      </c>
      <c r="O111" s="3" t="s">
        <v>83</v>
      </c>
      <c r="P111" s="2">
        <v>135</v>
      </c>
      <c r="Q111" s="7" t="s">
        <v>1</v>
      </c>
      <c r="R111" s="4">
        <v>376945.65</v>
      </c>
      <c r="S111" s="4">
        <v>159167.70000000001</v>
      </c>
      <c r="T111" s="4">
        <v>217777.95</v>
      </c>
      <c r="U111" s="4">
        <f>IFERROR(tblInventory[[#This Row],[Gross_Profit_30D]]/tblInventory[[#This Row],[Sales_Revenue_30D]],0)</f>
        <v>0.57774363492455738</v>
      </c>
      <c r="V111" s="2">
        <v>382002.48</v>
      </c>
    </row>
    <row r="112" spans="1:22" x14ac:dyDescent="0.3">
      <c r="A112" s="2" t="s">
        <v>318</v>
      </c>
      <c r="B112" s="2" t="s">
        <v>234</v>
      </c>
      <c r="C112" s="2" t="s">
        <v>0</v>
      </c>
      <c r="D112" s="2" t="s">
        <v>128</v>
      </c>
      <c r="E112" s="2" t="s">
        <v>78</v>
      </c>
      <c r="F112" s="2" t="s">
        <v>319</v>
      </c>
      <c r="G112" s="3">
        <v>108</v>
      </c>
      <c r="H112" s="4">
        <v>1308.81</v>
      </c>
      <c r="I112" s="4">
        <v>3211.09</v>
      </c>
      <c r="J112" s="3">
        <v>83</v>
      </c>
      <c r="K112" s="3">
        <f>tblInventory[[#This Row],[Qty_On_Hand]]*tblInventory[[#This Row],[Unit_Cost]]</f>
        <v>108631.23</v>
      </c>
      <c r="L112" s="3">
        <v>42</v>
      </c>
      <c r="M112" s="3">
        <f>IF(tblInventory[[#This Row],[Qty_On_Hand]]&lt;=tblInventory[[#This Row],[Reorder_Level]],1,0)</f>
        <v>0</v>
      </c>
      <c r="N112" s="3">
        <v>160</v>
      </c>
      <c r="O112" s="3" t="s">
        <v>88</v>
      </c>
      <c r="P112" s="2">
        <v>115</v>
      </c>
      <c r="Q112" s="7" t="s">
        <v>1</v>
      </c>
      <c r="R112" s="4">
        <v>369275.35</v>
      </c>
      <c r="S112" s="4">
        <v>150513.15</v>
      </c>
      <c r="T112" s="4">
        <v>218762.2</v>
      </c>
      <c r="U112" s="4">
        <f>IFERROR(tblInventory[[#This Row],[Gross_Profit_30D]]/tblInventory[[#This Row],[Sales_Revenue_30D]],0)</f>
        <v>0.59240943106546384</v>
      </c>
      <c r="V112" s="2">
        <v>108631.23</v>
      </c>
    </row>
    <row r="113" spans="1:22" x14ac:dyDescent="0.3">
      <c r="A113" s="2" t="s">
        <v>320</v>
      </c>
      <c r="B113" s="2" t="s">
        <v>148</v>
      </c>
      <c r="C113" s="2" t="s">
        <v>4</v>
      </c>
      <c r="D113" s="2" t="s">
        <v>81</v>
      </c>
      <c r="E113" s="2" t="s">
        <v>91</v>
      </c>
      <c r="F113" s="2" t="s">
        <v>248</v>
      </c>
      <c r="G113" s="3">
        <v>423</v>
      </c>
      <c r="H113" s="4">
        <v>638.85</v>
      </c>
      <c r="I113" s="4">
        <v>1129.99</v>
      </c>
      <c r="J113" s="3">
        <v>48</v>
      </c>
      <c r="K113" s="3">
        <f>tblInventory[[#This Row],[Qty_On_Hand]]*tblInventory[[#This Row],[Unit_Cost]]</f>
        <v>30664.800000000003</v>
      </c>
      <c r="L113" s="3">
        <v>47</v>
      </c>
      <c r="M113" s="3">
        <f>IF(tblInventory[[#This Row],[Qty_On_Hand]]&lt;=tblInventory[[#This Row],[Reorder_Level]],1,0)</f>
        <v>0</v>
      </c>
      <c r="N113" s="3">
        <v>145</v>
      </c>
      <c r="O113" s="3" t="s">
        <v>156</v>
      </c>
      <c r="P113" s="2">
        <v>39</v>
      </c>
      <c r="Q113" s="7" t="s">
        <v>1</v>
      </c>
      <c r="R113" s="4">
        <v>44069.61</v>
      </c>
      <c r="S113" s="4">
        <v>24915.15</v>
      </c>
      <c r="T113" s="4">
        <v>19154.46</v>
      </c>
      <c r="U113" s="4">
        <f>IFERROR(tblInventory[[#This Row],[Gross_Profit_30D]]/tblInventory[[#This Row],[Sales_Revenue_30D]],0)</f>
        <v>0.4346410145222524</v>
      </c>
      <c r="V113" s="2">
        <v>30664.799999999999</v>
      </c>
    </row>
    <row r="114" spans="1:22" x14ac:dyDescent="0.3">
      <c r="A114" s="2" t="s">
        <v>321</v>
      </c>
      <c r="B114" s="2" t="s">
        <v>322</v>
      </c>
      <c r="C114" s="2" t="s">
        <v>7</v>
      </c>
      <c r="D114" s="2" t="s">
        <v>72</v>
      </c>
      <c r="E114" s="2" t="s">
        <v>78</v>
      </c>
      <c r="F114" s="2" t="s">
        <v>165</v>
      </c>
      <c r="G114" s="3">
        <v>97</v>
      </c>
      <c r="H114" s="4">
        <v>211.2</v>
      </c>
      <c r="I114" s="4">
        <v>508.61</v>
      </c>
      <c r="J114" s="3">
        <v>55</v>
      </c>
      <c r="K114" s="3">
        <f>tblInventory[[#This Row],[Qty_On_Hand]]*tblInventory[[#This Row],[Unit_Cost]]</f>
        <v>11616</v>
      </c>
      <c r="L114" s="3">
        <v>31</v>
      </c>
      <c r="M114" s="3">
        <f>IF(tblInventory[[#This Row],[Qty_On_Hand]]&lt;=tblInventory[[#This Row],[Reorder_Level]],1,0)</f>
        <v>0</v>
      </c>
      <c r="N114" s="3">
        <v>192</v>
      </c>
      <c r="O114" s="3" t="s">
        <v>126</v>
      </c>
      <c r="P114" s="2">
        <v>15</v>
      </c>
      <c r="Q114" s="7" t="s">
        <v>1</v>
      </c>
      <c r="R114" s="4">
        <v>7629.15</v>
      </c>
      <c r="S114" s="4">
        <v>3168</v>
      </c>
      <c r="T114" s="4">
        <v>4461.1499999999996</v>
      </c>
      <c r="U114" s="4">
        <f>IFERROR(tblInventory[[#This Row],[Gross_Profit_30D]]/tblInventory[[#This Row],[Sales_Revenue_30D]],0)</f>
        <v>0.58475059475826274</v>
      </c>
      <c r="V114" s="2">
        <v>11616</v>
      </c>
    </row>
    <row r="115" spans="1:22" x14ac:dyDescent="0.3">
      <c r="A115" s="2" t="s">
        <v>323</v>
      </c>
      <c r="B115" s="2" t="s">
        <v>152</v>
      </c>
      <c r="C115" s="2" t="s">
        <v>2</v>
      </c>
      <c r="D115" s="2" t="s">
        <v>81</v>
      </c>
      <c r="E115" s="2" t="s">
        <v>78</v>
      </c>
      <c r="F115" s="2" t="s">
        <v>271</v>
      </c>
      <c r="G115" s="3">
        <v>497</v>
      </c>
      <c r="H115" s="4">
        <v>1883.44</v>
      </c>
      <c r="I115" s="4">
        <v>3643.34</v>
      </c>
      <c r="J115" s="3">
        <v>340</v>
      </c>
      <c r="K115" s="3">
        <f>tblInventory[[#This Row],[Qty_On_Hand]]*tblInventory[[#This Row],[Unit_Cost]]</f>
        <v>640369.6</v>
      </c>
      <c r="L115" s="3">
        <v>21</v>
      </c>
      <c r="M115" s="3">
        <f>IF(tblInventory[[#This Row],[Qty_On_Hand]]&lt;=tblInventory[[#This Row],[Reorder_Level]],1,0)</f>
        <v>0</v>
      </c>
      <c r="N115" s="3">
        <v>297</v>
      </c>
      <c r="O115" s="3" t="s">
        <v>93</v>
      </c>
      <c r="P115" s="2">
        <v>73</v>
      </c>
      <c r="Q115" s="7" t="s">
        <v>1</v>
      </c>
      <c r="R115" s="4">
        <v>265963.82</v>
      </c>
      <c r="S115" s="4">
        <v>137491.12</v>
      </c>
      <c r="T115" s="4">
        <v>128472.7</v>
      </c>
      <c r="U115" s="4">
        <f>IFERROR(tblInventory[[#This Row],[Gross_Profit_30D]]/tblInventory[[#This Row],[Sales_Revenue_30D]],0)</f>
        <v>0.48304577667744431</v>
      </c>
      <c r="V115" s="2">
        <v>640369.6</v>
      </c>
    </row>
    <row r="116" spans="1:22" x14ac:dyDescent="0.3">
      <c r="A116" s="2" t="s">
        <v>324</v>
      </c>
      <c r="B116" s="2" t="s">
        <v>273</v>
      </c>
      <c r="C116" s="2" t="s">
        <v>2</v>
      </c>
      <c r="D116" s="2" t="s">
        <v>81</v>
      </c>
      <c r="E116" s="2" t="s">
        <v>78</v>
      </c>
      <c r="F116" s="2" t="s">
        <v>325</v>
      </c>
      <c r="G116" s="3">
        <v>158</v>
      </c>
      <c r="H116" s="4">
        <v>1320.34</v>
      </c>
      <c r="I116" s="4">
        <v>2160.56</v>
      </c>
      <c r="J116" s="3">
        <v>39</v>
      </c>
      <c r="K116" s="3">
        <f>tblInventory[[#This Row],[Qty_On_Hand]]*tblInventory[[#This Row],[Unit_Cost]]</f>
        <v>51493.259999999995</v>
      </c>
      <c r="L116" s="3">
        <v>28</v>
      </c>
      <c r="M116" s="3">
        <f>IF(tblInventory[[#This Row],[Qty_On_Hand]]&lt;=tblInventory[[#This Row],[Reorder_Level]],1,0)</f>
        <v>0</v>
      </c>
      <c r="N116" s="3">
        <v>139</v>
      </c>
      <c r="O116" s="3" t="s">
        <v>75</v>
      </c>
      <c r="P116" s="2">
        <v>142</v>
      </c>
      <c r="Q116" s="7" t="s">
        <v>1</v>
      </c>
      <c r="R116" s="4">
        <v>306799.52</v>
      </c>
      <c r="S116" s="4">
        <v>187488.28</v>
      </c>
      <c r="T116" s="4">
        <v>119311.24</v>
      </c>
      <c r="U116" s="4">
        <f>IFERROR(tblInventory[[#This Row],[Gross_Profit_30D]]/tblInventory[[#This Row],[Sales_Revenue_30D]],0)</f>
        <v>0.38888991742881474</v>
      </c>
      <c r="V116" s="2">
        <v>51493.26</v>
      </c>
    </row>
    <row r="117" spans="1:22" x14ac:dyDescent="0.3">
      <c r="A117" s="2" t="s">
        <v>11</v>
      </c>
      <c r="B117" s="2" t="s">
        <v>12</v>
      </c>
      <c r="C117" s="2" t="s">
        <v>0</v>
      </c>
      <c r="D117" s="2" t="s">
        <v>77</v>
      </c>
      <c r="E117" s="2" t="s">
        <v>86</v>
      </c>
      <c r="F117" s="2" t="s">
        <v>224</v>
      </c>
      <c r="G117" s="3">
        <v>482</v>
      </c>
      <c r="H117" s="4">
        <v>1949.6</v>
      </c>
      <c r="I117" s="4">
        <v>4927.8900000000003</v>
      </c>
      <c r="J117" s="3">
        <v>287</v>
      </c>
      <c r="K117" s="3">
        <f>tblInventory[[#This Row],[Qty_On_Hand]]*tblInventory[[#This Row],[Unit_Cost]]</f>
        <v>559535.19999999995</v>
      </c>
      <c r="L117" s="3">
        <v>93</v>
      </c>
      <c r="M117" s="3">
        <f>IF(tblInventory[[#This Row],[Qty_On_Hand]]&lt;=tblInventory[[#This Row],[Reorder_Level]],1,0)</f>
        <v>0</v>
      </c>
      <c r="N117" s="3">
        <v>222</v>
      </c>
      <c r="O117" s="3" t="s">
        <v>156</v>
      </c>
      <c r="P117" s="2">
        <v>142</v>
      </c>
      <c r="Q117" s="7" t="s">
        <v>1</v>
      </c>
      <c r="R117" s="4">
        <v>699760.38</v>
      </c>
      <c r="S117" s="4">
        <v>276843.2</v>
      </c>
      <c r="T117" s="4">
        <v>422917.18</v>
      </c>
      <c r="U117" s="4">
        <f>IFERROR(tblInventory[[#This Row],[Gross_Profit_30D]]/tblInventory[[#This Row],[Sales_Revenue_30D]],0)</f>
        <v>0.60437428595199971</v>
      </c>
      <c r="V117" s="2">
        <v>559535.19999999995</v>
      </c>
    </row>
    <row r="118" spans="1:22" x14ac:dyDescent="0.3">
      <c r="A118" s="2" t="s">
        <v>326</v>
      </c>
      <c r="B118" s="2" t="s">
        <v>120</v>
      </c>
      <c r="C118" s="2" t="s">
        <v>8</v>
      </c>
      <c r="D118" s="2" t="s">
        <v>77</v>
      </c>
      <c r="E118" s="2" t="s">
        <v>78</v>
      </c>
      <c r="F118" s="2" t="s">
        <v>238</v>
      </c>
      <c r="G118" s="3">
        <v>409</v>
      </c>
      <c r="H118" s="4">
        <v>631.79</v>
      </c>
      <c r="I118" s="4">
        <v>1143.3699999999999</v>
      </c>
      <c r="J118" s="3">
        <v>390</v>
      </c>
      <c r="K118" s="3">
        <f>tblInventory[[#This Row],[Qty_On_Hand]]*tblInventory[[#This Row],[Unit_Cost]]</f>
        <v>246398.09999999998</v>
      </c>
      <c r="L118" s="3">
        <v>15</v>
      </c>
      <c r="M118" s="3">
        <f>IF(tblInventory[[#This Row],[Qty_On_Hand]]&lt;=tblInventory[[#This Row],[Reorder_Level]],1,0)</f>
        <v>0</v>
      </c>
      <c r="N118" s="3">
        <v>96</v>
      </c>
      <c r="O118" s="3" t="s">
        <v>83</v>
      </c>
      <c r="P118" s="2">
        <v>36</v>
      </c>
      <c r="Q118" s="7" t="s">
        <v>1</v>
      </c>
      <c r="R118" s="4">
        <v>41161.32</v>
      </c>
      <c r="S118" s="4">
        <v>22744.44</v>
      </c>
      <c r="T118" s="4">
        <v>18416.88</v>
      </c>
      <c r="U118" s="4">
        <f>IFERROR(tblInventory[[#This Row],[Gross_Profit_30D]]/tblInventory[[#This Row],[Sales_Revenue_30D]],0)</f>
        <v>0.44743171501788576</v>
      </c>
      <c r="V118" s="2">
        <v>246398.1</v>
      </c>
    </row>
    <row r="119" spans="1:22" x14ac:dyDescent="0.3">
      <c r="A119" s="2" t="s">
        <v>327</v>
      </c>
      <c r="B119" s="2" t="s">
        <v>279</v>
      </c>
      <c r="C119" s="2" t="s">
        <v>2</v>
      </c>
      <c r="D119" s="2" t="s">
        <v>72</v>
      </c>
      <c r="E119" s="2" t="s">
        <v>73</v>
      </c>
      <c r="F119" s="2" t="s">
        <v>181</v>
      </c>
      <c r="G119" s="3">
        <v>65</v>
      </c>
      <c r="H119" s="4">
        <v>1497.3</v>
      </c>
      <c r="I119" s="4">
        <v>2429.67</v>
      </c>
      <c r="J119" s="3">
        <v>11</v>
      </c>
      <c r="K119" s="3">
        <f>tblInventory[[#This Row],[Qty_On_Hand]]*tblInventory[[#This Row],[Unit_Cost]]</f>
        <v>16470.3</v>
      </c>
      <c r="L119" s="3">
        <v>68</v>
      </c>
      <c r="M119" s="3">
        <f>IF(tblInventory[[#This Row],[Qty_On_Hand]]&lt;=tblInventory[[#This Row],[Reorder_Level]],1,0)</f>
        <v>1</v>
      </c>
      <c r="N119" s="3">
        <v>166</v>
      </c>
      <c r="O119" s="3" t="s">
        <v>118</v>
      </c>
      <c r="P119" s="2">
        <v>87</v>
      </c>
      <c r="Q119" s="6" t="s">
        <v>3</v>
      </c>
      <c r="R119" s="4">
        <v>211381.29</v>
      </c>
      <c r="S119" s="4">
        <v>130265.1</v>
      </c>
      <c r="T119" s="4">
        <v>81116.19</v>
      </c>
      <c r="U119" s="4">
        <f>IFERROR(tblInventory[[#This Row],[Gross_Profit_30D]]/tblInventory[[#This Row],[Sales_Revenue_30D]],0)</f>
        <v>0.38374347133561348</v>
      </c>
      <c r="V119" s="2">
        <v>16470.3</v>
      </c>
    </row>
    <row r="120" spans="1:22" x14ac:dyDescent="0.3">
      <c r="A120" s="2" t="s">
        <v>328</v>
      </c>
      <c r="B120" s="2" t="s">
        <v>46</v>
      </c>
      <c r="C120" s="2" t="s">
        <v>4</v>
      </c>
      <c r="D120" s="2" t="s">
        <v>77</v>
      </c>
      <c r="E120" s="2" t="s">
        <v>67</v>
      </c>
      <c r="F120" s="2" t="s">
        <v>313</v>
      </c>
      <c r="G120" s="3">
        <v>355</v>
      </c>
      <c r="H120" s="4">
        <v>1769.02</v>
      </c>
      <c r="I120" s="4">
        <v>2712.56</v>
      </c>
      <c r="J120" s="3">
        <v>43</v>
      </c>
      <c r="K120" s="3">
        <f>tblInventory[[#This Row],[Qty_On_Hand]]*tblInventory[[#This Row],[Unit_Cost]]</f>
        <v>76067.86</v>
      </c>
      <c r="L120" s="3">
        <v>94</v>
      </c>
      <c r="M120" s="3">
        <f>IF(tblInventory[[#This Row],[Qty_On_Hand]]&lt;=tblInventory[[#This Row],[Reorder_Level]],1,0)</f>
        <v>1</v>
      </c>
      <c r="N120" s="3">
        <v>62</v>
      </c>
      <c r="O120" s="3" t="s">
        <v>101</v>
      </c>
      <c r="P120" s="2">
        <v>20</v>
      </c>
      <c r="Q120" s="6" t="s">
        <v>3</v>
      </c>
      <c r="R120" s="4">
        <v>54251.199999999997</v>
      </c>
      <c r="S120" s="4">
        <v>35380.400000000001</v>
      </c>
      <c r="T120" s="4">
        <v>18870.8</v>
      </c>
      <c r="U120" s="4">
        <f>IFERROR(tblInventory[[#This Row],[Gross_Profit_30D]]/tblInventory[[#This Row],[Sales_Revenue_30D]],0)</f>
        <v>0.34784115374406466</v>
      </c>
      <c r="V120" s="2">
        <v>76067.86</v>
      </c>
    </row>
    <row r="121" spans="1:22" x14ac:dyDescent="0.3">
      <c r="A121" s="2" t="s">
        <v>329</v>
      </c>
      <c r="B121" s="2" t="s">
        <v>234</v>
      </c>
      <c r="C121" s="2" t="s">
        <v>0</v>
      </c>
      <c r="D121" s="2" t="s">
        <v>128</v>
      </c>
      <c r="E121" s="2" t="s">
        <v>91</v>
      </c>
      <c r="F121" s="2" t="s">
        <v>82</v>
      </c>
      <c r="G121" s="3">
        <v>262</v>
      </c>
      <c r="H121" s="4">
        <v>446.83</v>
      </c>
      <c r="I121" s="4">
        <v>924.28</v>
      </c>
      <c r="J121" s="3">
        <v>139</v>
      </c>
      <c r="K121" s="3">
        <f>tblInventory[[#This Row],[Qty_On_Hand]]*tblInventory[[#This Row],[Unit_Cost]]</f>
        <v>62109.369999999995</v>
      </c>
      <c r="L121" s="3">
        <v>59</v>
      </c>
      <c r="M121" s="3">
        <f>IF(tblInventory[[#This Row],[Qty_On_Hand]]&lt;=tblInventory[[#This Row],[Reorder_Level]],1,0)</f>
        <v>0</v>
      </c>
      <c r="N121" s="3">
        <v>160</v>
      </c>
      <c r="O121" s="3" t="s">
        <v>144</v>
      </c>
      <c r="P121" s="2">
        <v>28</v>
      </c>
      <c r="Q121" s="7" t="s">
        <v>1</v>
      </c>
      <c r="R121" s="4">
        <v>25879.84</v>
      </c>
      <c r="S121" s="4">
        <v>12511.24</v>
      </c>
      <c r="T121" s="4">
        <v>13368.6</v>
      </c>
      <c r="U121" s="4">
        <f>IFERROR(tblInventory[[#This Row],[Gross_Profit_30D]]/tblInventory[[#This Row],[Sales_Revenue_30D]],0)</f>
        <v>0.51656424460120309</v>
      </c>
      <c r="V121" s="2">
        <v>62109.37</v>
      </c>
    </row>
    <row r="122" spans="1:22" x14ac:dyDescent="0.3">
      <c r="A122" s="2" t="s">
        <v>330</v>
      </c>
      <c r="B122" s="2" t="s">
        <v>85</v>
      </c>
      <c r="C122" s="2" t="s">
        <v>0</v>
      </c>
      <c r="D122" s="2" t="s">
        <v>108</v>
      </c>
      <c r="E122" s="2" t="s">
        <v>86</v>
      </c>
      <c r="F122" s="2" t="s">
        <v>158</v>
      </c>
      <c r="G122" s="3">
        <v>73</v>
      </c>
      <c r="H122" s="4">
        <v>802.62</v>
      </c>
      <c r="I122" s="4">
        <v>1764.95</v>
      </c>
      <c r="J122" s="3">
        <v>28</v>
      </c>
      <c r="K122" s="3">
        <f>tblInventory[[#This Row],[Qty_On_Hand]]*tblInventory[[#This Row],[Unit_Cost]]</f>
        <v>22473.360000000001</v>
      </c>
      <c r="L122" s="3">
        <v>15</v>
      </c>
      <c r="M122" s="3">
        <f>IF(tblInventory[[#This Row],[Qty_On_Hand]]&lt;=tblInventory[[#This Row],[Reorder_Level]],1,0)</f>
        <v>0</v>
      </c>
      <c r="N122" s="3">
        <v>102</v>
      </c>
      <c r="O122" s="3" t="s">
        <v>198</v>
      </c>
      <c r="P122" s="2">
        <v>77</v>
      </c>
      <c r="Q122" s="7" t="s">
        <v>1</v>
      </c>
      <c r="R122" s="4">
        <v>135901.15</v>
      </c>
      <c r="S122" s="4">
        <v>61801.74</v>
      </c>
      <c r="T122" s="4">
        <v>74099.41</v>
      </c>
      <c r="U122" s="4">
        <f>IFERROR(tblInventory[[#This Row],[Gross_Profit_30D]]/tblInventory[[#This Row],[Sales_Revenue_30D]],0)</f>
        <v>0.54524490778775603</v>
      </c>
      <c r="V122" s="2">
        <v>22473.360000000001</v>
      </c>
    </row>
    <row r="123" spans="1:22" x14ac:dyDescent="0.3">
      <c r="A123" s="2" t="s">
        <v>331</v>
      </c>
      <c r="B123" s="2" t="s">
        <v>107</v>
      </c>
      <c r="C123" s="2" t="s">
        <v>4</v>
      </c>
      <c r="D123" s="2" t="s">
        <v>77</v>
      </c>
      <c r="E123" s="2" t="s">
        <v>67</v>
      </c>
      <c r="F123" s="2" t="s">
        <v>332</v>
      </c>
      <c r="G123" s="3">
        <v>53</v>
      </c>
      <c r="H123" s="4">
        <v>1499.09</v>
      </c>
      <c r="I123" s="4">
        <v>2343.89</v>
      </c>
      <c r="J123" s="3">
        <v>31</v>
      </c>
      <c r="K123" s="3">
        <f>tblInventory[[#This Row],[Qty_On_Hand]]*tblInventory[[#This Row],[Unit_Cost]]</f>
        <v>46471.79</v>
      </c>
      <c r="L123" s="3">
        <v>63</v>
      </c>
      <c r="M123" s="3">
        <f>IF(tblInventory[[#This Row],[Qty_On_Hand]]&lt;=tblInventory[[#This Row],[Reorder_Level]],1,0)</f>
        <v>1</v>
      </c>
      <c r="N123" s="3">
        <v>186</v>
      </c>
      <c r="O123" s="3" t="s">
        <v>122</v>
      </c>
      <c r="P123" s="2">
        <v>58</v>
      </c>
      <c r="Q123" s="6" t="s">
        <v>3</v>
      </c>
      <c r="R123" s="4">
        <v>135945.62</v>
      </c>
      <c r="S123" s="4">
        <v>86947.22</v>
      </c>
      <c r="T123" s="4">
        <v>48998.400000000001</v>
      </c>
      <c r="U123" s="4">
        <f>IFERROR(tblInventory[[#This Row],[Gross_Profit_30D]]/tblInventory[[#This Row],[Sales_Revenue_30D]],0)</f>
        <v>0.36042647052549398</v>
      </c>
      <c r="V123" s="2">
        <v>46471.79</v>
      </c>
    </row>
    <row r="124" spans="1:22" x14ac:dyDescent="0.3">
      <c r="A124" s="2" t="s">
        <v>333</v>
      </c>
      <c r="B124" s="2" t="s">
        <v>152</v>
      </c>
      <c r="C124" s="2" t="s">
        <v>2</v>
      </c>
      <c r="D124" s="2" t="s">
        <v>81</v>
      </c>
      <c r="E124" s="2" t="s">
        <v>78</v>
      </c>
      <c r="F124" s="2" t="s">
        <v>334</v>
      </c>
      <c r="G124" s="3">
        <v>273</v>
      </c>
      <c r="H124" s="4">
        <v>930.31</v>
      </c>
      <c r="I124" s="4">
        <v>1318.06</v>
      </c>
      <c r="J124" s="3">
        <v>9</v>
      </c>
      <c r="K124" s="3">
        <f>tblInventory[[#This Row],[Qty_On_Hand]]*tblInventory[[#This Row],[Unit_Cost]]</f>
        <v>8372.7899999999991</v>
      </c>
      <c r="L124" s="3">
        <v>55</v>
      </c>
      <c r="M124" s="3">
        <f>IF(tblInventory[[#This Row],[Qty_On_Hand]]&lt;=tblInventory[[#This Row],[Reorder_Level]],1,0)</f>
        <v>1</v>
      </c>
      <c r="N124" s="3">
        <v>197</v>
      </c>
      <c r="O124" s="3" t="s">
        <v>110</v>
      </c>
      <c r="P124" s="2">
        <v>109</v>
      </c>
      <c r="Q124" s="6" t="s">
        <v>3</v>
      </c>
      <c r="R124" s="4">
        <v>143668.54</v>
      </c>
      <c r="S124" s="4">
        <v>101403.79</v>
      </c>
      <c r="T124" s="4">
        <v>42264.75</v>
      </c>
      <c r="U124" s="4">
        <f>IFERROR(tblInventory[[#This Row],[Gross_Profit_30D]]/tblInventory[[#This Row],[Sales_Revenue_30D]],0)</f>
        <v>0.29418235892144512</v>
      </c>
      <c r="V124" s="2">
        <v>8372.7900000000009</v>
      </c>
    </row>
    <row r="125" spans="1:22" x14ac:dyDescent="0.3">
      <c r="A125" s="2" t="s">
        <v>335</v>
      </c>
      <c r="B125" s="2" t="s">
        <v>279</v>
      </c>
      <c r="C125" s="2" t="s">
        <v>2</v>
      </c>
      <c r="D125" s="2" t="s">
        <v>128</v>
      </c>
      <c r="E125" s="2" t="s">
        <v>67</v>
      </c>
      <c r="F125" s="2" t="s">
        <v>189</v>
      </c>
      <c r="G125" s="3">
        <v>60</v>
      </c>
      <c r="H125" s="4">
        <v>360.31</v>
      </c>
      <c r="I125" s="4">
        <v>980.56</v>
      </c>
      <c r="J125" s="3">
        <v>20</v>
      </c>
      <c r="K125" s="3">
        <f>tblInventory[[#This Row],[Qty_On_Hand]]*tblInventory[[#This Row],[Unit_Cost]]</f>
        <v>7206.2</v>
      </c>
      <c r="L125" s="3">
        <v>73</v>
      </c>
      <c r="M125" s="3">
        <f>IF(tblInventory[[#This Row],[Qty_On_Hand]]&lt;=tblInventory[[#This Row],[Reorder_Level]],1,0)</f>
        <v>1</v>
      </c>
      <c r="N125" s="3">
        <v>262</v>
      </c>
      <c r="O125" s="3" t="s">
        <v>140</v>
      </c>
      <c r="P125" s="2">
        <v>92</v>
      </c>
      <c r="Q125" s="6" t="s">
        <v>3</v>
      </c>
      <c r="R125" s="4">
        <v>90211.520000000004</v>
      </c>
      <c r="S125" s="4">
        <v>33148.519999999997</v>
      </c>
      <c r="T125" s="4">
        <v>57063</v>
      </c>
      <c r="U125" s="4">
        <f>IFERROR(tblInventory[[#This Row],[Gross_Profit_30D]]/tblInventory[[#This Row],[Sales_Revenue_30D]],0)</f>
        <v>0.63254670800358981</v>
      </c>
      <c r="V125" s="2">
        <v>7206.2</v>
      </c>
    </row>
    <row r="126" spans="1:22" x14ac:dyDescent="0.3">
      <c r="A126" s="2" t="s">
        <v>336</v>
      </c>
      <c r="B126" s="2" t="s">
        <v>90</v>
      </c>
      <c r="C126" s="2" t="s">
        <v>8</v>
      </c>
      <c r="D126" s="2" t="s">
        <v>72</v>
      </c>
      <c r="E126" s="2" t="s">
        <v>73</v>
      </c>
      <c r="F126" s="2" t="s">
        <v>114</v>
      </c>
      <c r="G126" s="3">
        <v>255</v>
      </c>
      <c r="H126" s="4">
        <v>803.62</v>
      </c>
      <c r="I126" s="4">
        <v>1418.72</v>
      </c>
      <c r="J126" s="3">
        <v>40</v>
      </c>
      <c r="K126" s="3">
        <f>tblInventory[[#This Row],[Qty_On_Hand]]*tblInventory[[#This Row],[Unit_Cost]]</f>
        <v>32144.799999999999</v>
      </c>
      <c r="L126" s="3">
        <v>58</v>
      </c>
      <c r="M126" s="3">
        <f>IF(tblInventory[[#This Row],[Qty_On_Hand]]&lt;=tblInventory[[#This Row],[Reorder_Level]],1,0)</f>
        <v>1</v>
      </c>
      <c r="N126" s="3">
        <v>106</v>
      </c>
      <c r="O126" s="3" t="s">
        <v>101</v>
      </c>
      <c r="P126" s="2">
        <v>85</v>
      </c>
      <c r="Q126" s="6" t="s">
        <v>3</v>
      </c>
      <c r="R126" s="4">
        <v>120591.2</v>
      </c>
      <c r="S126" s="4">
        <v>68307.7</v>
      </c>
      <c r="T126" s="4">
        <v>52283.5</v>
      </c>
      <c r="U126" s="4">
        <f>IFERROR(tblInventory[[#This Row],[Gross_Profit_30D]]/tblInventory[[#This Row],[Sales_Revenue_30D]],0)</f>
        <v>0.43355982857787301</v>
      </c>
      <c r="V126" s="2">
        <v>32144.799999999999</v>
      </c>
    </row>
    <row r="127" spans="1:22" x14ac:dyDescent="0.3">
      <c r="A127" s="2" t="s">
        <v>337</v>
      </c>
      <c r="B127" s="2" t="s">
        <v>40</v>
      </c>
      <c r="C127" s="2" t="s">
        <v>4</v>
      </c>
      <c r="D127" s="2" t="s">
        <v>72</v>
      </c>
      <c r="E127" s="2" t="s">
        <v>86</v>
      </c>
      <c r="F127" s="2" t="s">
        <v>153</v>
      </c>
      <c r="G127" s="3">
        <v>447</v>
      </c>
      <c r="H127" s="4">
        <v>715.18</v>
      </c>
      <c r="I127" s="4">
        <v>1957.69</v>
      </c>
      <c r="J127" s="3">
        <v>178</v>
      </c>
      <c r="K127" s="3">
        <f>tblInventory[[#This Row],[Qty_On_Hand]]*tblInventory[[#This Row],[Unit_Cost]]</f>
        <v>127302.04</v>
      </c>
      <c r="L127" s="3">
        <v>97</v>
      </c>
      <c r="M127" s="3">
        <f>IF(tblInventory[[#This Row],[Qty_On_Hand]]&lt;=tblInventory[[#This Row],[Reorder_Level]],1,0)</f>
        <v>0</v>
      </c>
      <c r="N127" s="3">
        <v>258</v>
      </c>
      <c r="O127" s="3" t="s">
        <v>162</v>
      </c>
      <c r="P127" s="2">
        <v>37</v>
      </c>
      <c r="Q127" s="7" t="s">
        <v>1</v>
      </c>
      <c r="R127" s="4">
        <v>72434.53</v>
      </c>
      <c r="S127" s="4">
        <v>26461.66</v>
      </c>
      <c r="T127" s="4">
        <v>45972.87</v>
      </c>
      <c r="U127" s="4">
        <f>IFERROR(tblInventory[[#This Row],[Gross_Profit_30D]]/tblInventory[[#This Row],[Sales_Revenue_30D]],0)</f>
        <v>0.63468169117684625</v>
      </c>
      <c r="V127" s="2">
        <v>127302.04</v>
      </c>
    </row>
    <row r="128" spans="1:22" x14ac:dyDescent="0.3">
      <c r="A128" s="2" t="s">
        <v>39</v>
      </c>
      <c r="B128" s="2" t="s">
        <v>40</v>
      </c>
      <c r="C128" s="2" t="s">
        <v>4</v>
      </c>
      <c r="D128" s="2" t="s">
        <v>96</v>
      </c>
      <c r="E128" s="2" t="s">
        <v>67</v>
      </c>
      <c r="F128" s="2" t="s">
        <v>294</v>
      </c>
      <c r="G128" s="3">
        <v>358</v>
      </c>
      <c r="H128" s="4">
        <v>1525.23</v>
      </c>
      <c r="I128" s="4">
        <v>3482.5</v>
      </c>
      <c r="J128" s="3">
        <v>78</v>
      </c>
      <c r="K128" s="3">
        <f>tblInventory[[#This Row],[Qty_On_Hand]]*tblInventory[[#This Row],[Unit_Cost]]</f>
        <v>118967.94</v>
      </c>
      <c r="L128" s="3">
        <v>37</v>
      </c>
      <c r="M128" s="3">
        <f>IF(tblInventory[[#This Row],[Qty_On_Hand]]&lt;=tblInventory[[#This Row],[Reorder_Level]],1,0)</f>
        <v>0</v>
      </c>
      <c r="N128" s="3">
        <v>293</v>
      </c>
      <c r="O128" s="3" t="s">
        <v>80</v>
      </c>
      <c r="P128" s="2">
        <v>126</v>
      </c>
      <c r="Q128" s="7" t="s">
        <v>1</v>
      </c>
      <c r="R128" s="4">
        <v>438795</v>
      </c>
      <c r="S128" s="4">
        <v>192178.98</v>
      </c>
      <c r="T128" s="4">
        <v>246616.02</v>
      </c>
      <c r="U128" s="4">
        <f>IFERROR(tblInventory[[#This Row],[Gross_Profit_30D]]/tblInventory[[#This Row],[Sales_Revenue_30D]],0)</f>
        <v>0.56203015075376883</v>
      </c>
      <c r="V128" s="2">
        <v>118967.94</v>
      </c>
    </row>
    <row r="129" spans="1:22" x14ac:dyDescent="0.3">
      <c r="A129" s="2" t="s">
        <v>338</v>
      </c>
      <c r="B129" s="2" t="s">
        <v>23</v>
      </c>
      <c r="C129" s="2" t="s">
        <v>6</v>
      </c>
      <c r="D129" s="2" t="s">
        <v>108</v>
      </c>
      <c r="E129" s="2" t="s">
        <v>86</v>
      </c>
      <c r="F129" s="2" t="s">
        <v>339</v>
      </c>
      <c r="G129" s="3">
        <v>369</v>
      </c>
      <c r="H129" s="4">
        <v>1731.21</v>
      </c>
      <c r="I129" s="4">
        <v>3879.34</v>
      </c>
      <c r="J129" s="3">
        <v>165</v>
      </c>
      <c r="K129" s="3">
        <f>tblInventory[[#This Row],[Qty_On_Hand]]*tblInventory[[#This Row],[Unit_Cost]]</f>
        <v>285649.65000000002</v>
      </c>
      <c r="L129" s="3">
        <v>34</v>
      </c>
      <c r="M129" s="3">
        <f>IF(tblInventory[[#This Row],[Qty_On_Hand]]&lt;=tblInventory[[#This Row],[Reorder_Level]],1,0)</f>
        <v>0</v>
      </c>
      <c r="N129" s="3">
        <v>162</v>
      </c>
      <c r="O129" s="3" t="s">
        <v>118</v>
      </c>
      <c r="P129" s="2">
        <v>17</v>
      </c>
      <c r="Q129" s="7" t="s">
        <v>1</v>
      </c>
      <c r="R129" s="4">
        <v>65948.78</v>
      </c>
      <c r="S129" s="4">
        <v>29430.57</v>
      </c>
      <c r="T129" s="4">
        <v>36518.21</v>
      </c>
      <c r="U129" s="4">
        <f>IFERROR(tblInventory[[#This Row],[Gross_Profit_30D]]/tblInventory[[#This Row],[Sales_Revenue_30D]],0)</f>
        <v>0.55373594477411103</v>
      </c>
      <c r="V129" s="2">
        <v>285649.65000000002</v>
      </c>
    </row>
    <row r="130" spans="1:22" x14ac:dyDescent="0.3">
      <c r="A130" s="2" t="s">
        <v>340</v>
      </c>
      <c r="B130" s="2" t="s">
        <v>31</v>
      </c>
      <c r="C130" s="2" t="s">
        <v>6</v>
      </c>
      <c r="D130" s="2" t="s">
        <v>77</v>
      </c>
      <c r="E130" s="2" t="s">
        <v>67</v>
      </c>
      <c r="F130" s="2" t="s">
        <v>219</v>
      </c>
      <c r="G130" s="3">
        <v>230</v>
      </c>
      <c r="H130" s="4">
        <v>166.9</v>
      </c>
      <c r="I130" s="4">
        <v>332.57</v>
      </c>
      <c r="J130" s="3">
        <v>129</v>
      </c>
      <c r="K130" s="3">
        <f>tblInventory[[#This Row],[Qty_On_Hand]]*tblInventory[[#This Row],[Unit_Cost]]</f>
        <v>21530.100000000002</v>
      </c>
      <c r="L130" s="3">
        <v>19</v>
      </c>
      <c r="M130" s="3">
        <f>IF(tblInventory[[#This Row],[Qty_On_Hand]]&lt;=tblInventory[[#This Row],[Reorder_Level]],1,0)</f>
        <v>0</v>
      </c>
      <c r="N130" s="3">
        <v>64</v>
      </c>
      <c r="O130" s="3" t="s">
        <v>110</v>
      </c>
      <c r="P130" s="2">
        <v>94</v>
      </c>
      <c r="Q130" s="7" t="s">
        <v>1</v>
      </c>
      <c r="R130" s="4">
        <v>31261.58</v>
      </c>
      <c r="S130" s="4">
        <v>15688.6</v>
      </c>
      <c r="T130" s="4">
        <v>15572.98</v>
      </c>
      <c r="U130" s="4">
        <f>IFERROR(tblInventory[[#This Row],[Gross_Profit_30D]]/tblInventory[[#This Row],[Sales_Revenue_30D]],0)</f>
        <v>0.49815076525242802</v>
      </c>
      <c r="V130" s="2">
        <v>21530.1</v>
      </c>
    </row>
    <row r="131" spans="1:22" x14ac:dyDescent="0.3">
      <c r="A131" s="2" t="s">
        <v>36</v>
      </c>
      <c r="B131" s="2" t="s">
        <v>12</v>
      </c>
      <c r="C131" s="2" t="s">
        <v>0</v>
      </c>
      <c r="D131" s="2" t="s">
        <v>72</v>
      </c>
      <c r="E131" s="2" t="s">
        <v>86</v>
      </c>
      <c r="F131" s="2" t="s">
        <v>341</v>
      </c>
      <c r="G131" s="3">
        <v>246</v>
      </c>
      <c r="H131" s="4">
        <v>1169.05</v>
      </c>
      <c r="I131" s="4">
        <v>3193.08</v>
      </c>
      <c r="J131" s="3">
        <v>118</v>
      </c>
      <c r="K131" s="3">
        <f>tblInventory[[#This Row],[Qty_On_Hand]]*tblInventory[[#This Row],[Unit_Cost]]</f>
        <v>137947.9</v>
      </c>
      <c r="L131" s="3">
        <v>20</v>
      </c>
      <c r="M131" s="3">
        <f>IF(tblInventory[[#This Row],[Qty_On_Hand]]&lt;=tblInventory[[#This Row],[Reorder_Level]],1,0)</f>
        <v>0</v>
      </c>
      <c r="N131" s="3">
        <v>165</v>
      </c>
      <c r="O131" s="3" t="s">
        <v>75</v>
      </c>
      <c r="P131" s="2">
        <v>146</v>
      </c>
      <c r="Q131" s="7" t="s">
        <v>1</v>
      </c>
      <c r="R131" s="4">
        <v>466189.68</v>
      </c>
      <c r="S131" s="4">
        <v>170681.3</v>
      </c>
      <c r="T131" s="4">
        <v>295508.38</v>
      </c>
      <c r="U131" s="4">
        <f>IFERROR(tblInventory[[#This Row],[Gross_Profit_30D]]/tblInventory[[#This Row],[Sales_Revenue_30D]],0)</f>
        <v>0.63388014080448973</v>
      </c>
      <c r="V131" s="2">
        <v>137947.9</v>
      </c>
    </row>
    <row r="132" spans="1:22" x14ac:dyDescent="0.3">
      <c r="A132" s="2" t="s">
        <v>342</v>
      </c>
      <c r="B132" s="2" t="s">
        <v>192</v>
      </c>
      <c r="C132" s="2" t="s">
        <v>7</v>
      </c>
      <c r="D132" s="2" t="s">
        <v>81</v>
      </c>
      <c r="E132" s="2" t="s">
        <v>86</v>
      </c>
      <c r="F132" s="2" t="s">
        <v>226</v>
      </c>
      <c r="G132" s="3">
        <v>127</v>
      </c>
      <c r="H132" s="4">
        <v>912.04</v>
      </c>
      <c r="I132" s="4">
        <v>2295.1</v>
      </c>
      <c r="J132" s="3">
        <v>15</v>
      </c>
      <c r="K132" s="3">
        <f>tblInventory[[#This Row],[Qty_On_Hand]]*tblInventory[[#This Row],[Unit_Cost]]</f>
        <v>13680.599999999999</v>
      </c>
      <c r="L132" s="3">
        <v>58</v>
      </c>
      <c r="M132" s="3">
        <f>IF(tblInventory[[#This Row],[Qty_On_Hand]]&lt;=tblInventory[[#This Row],[Reorder_Level]],1,0)</f>
        <v>1</v>
      </c>
      <c r="N132" s="3">
        <v>232</v>
      </c>
      <c r="O132" s="3" t="s">
        <v>75</v>
      </c>
      <c r="P132" s="2">
        <v>21</v>
      </c>
      <c r="Q132" s="6" t="s">
        <v>3</v>
      </c>
      <c r="R132" s="4">
        <v>48197.1</v>
      </c>
      <c r="S132" s="4">
        <v>19152.84</v>
      </c>
      <c r="T132" s="4">
        <v>29044.26</v>
      </c>
      <c r="U132" s="4">
        <f>IFERROR(tblInventory[[#This Row],[Gross_Profit_30D]]/tblInventory[[#This Row],[Sales_Revenue_30D]],0)</f>
        <v>0.60261426517363081</v>
      </c>
      <c r="V132" s="2">
        <v>13680.6</v>
      </c>
    </row>
    <row r="133" spans="1:22" x14ac:dyDescent="0.3">
      <c r="A133" s="2" t="s">
        <v>343</v>
      </c>
      <c r="B133" s="2" t="s">
        <v>135</v>
      </c>
      <c r="C133" s="2" t="s">
        <v>2</v>
      </c>
      <c r="D133" s="2" t="s">
        <v>66</v>
      </c>
      <c r="E133" s="2" t="s">
        <v>73</v>
      </c>
      <c r="F133" s="2" t="s">
        <v>214</v>
      </c>
      <c r="G133" s="3">
        <v>274</v>
      </c>
      <c r="H133" s="4">
        <v>1055.04</v>
      </c>
      <c r="I133" s="4">
        <v>1622.78</v>
      </c>
      <c r="J133" s="3">
        <v>268</v>
      </c>
      <c r="K133" s="3">
        <f>tblInventory[[#This Row],[Qty_On_Hand]]*tblInventory[[#This Row],[Unit_Cost]]</f>
        <v>282750.71999999997</v>
      </c>
      <c r="L133" s="3">
        <v>62</v>
      </c>
      <c r="M133" s="3">
        <f>IF(tblInventory[[#This Row],[Qty_On_Hand]]&lt;=tblInventory[[#This Row],[Reorder_Level]],1,0)</f>
        <v>0</v>
      </c>
      <c r="N133" s="3">
        <v>284</v>
      </c>
      <c r="O133" s="3" t="s">
        <v>144</v>
      </c>
      <c r="P133" s="2">
        <v>72</v>
      </c>
      <c r="Q133" s="7" t="s">
        <v>1</v>
      </c>
      <c r="R133" s="4">
        <v>116840.16</v>
      </c>
      <c r="S133" s="4">
        <v>75962.880000000005</v>
      </c>
      <c r="T133" s="4">
        <v>40877.279999999999</v>
      </c>
      <c r="U133" s="4">
        <f>IFERROR(tblInventory[[#This Row],[Gross_Profit_30D]]/tblInventory[[#This Row],[Sales_Revenue_30D]],0)</f>
        <v>0.34985641923119581</v>
      </c>
      <c r="V133" s="2">
        <v>282750.71999999997</v>
      </c>
    </row>
    <row r="134" spans="1:22" x14ac:dyDescent="0.3">
      <c r="A134" s="2" t="s">
        <v>344</v>
      </c>
      <c r="B134" s="2" t="s">
        <v>112</v>
      </c>
      <c r="C134" s="2" t="s">
        <v>6</v>
      </c>
      <c r="D134" s="2" t="s">
        <v>81</v>
      </c>
      <c r="E134" s="2" t="s">
        <v>86</v>
      </c>
      <c r="F134" s="2" t="s">
        <v>267</v>
      </c>
      <c r="G134" s="3">
        <v>381</v>
      </c>
      <c r="H134" s="4">
        <v>150.51</v>
      </c>
      <c r="I134" s="4">
        <v>217</v>
      </c>
      <c r="J134" s="3">
        <v>171</v>
      </c>
      <c r="K134" s="3">
        <f>tblInventory[[#This Row],[Qty_On_Hand]]*tblInventory[[#This Row],[Unit_Cost]]</f>
        <v>25737.21</v>
      </c>
      <c r="L134" s="3">
        <v>64</v>
      </c>
      <c r="M134" s="3">
        <f>IF(tblInventory[[#This Row],[Qty_On_Hand]]&lt;=tblInventory[[#This Row],[Reorder_Level]],1,0)</f>
        <v>0</v>
      </c>
      <c r="N134" s="3">
        <v>122</v>
      </c>
      <c r="O134" s="3" t="s">
        <v>118</v>
      </c>
      <c r="P134" s="2">
        <v>64</v>
      </c>
      <c r="Q134" s="7" t="s">
        <v>1</v>
      </c>
      <c r="R134" s="4">
        <v>13888</v>
      </c>
      <c r="S134" s="4">
        <v>9632.64</v>
      </c>
      <c r="T134" s="4">
        <v>4255.3599999999997</v>
      </c>
      <c r="U134" s="4">
        <f>IFERROR(tblInventory[[#This Row],[Gross_Profit_30D]]/tblInventory[[#This Row],[Sales_Revenue_30D]],0)</f>
        <v>0.30640552995391701</v>
      </c>
      <c r="V134" s="2">
        <v>25737.21</v>
      </c>
    </row>
    <row r="135" spans="1:22" x14ac:dyDescent="0.3">
      <c r="A135" s="2" t="s">
        <v>345</v>
      </c>
      <c r="B135" s="2" t="s">
        <v>25</v>
      </c>
      <c r="C135" s="2" t="s">
        <v>7</v>
      </c>
      <c r="D135" s="2" t="s">
        <v>96</v>
      </c>
      <c r="E135" s="2" t="s">
        <v>67</v>
      </c>
      <c r="F135" s="2" t="s">
        <v>155</v>
      </c>
      <c r="G135" s="3">
        <v>389</v>
      </c>
      <c r="H135" s="4">
        <v>1835.16</v>
      </c>
      <c r="I135" s="4">
        <v>3239.7</v>
      </c>
      <c r="J135" s="3">
        <v>72</v>
      </c>
      <c r="K135" s="3">
        <f>tblInventory[[#This Row],[Qty_On_Hand]]*tblInventory[[#This Row],[Unit_Cost]]</f>
        <v>132131.52000000002</v>
      </c>
      <c r="L135" s="3">
        <v>98</v>
      </c>
      <c r="M135" s="3">
        <f>IF(tblInventory[[#This Row],[Qty_On_Hand]]&lt;=tblInventory[[#This Row],[Reorder_Level]],1,0)</f>
        <v>1</v>
      </c>
      <c r="N135" s="3">
        <v>228</v>
      </c>
      <c r="O135" s="3" t="s">
        <v>101</v>
      </c>
      <c r="P135" s="2">
        <v>100</v>
      </c>
      <c r="Q135" s="6" t="s">
        <v>3</v>
      </c>
      <c r="R135" s="4">
        <v>323970</v>
      </c>
      <c r="S135" s="4">
        <v>183516</v>
      </c>
      <c r="T135" s="4">
        <v>140454</v>
      </c>
      <c r="U135" s="4">
        <f>IFERROR(tblInventory[[#This Row],[Gross_Profit_30D]]/tblInventory[[#This Row],[Sales_Revenue_30D]],0)</f>
        <v>0.43354014260579682</v>
      </c>
      <c r="V135" s="2">
        <v>132131.51999999999</v>
      </c>
    </row>
    <row r="136" spans="1:22" x14ac:dyDescent="0.3">
      <c r="A136" s="2" t="s">
        <v>346</v>
      </c>
      <c r="B136" s="2" t="s">
        <v>228</v>
      </c>
      <c r="C136" s="2" t="s">
        <v>4</v>
      </c>
      <c r="D136" s="2" t="s">
        <v>72</v>
      </c>
      <c r="E136" s="2" t="s">
        <v>67</v>
      </c>
      <c r="F136" s="2" t="s">
        <v>209</v>
      </c>
      <c r="G136" s="3">
        <v>379</v>
      </c>
      <c r="H136" s="4">
        <v>1630.11</v>
      </c>
      <c r="I136" s="4">
        <v>3757.69</v>
      </c>
      <c r="J136" s="3">
        <v>168</v>
      </c>
      <c r="K136" s="3">
        <f>tblInventory[[#This Row],[Qty_On_Hand]]*tblInventory[[#This Row],[Unit_Cost]]</f>
        <v>273858.48</v>
      </c>
      <c r="L136" s="3">
        <v>82</v>
      </c>
      <c r="M136" s="3">
        <f>IF(tblInventory[[#This Row],[Qty_On_Hand]]&lt;=tblInventory[[#This Row],[Reorder_Level]],1,0)</f>
        <v>0</v>
      </c>
      <c r="N136" s="3">
        <v>73</v>
      </c>
      <c r="O136" s="3" t="s">
        <v>140</v>
      </c>
      <c r="P136" s="2">
        <v>108</v>
      </c>
      <c r="Q136" s="7" t="s">
        <v>1</v>
      </c>
      <c r="R136" s="4">
        <v>405830.52</v>
      </c>
      <c r="S136" s="4">
        <v>176051.88</v>
      </c>
      <c r="T136" s="4">
        <v>229778.64</v>
      </c>
      <c r="U136" s="4">
        <f>IFERROR(tblInventory[[#This Row],[Gross_Profit_30D]]/tblInventory[[#This Row],[Sales_Revenue_30D]],0)</f>
        <v>0.56619359233997479</v>
      </c>
      <c r="V136" s="2">
        <v>273858.48</v>
      </c>
    </row>
    <row r="137" spans="1:22" x14ac:dyDescent="0.3">
      <c r="A137" s="2" t="s">
        <v>347</v>
      </c>
      <c r="B137" s="2" t="s">
        <v>211</v>
      </c>
      <c r="C137" s="2" t="s">
        <v>2</v>
      </c>
      <c r="D137" s="2" t="s">
        <v>66</v>
      </c>
      <c r="E137" s="2" t="s">
        <v>67</v>
      </c>
      <c r="F137" s="2" t="s">
        <v>229</v>
      </c>
      <c r="G137" s="3">
        <v>159</v>
      </c>
      <c r="H137" s="4">
        <v>1896.38</v>
      </c>
      <c r="I137" s="4">
        <v>3848.53</v>
      </c>
      <c r="J137" s="3">
        <v>87</v>
      </c>
      <c r="K137" s="3">
        <f>tblInventory[[#This Row],[Qty_On_Hand]]*tblInventory[[#This Row],[Unit_Cost]]</f>
        <v>164985.06</v>
      </c>
      <c r="L137" s="3">
        <v>43</v>
      </c>
      <c r="M137" s="3">
        <f>IF(tblInventory[[#This Row],[Qty_On_Hand]]&lt;=tblInventory[[#This Row],[Reorder_Level]],1,0)</f>
        <v>0</v>
      </c>
      <c r="N137" s="3">
        <v>85</v>
      </c>
      <c r="O137" s="3" t="s">
        <v>80</v>
      </c>
      <c r="P137" s="2">
        <v>39</v>
      </c>
      <c r="Q137" s="7" t="s">
        <v>1</v>
      </c>
      <c r="R137" s="4">
        <v>150092.67000000001</v>
      </c>
      <c r="S137" s="4">
        <v>73958.820000000007</v>
      </c>
      <c r="T137" s="4">
        <v>76133.850000000006</v>
      </c>
      <c r="U137" s="4">
        <f>IFERROR(tblInventory[[#This Row],[Gross_Profit_30D]]/tblInventory[[#This Row],[Sales_Revenue_30D]],0)</f>
        <v>0.50724562365370673</v>
      </c>
      <c r="V137" s="2">
        <v>164985.06</v>
      </c>
    </row>
    <row r="138" spans="1:22" x14ac:dyDescent="0.3">
      <c r="A138" s="2" t="s">
        <v>348</v>
      </c>
      <c r="B138" s="2" t="s">
        <v>44</v>
      </c>
      <c r="C138" s="2" t="s">
        <v>8</v>
      </c>
      <c r="D138" s="2" t="s">
        <v>72</v>
      </c>
      <c r="E138" s="2" t="s">
        <v>86</v>
      </c>
      <c r="F138" s="2" t="s">
        <v>173</v>
      </c>
      <c r="G138" s="3">
        <v>477</v>
      </c>
      <c r="H138" s="4">
        <v>1769.69</v>
      </c>
      <c r="I138" s="4">
        <v>2400.8000000000002</v>
      </c>
      <c r="J138" s="3">
        <v>378</v>
      </c>
      <c r="K138" s="3">
        <f>tblInventory[[#This Row],[Qty_On_Hand]]*tblInventory[[#This Row],[Unit_Cost]]</f>
        <v>668942.82000000007</v>
      </c>
      <c r="L138" s="3">
        <v>58</v>
      </c>
      <c r="M138" s="3">
        <f>IF(tblInventory[[#This Row],[Qty_On_Hand]]&lt;=tblInventory[[#This Row],[Reorder_Level]],1,0)</f>
        <v>0</v>
      </c>
      <c r="N138" s="3">
        <v>274</v>
      </c>
      <c r="O138" s="3" t="s">
        <v>105</v>
      </c>
      <c r="P138" s="2">
        <v>33</v>
      </c>
      <c r="Q138" s="7" t="s">
        <v>1</v>
      </c>
      <c r="R138" s="4">
        <v>79226.399999999994</v>
      </c>
      <c r="S138" s="4">
        <v>58399.77</v>
      </c>
      <c r="T138" s="4">
        <v>20826.63</v>
      </c>
      <c r="U138" s="4">
        <f>IFERROR(tblInventory[[#This Row],[Gross_Profit_30D]]/tblInventory[[#This Row],[Sales_Revenue_30D]],0)</f>
        <v>0.2628748750416528</v>
      </c>
      <c r="V138" s="2">
        <v>668942.81999999995</v>
      </c>
    </row>
    <row r="139" spans="1:22" x14ac:dyDescent="0.3">
      <c r="A139" s="2" t="s">
        <v>349</v>
      </c>
      <c r="B139" s="2" t="s">
        <v>279</v>
      </c>
      <c r="C139" s="2" t="s">
        <v>2</v>
      </c>
      <c r="D139" s="2" t="s">
        <v>96</v>
      </c>
      <c r="E139" s="2" t="s">
        <v>73</v>
      </c>
      <c r="F139" s="2" t="s">
        <v>238</v>
      </c>
      <c r="G139" s="3">
        <v>444</v>
      </c>
      <c r="H139" s="4">
        <v>1621.91</v>
      </c>
      <c r="I139" s="4">
        <v>2511.2199999999998</v>
      </c>
      <c r="J139" s="3">
        <v>319</v>
      </c>
      <c r="K139" s="3">
        <f>tblInventory[[#This Row],[Qty_On_Hand]]*tblInventory[[#This Row],[Unit_Cost]]</f>
        <v>517389.29000000004</v>
      </c>
      <c r="L139" s="3">
        <v>71</v>
      </c>
      <c r="M139" s="3">
        <f>IF(tblInventory[[#This Row],[Qty_On_Hand]]&lt;=tblInventory[[#This Row],[Reorder_Level]],1,0)</f>
        <v>0</v>
      </c>
      <c r="N139" s="3">
        <v>61</v>
      </c>
      <c r="O139" s="3" t="s">
        <v>88</v>
      </c>
      <c r="P139" s="2">
        <v>105</v>
      </c>
      <c r="Q139" s="7" t="s">
        <v>1</v>
      </c>
      <c r="R139" s="4">
        <v>263678.09999999998</v>
      </c>
      <c r="S139" s="4">
        <v>170300.55</v>
      </c>
      <c r="T139" s="4">
        <v>93377.55</v>
      </c>
      <c r="U139" s="4">
        <f>IFERROR(tblInventory[[#This Row],[Gross_Profit_30D]]/tblInventory[[#This Row],[Sales_Revenue_30D]],0)</f>
        <v>0.35413464371898923</v>
      </c>
      <c r="V139" s="2">
        <v>517389.29</v>
      </c>
    </row>
    <row r="140" spans="1:22" x14ac:dyDescent="0.3">
      <c r="A140" s="2" t="s">
        <v>350</v>
      </c>
      <c r="B140" s="2" t="s">
        <v>178</v>
      </c>
      <c r="C140" s="2" t="s">
        <v>0</v>
      </c>
      <c r="D140" s="2" t="s">
        <v>108</v>
      </c>
      <c r="E140" s="2" t="s">
        <v>86</v>
      </c>
      <c r="F140" s="2" t="s">
        <v>351</v>
      </c>
      <c r="G140" s="3">
        <v>169</v>
      </c>
      <c r="H140" s="4">
        <v>493.55</v>
      </c>
      <c r="I140" s="4">
        <v>1356.47</v>
      </c>
      <c r="J140" s="3">
        <v>136</v>
      </c>
      <c r="K140" s="3">
        <f>tblInventory[[#This Row],[Qty_On_Hand]]*tblInventory[[#This Row],[Unit_Cost]]</f>
        <v>67122.8</v>
      </c>
      <c r="L140" s="3">
        <v>75</v>
      </c>
      <c r="M140" s="3">
        <f>IF(tblInventory[[#This Row],[Qty_On_Hand]]&lt;=tblInventory[[#This Row],[Reorder_Level]],1,0)</f>
        <v>0</v>
      </c>
      <c r="N140" s="3">
        <v>281</v>
      </c>
      <c r="O140" s="3" t="s">
        <v>144</v>
      </c>
      <c r="P140" s="2">
        <v>49</v>
      </c>
      <c r="Q140" s="7" t="s">
        <v>1</v>
      </c>
      <c r="R140" s="4">
        <v>66467.03</v>
      </c>
      <c r="S140" s="4">
        <v>24183.95</v>
      </c>
      <c r="T140" s="4">
        <v>42283.08</v>
      </c>
      <c r="U140" s="4">
        <f>IFERROR(tblInventory[[#This Row],[Gross_Profit_30D]]/tblInventory[[#This Row],[Sales_Revenue_30D]],0)</f>
        <v>0.63615118653564029</v>
      </c>
      <c r="V140" s="2">
        <v>67122.8</v>
      </c>
    </row>
    <row r="141" spans="1:22" x14ac:dyDescent="0.3">
      <c r="A141" s="2" t="s">
        <v>352</v>
      </c>
      <c r="B141" s="2" t="s">
        <v>85</v>
      </c>
      <c r="C141" s="2" t="s">
        <v>0</v>
      </c>
      <c r="D141" s="2" t="s">
        <v>108</v>
      </c>
      <c r="E141" s="2" t="s">
        <v>91</v>
      </c>
      <c r="F141" s="2" t="s">
        <v>173</v>
      </c>
      <c r="G141" s="3">
        <v>448</v>
      </c>
      <c r="H141" s="4">
        <v>1015.76</v>
      </c>
      <c r="I141" s="4">
        <v>1958.38</v>
      </c>
      <c r="J141" s="3">
        <v>195</v>
      </c>
      <c r="K141" s="3">
        <f>tblInventory[[#This Row],[Qty_On_Hand]]*tblInventory[[#This Row],[Unit_Cost]]</f>
        <v>198073.2</v>
      </c>
      <c r="L141" s="3">
        <v>35</v>
      </c>
      <c r="M141" s="3">
        <f>IF(tblInventory[[#This Row],[Qty_On_Hand]]&lt;=tblInventory[[#This Row],[Reorder_Level]],1,0)</f>
        <v>0</v>
      </c>
      <c r="N141" s="3">
        <v>259</v>
      </c>
      <c r="O141" s="3" t="s">
        <v>198</v>
      </c>
      <c r="P141" s="2">
        <v>51</v>
      </c>
      <c r="Q141" s="7" t="s">
        <v>1</v>
      </c>
      <c r="R141" s="4">
        <v>99877.38</v>
      </c>
      <c r="S141" s="4">
        <v>51803.76</v>
      </c>
      <c r="T141" s="4">
        <v>48073.62</v>
      </c>
      <c r="U141" s="4">
        <f>IFERROR(tblInventory[[#This Row],[Gross_Profit_30D]]/tblInventory[[#This Row],[Sales_Revenue_30D]],0)</f>
        <v>0.4813264024346654</v>
      </c>
      <c r="V141" s="2">
        <v>198073.2</v>
      </c>
    </row>
    <row r="142" spans="1:22" x14ac:dyDescent="0.3">
      <c r="A142" s="2" t="s">
        <v>353</v>
      </c>
      <c r="B142" s="2" t="s">
        <v>135</v>
      </c>
      <c r="C142" s="2" t="s">
        <v>2</v>
      </c>
      <c r="D142" s="2" t="s">
        <v>77</v>
      </c>
      <c r="E142" s="2" t="s">
        <v>78</v>
      </c>
      <c r="F142" s="2" t="s">
        <v>339</v>
      </c>
      <c r="G142" s="3">
        <v>497</v>
      </c>
      <c r="H142" s="4">
        <v>1117.99</v>
      </c>
      <c r="I142" s="4">
        <v>1625.43</v>
      </c>
      <c r="J142" s="3">
        <v>190</v>
      </c>
      <c r="K142" s="3">
        <f>tblInventory[[#This Row],[Qty_On_Hand]]*tblInventory[[#This Row],[Unit_Cost]]</f>
        <v>212418.1</v>
      </c>
      <c r="L142" s="3">
        <v>81</v>
      </c>
      <c r="M142" s="3">
        <f>IF(tblInventory[[#This Row],[Qty_On_Hand]]&lt;=tblInventory[[#This Row],[Reorder_Level]],1,0)</f>
        <v>0</v>
      </c>
      <c r="N142" s="3">
        <v>267</v>
      </c>
      <c r="O142" s="3" t="s">
        <v>137</v>
      </c>
      <c r="P142" s="2">
        <v>31</v>
      </c>
      <c r="Q142" s="7" t="s">
        <v>1</v>
      </c>
      <c r="R142" s="4">
        <v>50388.33</v>
      </c>
      <c r="S142" s="4">
        <v>34657.69</v>
      </c>
      <c r="T142" s="4">
        <v>15730.64</v>
      </c>
      <c r="U142" s="4">
        <f>IFERROR(tblInventory[[#This Row],[Gross_Profit_30D]]/tblInventory[[#This Row],[Sales_Revenue_30D]],0)</f>
        <v>0.3121881594408864</v>
      </c>
      <c r="V142" s="2">
        <v>212418.1</v>
      </c>
    </row>
    <row r="143" spans="1:22" x14ac:dyDescent="0.3">
      <c r="A143" s="2" t="s">
        <v>354</v>
      </c>
      <c r="B143" s="2" t="s">
        <v>12</v>
      </c>
      <c r="C143" s="2" t="s">
        <v>0</v>
      </c>
      <c r="D143" s="2" t="s">
        <v>96</v>
      </c>
      <c r="E143" s="2" t="s">
        <v>67</v>
      </c>
      <c r="F143" s="2" t="s">
        <v>355</v>
      </c>
      <c r="G143" s="3">
        <v>125</v>
      </c>
      <c r="H143" s="4">
        <v>886.2</v>
      </c>
      <c r="I143" s="4">
        <v>2410.13</v>
      </c>
      <c r="J143" s="3">
        <v>106</v>
      </c>
      <c r="K143" s="3">
        <f>tblInventory[[#This Row],[Qty_On_Hand]]*tblInventory[[#This Row],[Unit_Cost]]</f>
        <v>93937.200000000012</v>
      </c>
      <c r="L143" s="3">
        <v>43</v>
      </c>
      <c r="M143" s="3">
        <f>IF(tblInventory[[#This Row],[Qty_On_Hand]]&lt;=tblInventory[[#This Row],[Reorder_Level]],1,0)</f>
        <v>0</v>
      </c>
      <c r="N143" s="3">
        <v>259</v>
      </c>
      <c r="O143" s="3" t="s">
        <v>75</v>
      </c>
      <c r="P143" s="2">
        <v>115</v>
      </c>
      <c r="Q143" s="7" t="s">
        <v>1</v>
      </c>
      <c r="R143" s="4">
        <v>277164.95</v>
      </c>
      <c r="S143" s="4">
        <v>101913</v>
      </c>
      <c r="T143" s="4">
        <v>175251.95</v>
      </c>
      <c r="U143" s="4">
        <f>IFERROR(tblInventory[[#This Row],[Gross_Profit_30D]]/tblInventory[[#This Row],[Sales_Revenue_30D]],0)</f>
        <v>0.63230199200872983</v>
      </c>
      <c r="V143" s="2">
        <v>93937.2</v>
      </c>
    </row>
    <row r="144" spans="1:22" x14ac:dyDescent="0.3">
      <c r="A144" s="2" t="s">
        <v>356</v>
      </c>
      <c r="B144" s="2" t="s">
        <v>172</v>
      </c>
      <c r="C144" s="2" t="s">
        <v>0</v>
      </c>
      <c r="D144" s="2" t="s">
        <v>128</v>
      </c>
      <c r="E144" s="2" t="s">
        <v>78</v>
      </c>
      <c r="F144" s="2" t="s">
        <v>334</v>
      </c>
      <c r="G144" s="3">
        <v>241</v>
      </c>
      <c r="H144" s="4">
        <v>784.61</v>
      </c>
      <c r="I144" s="4">
        <v>1116.04</v>
      </c>
      <c r="J144" s="3">
        <v>60</v>
      </c>
      <c r="K144" s="3">
        <f>tblInventory[[#This Row],[Qty_On_Hand]]*tblInventory[[#This Row],[Unit_Cost]]</f>
        <v>47076.6</v>
      </c>
      <c r="L144" s="3">
        <v>43</v>
      </c>
      <c r="M144" s="3">
        <f>IF(tblInventory[[#This Row],[Qty_On_Hand]]&lt;=tblInventory[[#This Row],[Reorder_Level]],1,0)</f>
        <v>0</v>
      </c>
      <c r="N144" s="3">
        <v>57</v>
      </c>
      <c r="O144" s="3" t="s">
        <v>75</v>
      </c>
      <c r="P144" s="2">
        <v>81</v>
      </c>
      <c r="Q144" s="7" t="s">
        <v>1</v>
      </c>
      <c r="R144" s="4">
        <v>90399.24</v>
      </c>
      <c r="S144" s="4">
        <v>63553.41</v>
      </c>
      <c r="T144" s="4">
        <v>26845.83</v>
      </c>
      <c r="U144" s="4">
        <f>IFERROR(tblInventory[[#This Row],[Gross_Profit_30D]]/tblInventory[[#This Row],[Sales_Revenue_30D]],0)</f>
        <v>0.29696964266513748</v>
      </c>
      <c r="V144" s="2">
        <v>47076.6</v>
      </c>
    </row>
    <row r="145" spans="1:22" x14ac:dyDescent="0.3">
      <c r="A145" s="2" t="s">
        <v>357</v>
      </c>
      <c r="B145" s="2" t="s">
        <v>308</v>
      </c>
      <c r="C145" s="2" t="s">
        <v>8</v>
      </c>
      <c r="D145" s="2" t="s">
        <v>96</v>
      </c>
      <c r="E145" s="2" t="s">
        <v>73</v>
      </c>
      <c r="F145" s="2" t="s">
        <v>176</v>
      </c>
      <c r="G145" s="3">
        <v>474</v>
      </c>
      <c r="H145" s="4">
        <v>1398.22</v>
      </c>
      <c r="I145" s="4">
        <v>2108.7800000000002</v>
      </c>
      <c r="J145" s="3">
        <v>241</v>
      </c>
      <c r="K145" s="3">
        <f>tblInventory[[#This Row],[Qty_On_Hand]]*tblInventory[[#This Row],[Unit_Cost]]</f>
        <v>336971.02</v>
      </c>
      <c r="L145" s="3">
        <v>75</v>
      </c>
      <c r="M145" s="3">
        <f>IF(tblInventory[[#This Row],[Qty_On_Hand]]&lt;=tblInventory[[#This Row],[Reorder_Level]],1,0)</f>
        <v>0</v>
      </c>
      <c r="N145" s="3">
        <v>164</v>
      </c>
      <c r="O145" s="3" t="s">
        <v>198</v>
      </c>
      <c r="P145" s="2">
        <v>1</v>
      </c>
      <c r="Q145" s="7" t="s">
        <v>1</v>
      </c>
      <c r="R145" s="4">
        <v>2108.7800000000002</v>
      </c>
      <c r="S145" s="4">
        <v>1398.22</v>
      </c>
      <c r="T145" s="4">
        <v>710.56</v>
      </c>
      <c r="U145" s="4">
        <f>IFERROR(tblInventory[[#This Row],[Gross_Profit_30D]]/tblInventory[[#This Row],[Sales_Revenue_30D]],0)</f>
        <v>0.33695311981335174</v>
      </c>
      <c r="V145" s="2">
        <v>336971.02</v>
      </c>
    </row>
    <row r="146" spans="1:22" x14ac:dyDescent="0.3">
      <c r="A146" s="2" t="s">
        <v>358</v>
      </c>
      <c r="B146" s="2" t="s">
        <v>71</v>
      </c>
      <c r="C146" s="2" t="s">
        <v>8</v>
      </c>
      <c r="D146" s="2" t="s">
        <v>77</v>
      </c>
      <c r="E146" s="2" t="s">
        <v>73</v>
      </c>
      <c r="F146" s="2" t="s">
        <v>165</v>
      </c>
      <c r="G146" s="3">
        <v>330</v>
      </c>
      <c r="H146" s="4">
        <v>1064.99</v>
      </c>
      <c r="I146" s="4">
        <v>1562.11</v>
      </c>
      <c r="J146" s="3">
        <v>311</v>
      </c>
      <c r="K146" s="3">
        <f>tblInventory[[#This Row],[Qty_On_Hand]]*tblInventory[[#This Row],[Unit_Cost]]</f>
        <v>331211.89</v>
      </c>
      <c r="L146" s="3">
        <v>51</v>
      </c>
      <c r="M146" s="3">
        <f>IF(tblInventory[[#This Row],[Qty_On_Hand]]&lt;=tblInventory[[#This Row],[Reorder_Level]],1,0)</f>
        <v>0</v>
      </c>
      <c r="N146" s="3">
        <v>110</v>
      </c>
      <c r="O146" s="3" t="s">
        <v>168</v>
      </c>
      <c r="P146" s="2">
        <v>77</v>
      </c>
      <c r="Q146" s="7" t="s">
        <v>1</v>
      </c>
      <c r="R146" s="4">
        <v>120282.47</v>
      </c>
      <c r="S146" s="4">
        <v>82004.23</v>
      </c>
      <c r="T146" s="4">
        <v>38278.239999999998</v>
      </c>
      <c r="U146" s="4">
        <f>IFERROR(tblInventory[[#This Row],[Gross_Profit_30D]]/tblInventory[[#This Row],[Sales_Revenue_30D]],0)</f>
        <v>0.31823623176344812</v>
      </c>
      <c r="V146" s="2">
        <v>331211.89</v>
      </c>
    </row>
    <row r="147" spans="1:22" x14ac:dyDescent="0.3">
      <c r="A147" s="2" t="s">
        <v>359</v>
      </c>
      <c r="B147" s="2" t="s">
        <v>71</v>
      </c>
      <c r="C147" s="2" t="s">
        <v>8</v>
      </c>
      <c r="D147" s="2" t="s">
        <v>132</v>
      </c>
      <c r="E147" s="2" t="s">
        <v>91</v>
      </c>
      <c r="F147" s="2" t="s">
        <v>92</v>
      </c>
      <c r="G147" s="3">
        <v>284</v>
      </c>
      <c r="H147" s="4">
        <v>239.5</v>
      </c>
      <c r="I147" s="4">
        <v>636.52</v>
      </c>
      <c r="J147" s="3">
        <v>32</v>
      </c>
      <c r="K147" s="3">
        <f>tblInventory[[#This Row],[Qty_On_Hand]]*tblInventory[[#This Row],[Unit_Cost]]</f>
        <v>7664</v>
      </c>
      <c r="L147" s="3">
        <v>91</v>
      </c>
      <c r="M147" s="3">
        <f>IF(tblInventory[[#This Row],[Qty_On_Hand]]&lt;=tblInventory[[#This Row],[Reorder_Level]],1,0)</f>
        <v>1</v>
      </c>
      <c r="N147" s="3">
        <v>187</v>
      </c>
      <c r="O147" s="3" t="s">
        <v>252</v>
      </c>
      <c r="P147" s="2">
        <v>4</v>
      </c>
      <c r="Q147" s="6" t="s">
        <v>3</v>
      </c>
      <c r="R147" s="4">
        <v>2546.08</v>
      </c>
      <c r="S147" s="4">
        <v>958</v>
      </c>
      <c r="T147" s="4">
        <v>1588.08</v>
      </c>
      <c r="U147" s="4">
        <f>IFERROR(tblInventory[[#This Row],[Gross_Profit_30D]]/tblInventory[[#This Row],[Sales_Revenue_30D]],0)</f>
        <v>0.62373531075221511</v>
      </c>
      <c r="V147" s="2">
        <v>7664</v>
      </c>
    </row>
    <row r="148" spans="1:22" x14ac:dyDescent="0.3">
      <c r="A148" s="2" t="s">
        <v>360</v>
      </c>
      <c r="B148" s="2" t="s">
        <v>146</v>
      </c>
      <c r="C148" s="2" t="s">
        <v>7</v>
      </c>
      <c r="D148" s="2" t="s">
        <v>132</v>
      </c>
      <c r="E148" s="2" t="s">
        <v>73</v>
      </c>
      <c r="F148" s="2" t="s">
        <v>361</v>
      </c>
      <c r="G148" s="3">
        <v>50</v>
      </c>
      <c r="H148" s="4">
        <v>718.58</v>
      </c>
      <c r="I148" s="4">
        <v>1549.26</v>
      </c>
      <c r="J148" s="3">
        <v>39</v>
      </c>
      <c r="K148" s="3">
        <f>tblInventory[[#This Row],[Qty_On_Hand]]*tblInventory[[#This Row],[Unit_Cost]]</f>
        <v>28024.620000000003</v>
      </c>
      <c r="L148" s="3">
        <v>38</v>
      </c>
      <c r="M148" s="3">
        <f>IF(tblInventory[[#This Row],[Qty_On_Hand]]&lt;=tblInventory[[#This Row],[Reorder_Level]],1,0)</f>
        <v>0</v>
      </c>
      <c r="N148" s="3">
        <v>220</v>
      </c>
      <c r="O148" s="3" t="s">
        <v>156</v>
      </c>
      <c r="P148" s="2">
        <v>21</v>
      </c>
      <c r="Q148" s="7" t="s">
        <v>1</v>
      </c>
      <c r="R148" s="4">
        <v>32534.46</v>
      </c>
      <c r="S148" s="4">
        <v>15090.18</v>
      </c>
      <c r="T148" s="4">
        <v>17444.28</v>
      </c>
      <c r="U148" s="4">
        <f>IFERROR(tblInventory[[#This Row],[Gross_Profit_30D]]/tblInventory[[#This Row],[Sales_Revenue_30D]],0)</f>
        <v>0.53617856266862884</v>
      </c>
      <c r="V148" s="2">
        <v>28024.62</v>
      </c>
    </row>
    <row r="149" spans="1:22" x14ac:dyDescent="0.3">
      <c r="A149" s="2" t="s">
        <v>362</v>
      </c>
      <c r="B149" s="2" t="s">
        <v>211</v>
      </c>
      <c r="C149" s="2" t="s">
        <v>2</v>
      </c>
      <c r="D149" s="2" t="s">
        <v>72</v>
      </c>
      <c r="E149" s="2" t="s">
        <v>86</v>
      </c>
      <c r="F149" s="2" t="s">
        <v>363</v>
      </c>
      <c r="G149" s="3">
        <v>452</v>
      </c>
      <c r="H149" s="4">
        <v>1117.22</v>
      </c>
      <c r="I149" s="4">
        <v>2106.7199999999998</v>
      </c>
      <c r="J149" s="3">
        <v>259</v>
      </c>
      <c r="K149" s="3">
        <f>tblInventory[[#This Row],[Qty_On_Hand]]*tblInventory[[#This Row],[Unit_Cost]]</f>
        <v>289359.98</v>
      </c>
      <c r="L149" s="3">
        <v>75</v>
      </c>
      <c r="M149" s="3">
        <f>IF(tblInventory[[#This Row],[Qty_On_Hand]]&lt;=tblInventory[[#This Row],[Reorder_Level]],1,0)</f>
        <v>0</v>
      </c>
      <c r="N149" s="3">
        <v>61</v>
      </c>
      <c r="O149" s="3" t="s">
        <v>75</v>
      </c>
      <c r="P149" s="2">
        <v>99</v>
      </c>
      <c r="Q149" s="7" t="s">
        <v>1</v>
      </c>
      <c r="R149" s="4">
        <v>208565.28</v>
      </c>
      <c r="S149" s="4">
        <v>110604.78</v>
      </c>
      <c r="T149" s="4">
        <v>97960.5</v>
      </c>
      <c r="U149" s="4">
        <f>IFERROR(tblInventory[[#This Row],[Gross_Profit_30D]]/tblInventory[[#This Row],[Sales_Revenue_30D]],0)</f>
        <v>0.46968747626642365</v>
      </c>
      <c r="V149" s="2">
        <v>289359.98</v>
      </c>
    </row>
    <row r="150" spans="1:22" x14ac:dyDescent="0.3">
      <c r="A150" s="2" t="s">
        <v>364</v>
      </c>
      <c r="B150" s="2" t="s">
        <v>164</v>
      </c>
      <c r="C150" s="2" t="s">
        <v>0</v>
      </c>
      <c r="D150" s="2" t="s">
        <v>66</v>
      </c>
      <c r="E150" s="2" t="s">
        <v>67</v>
      </c>
      <c r="F150" s="2" t="s">
        <v>136</v>
      </c>
      <c r="G150" s="3">
        <v>226</v>
      </c>
      <c r="H150" s="4">
        <v>1471.22</v>
      </c>
      <c r="I150" s="4">
        <v>3299.04</v>
      </c>
      <c r="J150" s="3">
        <v>61</v>
      </c>
      <c r="K150" s="3">
        <f>tblInventory[[#This Row],[Qty_On_Hand]]*tblInventory[[#This Row],[Unit_Cost]]</f>
        <v>89744.42</v>
      </c>
      <c r="L150" s="3">
        <v>89</v>
      </c>
      <c r="M150" s="3">
        <f>IF(tblInventory[[#This Row],[Qty_On_Hand]]&lt;=tblInventory[[#This Row],[Reorder_Level]],1,0)</f>
        <v>1</v>
      </c>
      <c r="N150" s="3">
        <v>238</v>
      </c>
      <c r="O150" s="3" t="s">
        <v>126</v>
      </c>
      <c r="P150" s="2">
        <v>85</v>
      </c>
      <c r="Q150" s="6" t="s">
        <v>3</v>
      </c>
      <c r="R150" s="4">
        <v>280418.40000000002</v>
      </c>
      <c r="S150" s="4">
        <v>125053.7</v>
      </c>
      <c r="T150" s="4">
        <v>155364.70000000001</v>
      </c>
      <c r="U150" s="4">
        <f>IFERROR(tblInventory[[#This Row],[Gross_Profit_30D]]/tblInventory[[#This Row],[Sales_Revenue_30D]],0)</f>
        <v>0.55404602551045157</v>
      </c>
      <c r="V150" s="2">
        <v>89744.42</v>
      </c>
    </row>
    <row r="151" spans="1:22" x14ac:dyDescent="0.3">
      <c r="A151" s="2" t="s">
        <v>365</v>
      </c>
      <c r="B151" s="2" t="s">
        <v>186</v>
      </c>
      <c r="C151" s="2" t="s">
        <v>4</v>
      </c>
      <c r="D151" s="2" t="s">
        <v>81</v>
      </c>
      <c r="E151" s="2" t="s">
        <v>86</v>
      </c>
      <c r="F151" s="2" t="s">
        <v>366</v>
      </c>
      <c r="G151" s="3">
        <v>139</v>
      </c>
      <c r="H151" s="4">
        <v>1962.02</v>
      </c>
      <c r="I151" s="4">
        <v>3958.96</v>
      </c>
      <c r="J151" s="3">
        <v>118</v>
      </c>
      <c r="K151" s="3">
        <f>tblInventory[[#This Row],[Qty_On_Hand]]*tblInventory[[#This Row],[Unit_Cost]]</f>
        <v>231518.36</v>
      </c>
      <c r="L151" s="3">
        <v>38</v>
      </c>
      <c r="M151" s="3">
        <f>IF(tblInventory[[#This Row],[Qty_On_Hand]]&lt;=tblInventory[[#This Row],[Reorder_Level]],1,0)</f>
        <v>0</v>
      </c>
      <c r="N151" s="3">
        <v>257</v>
      </c>
      <c r="O151" s="3" t="s">
        <v>118</v>
      </c>
      <c r="P151" s="2">
        <v>34</v>
      </c>
      <c r="Q151" s="7" t="s">
        <v>1</v>
      </c>
      <c r="R151" s="4">
        <v>134604.64000000001</v>
      </c>
      <c r="S151" s="4">
        <v>66708.679999999993</v>
      </c>
      <c r="T151" s="4">
        <v>67895.960000000006</v>
      </c>
      <c r="U151" s="4">
        <f>IFERROR(tblInventory[[#This Row],[Gross_Profit_30D]]/tblInventory[[#This Row],[Sales_Revenue_30D]],0)</f>
        <v>0.50441024915634414</v>
      </c>
      <c r="V151" s="2">
        <v>231518.36</v>
      </c>
    </row>
    <row r="152" spans="1:22" x14ac:dyDescent="0.3">
      <c r="A152" s="2" t="s">
        <v>367</v>
      </c>
      <c r="B152" s="2" t="s">
        <v>263</v>
      </c>
      <c r="C152" s="2" t="s">
        <v>8</v>
      </c>
      <c r="D152" s="2" t="s">
        <v>66</v>
      </c>
      <c r="E152" s="2" t="s">
        <v>67</v>
      </c>
      <c r="F152" s="2" t="s">
        <v>294</v>
      </c>
      <c r="G152" s="3">
        <v>455</v>
      </c>
      <c r="H152" s="4">
        <v>1773.86</v>
      </c>
      <c r="I152" s="4">
        <v>1174.6500000000001</v>
      </c>
      <c r="J152" s="3">
        <v>102</v>
      </c>
      <c r="K152" s="3">
        <f>tblInventory[[#This Row],[Qty_On_Hand]]*tblInventory[[#This Row],[Unit_Cost]]</f>
        <v>180933.72</v>
      </c>
      <c r="L152" s="3">
        <v>54</v>
      </c>
      <c r="M152" s="3">
        <f>IF(tblInventory[[#This Row],[Qty_On_Hand]]&lt;=tblInventory[[#This Row],[Reorder_Level]],1,0)</f>
        <v>0</v>
      </c>
      <c r="N152" s="3">
        <v>181</v>
      </c>
      <c r="O152" s="3" t="s">
        <v>110</v>
      </c>
      <c r="P152" s="2">
        <v>101</v>
      </c>
      <c r="Q152" s="7" t="s">
        <v>1</v>
      </c>
      <c r="R152" s="4">
        <v>118639.65</v>
      </c>
      <c r="S152" s="4">
        <v>179159.86</v>
      </c>
      <c r="T152" s="4">
        <v>-60520.21</v>
      </c>
      <c r="U152" s="4">
        <f>IFERROR(tblInventory[[#This Row],[Gross_Profit_30D]]/tblInventory[[#This Row],[Sales_Revenue_30D]],0)</f>
        <v>-0.51011790746179719</v>
      </c>
      <c r="V152" s="2">
        <v>180933.72</v>
      </c>
    </row>
    <row r="153" spans="1:22" x14ac:dyDescent="0.3">
      <c r="A153" s="2" t="s">
        <v>368</v>
      </c>
      <c r="B153" s="2" t="s">
        <v>16</v>
      </c>
      <c r="C153" s="2" t="s">
        <v>2</v>
      </c>
      <c r="D153" s="2" t="s">
        <v>77</v>
      </c>
      <c r="E153" s="2" t="s">
        <v>78</v>
      </c>
      <c r="F153" s="2" t="s">
        <v>109</v>
      </c>
      <c r="G153" s="3">
        <v>147</v>
      </c>
      <c r="H153" s="4">
        <v>726.81</v>
      </c>
      <c r="I153" s="4">
        <v>436.54</v>
      </c>
      <c r="J153" s="3">
        <v>73</v>
      </c>
      <c r="K153" s="3">
        <f>tblInventory[[#This Row],[Qty_On_Hand]]*tblInventory[[#This Row],[Unit_Cost]]</f>
        <v>53057.13</v>
      </c>
      <c r="L153" s="3">
        <v>98</v>
      </c>
      <c r="M153" s="3">
        <f>IF(tblInventory[[#This Row],[Qty_On_Hand]]&lt;=tblInventory[[#This Row],[Reorder_Level]],1,0)</f>
        <v>1</v>
      </c>
      <c r="N153" s="3">
        <v>134</v>
      </c>
      <c r="O153" s="3" t="s">
        <v>118</v>
      </c>
      <c r="P153" s="2">
        <v>69</v>
      </c>
      <c r="Q153" s="6" t="s">
        <v>3</v>
      </c>
      <c r="R153" s="4">
        <v>30121.26</v>
      </c>
      <c r="S153" s="4">
        <v>50149.89</v>
      </c>
      <c r="T153" s="4">
        <v>-20028.63</v>
      </c>
      <c r="U153" s="4">
        <f>IFERROR(tblInventory[[#This Row],[Gross_Profit_30D]]/tblInventory[[#This Row],[Sales_Revenue_30D]],0)</f>
        <v>-0.66493333944197563</v>
      </c>
      <c r="V153" s="2">
        <v>53057.13</v>
      </c>
    </row>
    <row r="154" spans="1:22" x14ac:dyDescent="0.3">
      <c r="A154" s="2" t="s">
        <v>369</v>
      </c>
      <c r="B154" s="2" t="s">
        <v>308</v>
      </c>
      <c r="C154" s="2" t="s">
        <v>8</v>
      </c>
      <c r="D154" s="2" t="s">
        <v>128</v>
      </c>
      <c r="E154" s="2" t="s">
        <v>91</v>
      </c>
      <c r="F154" s="2" t="s">
        <v>104</v>
      </c>
      <c r="G154" s="3">
        <v>247</v>
      </c>
      <c r="H154" s="4">
        <v>1947.97</v>
      </c>
      <c r="I154" s="4">
        <v>1647.4</v>
      </c>
      <c r="J154" s="3">
        <v>86</v>
      </c>
      <c r="K154" s="3">
        <f>tblInventory[[#This Row],[Qty_On_Hand]]*tblInventory[[#This Row],[Unit_Cost]]</f>
        <v>167525.42000000001</v>
      </c>
      <c r="L154" s="3">
        <v>78</v>
      </c>
      <c r="M154" s="3">
        <f>IF(tblInventory[[#This Row],[Qty_On_Hand]]&lt;=tblInventory[[#This Row],[Reorder_Level]],1,0)</f>
        <v>0</v>
      </c>
      <c r="N154" s="3">
        <v>144</v>
      </c>
      <c r="O154" s="3" t="s">
        <v>144</v>
      </c>
      <c r="P154" s="2">
        <v>132</v>
      </c>
      <c r="Q154" s="7" t="s">
        <v>1</v>
      </c>
      <c r="R154" s="4">
        <v>217456.8</v>
      </c>
      <c r="S154" s="4">
        <v>257132.04</v>
      </c>
      <c r="T154" s="4">
        <v>-39675.24</v>
      </c>
      <c r="U154" s="4">
        <f>IFERROR(tblInventory[[#This Row],[Gross_Profit_30D]]/tblInventory[[#This Row],[Sales_Revenue_30D]],0)</f>
        <v>-0.18245113512201044</v>
      </c>
      <c r="V154" s="2">
        <v>167525.42000000001</v>
      </c>
    </row>
    <row r="155" spans="1:22" x14ac:dyDescent="0.3">
      <c r="A155" s="2" t="s">
        <v>370</v>
      </c>
      <c r="B155" s="2" t="s">
        <v>12</v>
      </c>
      <c r="C155" s="2" t="s">
        <v>0</v>
      </c>
      <c r="D155" s="2" t="s">
        <v>128</v>
      </c>
      <c r="E155" s="2" t="s">
        <v>78</v>
      </c>
      <c r="F155" s="2" t="s">
        <v>114</v>
      </c>
      <c r="G155" s="3">
        <v>471</v>
      </c>
      <c r="H155" s="4">
        <v>1100.04</v>
      </c>
      <c r="I155" s="4">
        <v>880.57</v>
      </c>
      <c r="J155" s="3">
        <v>92</v>
      </c>
      <c r="K155" s="3">
        <f>tblInventory[[#This Row],[Qty_On_Hand]]*tblInventory[[#This Row],[Unit_Cost]]</f>
        <v>101203.68</v>
      </c>
      <c r="L155" s="3">
        <v>25</v>
      </c>
      <c r="M155" s="3">
        <f>IF(tblInventory[[#This Row],[Qty_On_Hand]]&lt;=tblInventory[[#This Row],[Reorder_Level]],1,0)</f>
        <v>0</v>
      </c>
      <c r="N155" s="3">
        <v>133</v>
      </c>
      <c r="O155" s="3" t="s">
        <v>252</v>
      </c>
      <c r="P155" s="2">
        <v>75</v>
      </c>
      <c r="Q155" s="7" t="s">
        <v>1</v>
      </c>
      <c r="R155" s="4">
        <v>66042.75</v>
      </c>
      <c r="S155" s="4">
        <v>82503</v>
      </c>
      <c r="T155" s="4">
        <v>-16460.25</v>
      </c>
      <c r="U155" s="4">
        <f>IFERROR(tblInventory[[#This Row],[Gross_Profit_30D]]/tblInventory[[#This Row],[Sales_Revenue_30D]],0)</f>
        <v>-0.24923629013025653</v>
      </c>
      <c r="V155" s="2">
        <v>101203.68</v>
      </c>
    </row>
    <row r="156" spans="1:22" x14ac:dyDescent="0.3">
      <c r="A156" s="2" t="s">
        <v>371</v>
      </c>
      <c r="B156" s="2" t="s">
        <v>234</v>
      </c>
      <c r="C156" s="2" t="s">
        <v>0</v>
      </c>
      <c r="D156" s="2" t="s">
        <v>128</v>
      </c>
      <c r="E156" s="2" t="s">
        <v>73</v>
      </c>
      <c r="F156" s="2" t="s">
        <v>258</v>
      </c>
      <c r="G156" s="3">
        <v>229</v>
      </c>
      <c r="H156" s="4">
        <v>103.86</v>
      </c>
      <c r="I156" s="4">
        <v>93.24</v>
      </c>
      <c r="J156" s="3">
        <v>114</v>
      </c>
      <c r="K156" s="3">
        <f>tblInventory[[#This Row],[Qty_On_Hand]]*tblInventory[[#This Row],[Unit_Cost]]</f>
        <v>11840.039999999999</v>
      </c>
      <c r="L156" s="3">
        <v>60</v>
      </c>
      <c r="M156" s="3">
        <f>IF(tblInventory[[#This Row],[Qty_On_Hand]]&lt;=tblInventory[[#This Row],[Reorder_Level]],1,0)</f>
        <v>0</v>
      </c>
      <c r="N156" s="3">
        <v>207</v>
      </c>
      <c r="O156" s="3" t="s">
        <v>144</v>
      </c>
      <c r="P156" s="2">
        <v>111</v>
      </c>
      <c r="Q156" s="7" t="s">
        <v>1</v>
      </c>
      <c r="R156" s="4">
        <v>10349.64</v>
      </c>
      <c r="S156" s="4">
        <v>11528.46</v>
      </c>
      <c r="T156" s="4">
        <v>-1178.82</v>
      </c>
      <c r="U156" s="4">
        <f>IFERROR(tblInventory[[#This Row],[Gross_Profit_30D]]/tblInventory[[#This Row],[Sales_Revenue_30D]],0)</f>
        <v>-0.11389961389961389</v>
      </c>
      <c r="V156" s="2">
        <v>11840.04</v>
      </c>
    </row>
    <row r="157" spans="1:22" x14ac:dyDescent="0.3">
      <c r="A157" s="2" t="s">
        <v>372</v>
      </c>
      <c r="B157" s="2" t="s">
        <v>172</v>
      </c>
      <c r="C157" s="2" t="s">
        <v>0</v>
      </c>
      <c r="D157" s="2" t="s">
        <v>72</v>
      </c>
      <c r="E157" s="2" t="s">
        <v>91</v>
      </c>
      <c r="F157" s="2" t="s">
        <v>373</v>
      </c>
      <c r="G157" s="3">
        <v>460</v>
      </c>
      <c r="H157" s="4">
        <v>1365.23</v>
      </c>
      <c r="I157" s="4">
        <v>1187.46</v>
      </c>
      <c r="J157" s="3">
        <v>383</v>
      </c>
      <c r="K157" s="3">
        <f>tblInventory[[#This Row],[Qty_On_Hand]]*tblInventory[[#This Row],[Unit_Cost]]</f>
        <v>522883.09</v>
      </c>
      <c r="L157" s="3">
        <v>33</v>
      </c>
      <c r="M157" s="3">
        <f>IF(tblInventory[[#This Row],[Qty_On_Hand]]&lt;=tblInventory[[#This Row],[Reorder_Level]],1,0)</f>
        <v>0</v>
      </c>
      <c r="N157" s="3">
        <v>267</v>
      </c>
      <c r="O157" s="3" t="s">
        <v>75</v>
      </c>
      <c r="P157" s="2">
        <v>112</v>
      </c>
      <c r="Q157" s="7" t="s">
        <v>1</v>
      </c>
      <c r="R157" s="4">
        <v>132995.51999999999</v>
      </c>
      <c r="S157" s="4">
        <v>152905.76</v>
      </c>
      <c r="T157" s="4">
        <v>-19910.240000000002</v>
      </c>
      <c r="U157" s="4">
        <f>IFERROR(tblInventory[[#This Row],[Gross_Profit_30D]]/tblInventory[[#This Row],[Sales_Revenue_30D]],0)</f>
        <v>-0.14970609536321225</v>
      </c>
      <c r="V157" s="2">
        <v>522883.09</v>
      </c>
    </row>
    <row r="158" spans="1:22" x14ac:dyDescent="0.3">
      <c r="A158" s="2" t="s">
        <v>374</v>
      </c>
      <c r="B158" s="2" t="s">
        <v>283</v>
      </c>
      <c r="C158" s="2" t="s">
        <v>8</v>
      </c>
      <c r="D158" s="2" t="s">
        <v>72</v>
      </c>
      <c r="E158" s="2" t="s">
        <v>73</v>
      </c>
      <c r="F158" s="2" t="s">
        <v>313</v>
      </c>
      <c r="G158" s="3">
        <v>237</v>
      </c>
      <c r="H158" s="4">
        <v>778.05</v>
      </c>
      <c r="I158" s="4">
        <v>621.37</v>
      </c>
      <c r="J158" s="3">
        <v>92</v>
      </c>
      <c r="K158" s="3">
        <f>tblInventory[[#This Row],[Qty_On_Hand]]*tblInventory[[#This Row],[Unit_Cost]]</f>
        <v>71580.599999999991</v>
      </c>
      <c r="L158" s="3">
        <v>92</v>
      </c>
      <c r="M158" s="3">
        <f>IF(tblInventory[[#This Row],[Qty_On_Hand]]&lt;=tblInventory[[#This Row],[Reorder_Level]],1,0)</f>
        <v>1</v>
      </c>
      <c r="N158" s="3">
        <v>89</v>
      </c>
      <c r="O158" s="3" t="s">
        <v>118</v>
      </c>
      <c r="P158" s="2">
        <v>115</v>
      </c>
      <c r="Q158" s="6" t="s">
        <v>3</v>
      </c>
      <c r="R158" s="4">
        <v>71457.55</v>
      </c>
      <c r="S158" s="4">
        <v>89475.75</v>
      </c>
      <c r="T158" s="4">
        <v>-18018.2</v>
      </c>
      <c r="U158" s="4">
        <f>IFERROR(tblInventory[[#This Row],[Gross_Profit_30D]]/tblInventory[[#This Row],[Sales_Revenue_30D]],0)</f>
        <v>-0.25215250173004811</v>
      </c>
      <c r="V158" s="2">
        <v>71580.600000000006</v>
      </c>
    </row>
    <row r="159" spans="1:22" x14ac:dyDescent="0.3">
      <c r="A159" s="2" t="s">
        <v>375</v>
      </c>
      <c r="B159" s="2" t="s">
        <v>18</v>
      </c>
      <c r="C159" s="2" t="s">
        <v>0</v>
      </c>
      <c r="D159" s="2" t="s">
        <v>108</v>
      </c>
      <c r="E159" s="2" t="s">
        <v>78</v>
      </c>
      <c r="F159" s="2" t="s">
        <v>325</v>
      </c>
      <c r="G159" s="3">
        <v>321</v>
      </c>
      <c r="H159" s="4">
        <v>808.11</v>
      </c>
      <c r="I159" s="4">
        <v>536.37</v>
      </c>
      <c r="J159" s="3">
        <v>187</v>
      </c>
      <c r="K159" s="3">
        <f>tblInventory[[#This Row],[Qty_On_Hand]]*tblInventory[[#This Row],[Unit_Cost]]</f>
        <v>151116.57</v>
      </c>
      <c r="L159" s="3">
        <v>46</v>
      </c>
      <c r="M159" s="3">
        <f>IF(tblInventory[[#This Row],[Qty_On_Hand]]&lt;=tblInventory[[#This Row],[Reorder_Level]],1,0)</f>
        <v>0</v>
      </c>
      <c r="N159" s="3">
        <v>295</v>
      </c>
      <c r="O159" s="3" t="s">
        <v>168</v>
      </c>
      <c r="P159" s="2">
        <v>29</v>
      </c>
      <c r="Q159" s="7" t="s">
        <v>1</v>
      </c>
      <c r="R159" s="4">
        <v>15554.73</v>
      </c>
      <c r="S159" s="4">
        <v>23435.19</v>
      </c>
      <c r="T159" s="4">
        <v>-7880.46</v>
      </c>
      <c r="U159" s="4">
        <f>IFERROR(tblInventory[[#This Row],[Gross_Profit_30D]]/tblInventory[[#This Row],[Sales_Revenue_30D]],0)</f>
        <v>-0.50662788746574194</v>
      </c>
      <c r="V159" s="2">
        <v>151116.57</v>
      </c>
    </row>
    <row r="160" spans="1:22" x14ac:dyDescent="0.3">
      <c r="A160" s="2" t="s">
        <v>376</v>
      </c>
      <c r="B160" s="2" t="s">
        <v>283</v>
      </c>
      <c r="C160" s="2" t="s">
        <v>8</v>
      </c>
      <c r="D160" s="2" t="s">
        <v>108</v>
      </c>
      <c r="E160" s="2" t="s">
        <v>86</v>
      </c>
      <c r="F160" s="2" t="s">
        <v>377</v>
      </c>
      <c r="G160" s="3">
        <v>110</v>
      </c>
      <c r="H160" s="4">
        <v>1554.43</v>
      </c>
      <c r="I160" s="4">
        <v>1105.78</v>
      </c>
      <c r="J160" s="3">
        <v>33</v>
      </c>
      <c r="K160" s="3">
        <f>tblInventory[[#This Row],[Qty_On_Hand]]*tblInventory[[#This Row],[Unit_Cost]]</f>
        <v>51296.19</v>
      </c>
      <c r="L160" s="3">
        <v>42</v>
      </c>
      <c r="M160" s="3">
        <f>IF(tblInventory[[#This Row],[Qty_On_Hand]]&lt;=tblInventory[[#This Row],[Reorder_Level]],1,0)</f>
        <v>1</v>
      </c>
      <c r="N160" s="3">
        <v>206</v>
      </c>
      <c r="O160" s="3" t="s">
        <v>105</v>
      </c>
      <c r="P160" s="2">
        <v>73</v>
      </c>
      <c r="Q160" s="6" t="s">
        <v>3</v>
      </c>
      <c r="R160" s="4">
        <v>80721.94</v>
      </c>
      <c r="S160" s="4">
        <v>113473.39</v>
      </c>
      <c r="T160" s="4">
        <v>-32751.45</v>
      </c>
      <c r="U160" s="4">
        <f>IFERROR(tblInventory[[#This Row],[Gross_Profit_30D]]/tblInventory[[#This Row],[Sales_Revenue_30D]],0)</f>
        <v>-0.4057317006999584</v>
      </c>
      <c r="V160" s="2">
        <v>51296.19</v>
      </c>
    </row>
    <row r="161" spans="1:22" x14ac:dyDescent="0.3">
      <c r="A161" s="2" t="s">
        <v>378</v>
      </c>
      <c r="B161" s="2" t="s">
        <v>322</v>
      </c>
      <c r="C161" s="2" t="s">
        <v>7</v>
      </c>
      <c r="D161" s="2" t="s">
        <v>132</v>
      </c>
      <c r="E161" s="2" t="s">
        <v>78</v>
      </c>
      <c r="F161" s="2" t="s">
        <v>303</v>
      </c>
      <c r="G161" s="3">
        <v>281</v>
      </c>
      <c r="H161" s="4">
        <v>1799.38</v>
      </c>
      <c r="I161" s="4">
        <v>1589</v>
      </c>
      <c r="J161" s="3">
        <v>88</v>
      </c>
      <c r="K161" s="3">
        <f>tblInventory[[#This Row],[Qty_On_Hand]]*tblInventory[[#This Row],[Unit_Cost]]</f>
        <v>158345.44</v>
      </c>
      <c r="L161" s="3">
        <v>26</v>
      </c>
      <c r="M161" s="3">
        <f>IF(tblInventory[[#This Row],[Qty_On_Hand]]&lt;=tblInventory[[#This Row],[Reorder_Level]],1,0)</f>
        <v>0</v>
      </c>
      <c r="N161" s="3">
        <v>257</v>
      </c>
      <c r="O161" s="3" t="s">
        <v>126</v>
      </c>
      <c r="P161" s="2">
        <v>81</v>
      </c>
      <c r="Q161" s="7" t="s">
        <v>1</v>
      </c>
      <c r="R161" s="4">
        <v>128709</v>
      </c>
      <c r="S161" s="4">
        <v>145749.78</v>
      </c>
      <c r="T161" s="4">
        <v>-17040.78</v>
      </c>
      <c r="U161" s="4">
        <f>IFERROR(tblInventory[[#This Row],[Gross_Profit_30D]]/tblInventory[[#This Row],[Sales_Revenue_30D]],0)</f>
        <v>-0.13239773442416614</v>
      </c>
      <c r="V161" s="2">
        <v>158345.44</v>
      </c>
    </row>
    <row r="162" spans="1:22" x14ac:dyDescent="0.3">
      <c r="A162" s="2" t="s">
        <v>379</v>
      </c>
      <c r="B162" s="2" t="s">
        <v>14</v>
      </c>
      <c r="C162" s="2" t="s">
        <v>7</v>
      </c>
      <c r="D162" s="2" t="s">
        <v>72</v>
      </c>
      <c r="E162" s="2" t="s">
        <v>86</v>
      </c>
      <c r="F162" s="2" t="s">
        <v>363</v>
      </c>
      <c r="G162" s="3">
        <v>203</v>
      </c>
      <c r="H162" s="4">
        <v>1429.38</v>
      </c>
      <c r="I162" s="4">
        <v>1163.49</v>
      </c>
      <c r="J162" s="3">
        <v>40</v>
      </c>
      <c r="K162" s="3">
        <f>tblInventory[[#This Row],[Qty_On_Hand]]*tblInventory[[#This Row],[Unit_Cost]]</f>
        <v>57175.200000000004</v>
      </c>
      <c r="L162" s="3">
        <v>96</v>
      </c>
      <c r="M162" s="3">
        <f>IF(tblInventory[[#This Row],[Qty_On_Hand]]&lt;=tblInventory[[#This Row],[Reorder_Level]],1,0)</f>
        <v>1</v>
      </c>
      <c r="N162" s="3">
        <v>94</v>
      </c>
      <c r="O162" s="3" t="s">
        <v>198</v>
      </c>
      <c r="P162" s="2">
        <v>92</v>
      </c>
      <c r="Q162" s="6" t="s">
        <v>3</v>
      </c>
      <c r="R162" s="4">
        <v>107041.08</v>
      </c>
      <c r="S162" s="4">
        <v>131502.96</v>
      </c>
      <c r="T162" s="4">
        <v>-24461.88</v>
      </c>
      <c r="U162" s="4">
        <f>IFERROR(tblInventory[[#This Row],[Gross_Profit_30D]]/tblInventory[[#This Row],[Sales_Revenue_30D]],0)</f>
        <v>-0.22852796328288169</v>
      </c>
      <c r="V162" s="2">
        <v>57175.199999999997</v>
      </c>
    </row>
    <row r="163" spans="1:22" x14ac:dyDescent="0.3">
      <c r="A163" s="2" t="s">
        <v>380</v>
      </c>
      <c r="B163" s="2" t="s">
        <v>95</v>
      </c>
      <c r="C163" s="2" t="s">
        <v>2</v>
      </c>
      <c r="D163" s="2" t="s">
        <v>72</v>
      </c>
      <c r="E163" s="2" t="s">
        <v>73</v>
      </c>
      <c r="F163" s="2" t="s">
        <v>319</v>
      </c>
      <c r="G163" s="3">
        <v>171</v>
      </c>
      <c r="H163" s="4">
        <v>72.040000000000006</v>
      </c>
      <c r="I163" s="4">
        <v>59.35</v>
      </c>
      <c r="J163" s="3">
        <v>126</v>
      </c>
      <c r="K163" s="3">
        <f>tblInventory[[#This Row],[Qty_On_Hand]]*tblInventory[[#This Row],[Unit_Cost]]</f>
        <v>9077.0400000000009</v>
      </c>
      <c r="L163" s="3">
        <v>62</v>
      </c>
      <c r="M163" s="3">
        <f>IF(tblInventory[[#This Row],[Qty_On_Hand]]&lt;=tblInventory[[#This Row],[Reorder_Level]],1,0)</f>
        <v>0</v>
      </c>
      <c r="N163" s="3">
        <v>169</v>
      </c>
      <c r="O163" s="3" t="s">
        <v>168</v>
      </c>
      <c r="P163" s="2">
        <v>141</v>
      </c>
      <c r="Q163" s="7" t="s">
        <v>1</v>
      </c>
      <c r="R163" s="4">
        <v>8368.35</v>
      </c>
      <c r="S163" s="4">
        <v>10157.64</v>
      </c>
      <c r="T163" s="4">
        <v>-1789.29</v>
      </c>
      <c r="U163" s="4">
        <f>IFERROR(tblInventory[[#This Row],[Gross_Profit_30D]]/tblInventory[[#This Row],[Sales_Revenue_30D]],0)</f>
        <v>-0.21381634372367311</v>
      </c>
      <c r="V163" s="2">
        <v>9077.0400000000009</v>
      </c>
    </row>
    <row r="164" spans="1:22" x14ac:dyDescent="0.3">
      <c r="A164" s="2" t="s">
        <v>381</v>
      </c>
      <c r="B164" s="2" t="s">
        <v>228</v>
      </c>
      <c r="C164" s="2" t="s">
        <v>4</v>
      </c>
      <c r="D164" s="2" t="s">
        <v>72</v>
      </c>
      <c r="E164" s="2" t="s">
        <v>78</v>
      </c>
      <c r="F164" s="2" t="s">
        <v>229</v>
      </c>
      <c r="G164" s="3">
        <v>417</v>
      </c>
      <c r="H164" s="4">
        <v>967.76</v>
      </c>
      <c r="I164" s="4">
        <v>615.91999999999996</v>
      </c>
      <c r="J164" s="3">
        <v>368</v>
      </c>
      <c r="K164" s="3">
        <f>tblInventory[[#This Row],[Qty_On_Hand]]*tblInventory[[#This Row],[Unit_Cost]]</f>
        <v>356135.67999999999</v>
      </c>
      <c r="L164" s="3">
        <v>67</v>
      </c>
      <c r="M164" s="3">
        <f>IF(tblInventory[[#This Row],[Qty_On_Hand]]&lt;=tblInventory[[#This Row],[Reorder_Level]],1,0)</f>
        <v>0</v>
      </c>
      <c r="N164" s="3">
        <v>260</v>
      </c>
      <c r="O164" s="3" t="s">
        <v>140</v>
      </c>
      <c r="P164" s="2">
        <v>147</v>
      </c>
      <c r="Q164" s="7" t="s">
        <v>1</v>
      </c>
      <c r="R164" s="4">
        <v>90540.24</v>
      </c>
      <c r="S164" s="4">
        <v>142260.72</v>
      </c>
      <c r="T164" s="4">
        <v>-51720.480000000003</v>
      </c>
      <c r="U164" s="4">
        <f>IFERROR(tblInventory[[#This Row],[Gross_Profit_30D]]/tblInventory[[#This Row],[Sales_Revenue_30D]],0)</f>
        <v>-0.57124301857384074</v>
      </c>
      <c r="V164" s="2">
        <v>356135.67999999999</v>
      </c>
    </row>
    <row r="165" spans="1:22" x14ac:dyDescent="0.3">
      <c r="A165" s="2" t="s">
        <v>382</v>
      </c>
      <c r="B165" s="2" t="s">
        <v>283</v>
      </c>
      <c r="C165" s="2" t="s">
        <v>8</v>
      </c>
      <c r="D165" s="2" t="s">
        <v>81</v>
      </c>
      <c r="E165" s="2" t="s">
        <v>78</v>
      </c>
      <c r="F165" s="2" t="s">
        <v>355</v>
      </c>
      <c r="G165" s="3">
        <v>398</v>
      </c>
      <c r="H165" s="4">
        <v>702.14</v>
      </c>
      <c r="I165" s="4">
        <v>543.22</v>
      </c>
      <c r="J165" s="3">
        <v>264</v>
      </c>
      <c r="K165" s="3">
        <f>tblInventory[[#This Row],[Qty_On_Hand]]*tblInventory[[#This Row],[Unit_Cost]]</f>
        <v>185364.96</v>
      </c>
      <c r="L165" s="3">
        <v>85</v>
      </c>
      <c r="M165" s="3">
        <f>IF(tblInventory[[#This Row],[Qty_On_Hand]]&lt;=tblInventory[[#This Row],[Reorder_Level]],1,0)</f>
        <v>0</v>
      </c>
      <c r="N165" s="3">
        <v>213</v>
      </c>
      <c r="O165" s="3" t="s">
        <v>144</v>
      </c>
      <c r="P165" s="2">
        <v>150</v>
      </c>
      <c r="Q165" s="7" t="s">
        <v>1</v>
      </c>
      <c r="R165" s="4">
        <v>81483</v>
      </c>
      <c r="S165" s="4">
        <v>105321</v>
      </c>
      <c r="T165" s="4">
        <v>-23838</v>
      </c>
      <c r="U165" s="4">
        <f>IFERROR(tblInventory[[#This Row],[Gross_Profit_30D]]/tblInventory[[#This Row],[Sales_Revenue_30D]],0)</f>
        <v>-0.29255182062516105</v>
      </c>
      <c r="V165" s="2">
        <v>185364.96</v>
      </c>
    </row>
    <row r="166" spans="1:22" x14ac:dyDescent="0.3">
      <c r="A166" s="2" t="s">
        <v>383</v>
      </c>
      <c r="B166" s="2" t="s">
        <v>107</v>
      </c>
      <c r="C166" s="2" t="s">
        <v>4</v>
      </c>
      <c r="D166" s="2" t="s">
        <v>128</v>
      </c>
      <c r="E166" s="2" t="s">
        <v>86</v>
      </c>
      <c r="F166" s="2" t="s">
        <v>256</v>
      </c>
      <c r="G166" s="3">
        <v>475</v>
      </c>
      <c r="H166" s="4">
        <v>1045.8399999999999</v>
      </c>
      <c r="I166" s="4">
        <v>748.73</v>
      </c>
      <c r="J166" s="3">
        <v>63</v>
      </c>
      <c r="K166" s="3">
        <f>tblInventory[[#This Row],[Qty_On_Hand]]*tblInventory[[#This Row],[Unit_Cost]]</f>
        <v>65887.92</v>
      </c>
      <c r="L166" s="3">
        <v>35</v>
      </c>
      <c r="M166" s="3">
        <f>IF(tblInventory[[#This Row],[Qty_On_Hand]]&lt;=tblInventory[[#This Row],[Reorder_Level]],1,0)</f>
        <v>0</v>
      </c>
      <c r="N166" s="3">
        <v>132</v>
      </c>
      <c r="O166" s="3" t="s">
        <v>110</v>
      </c>
      <c r="P166" s="2">
        <v>57</v>
      </c>
      <c r="Q166" s="7" t="s">
        <v>1</v>
      </c>
      <c r="R166" s="4">
        <v>42677.61</v>
      </c>
      <c r="S166" s="4">
        <v>59612.88</v>
      </c>
      <c r="T166" s="4">
        <v>-16935.27</v>
      </c>
      <c r="U166" s="4">
        <f>IFERROR(tblInventory[[#This Row],[Gross_Profit_30D]]/tblInventory[[#This Row],[Sales_Revenue_30D]],0)</f>
        <v>-0.39681861285109454</v>
      </c>
      <c r="V166" s="2">
        <v>65887.92</v>
      </c>
    </row>
    <row r="167" spans="1:22" x14ac:dyDescent="0.3">
      <c r="A167" s="2" t="s">
        <v>384</v>
      </c>
      <c r="B167" s="2" t="s">
        <v>232</v>
      </c>
      <c r="C167" s="2" t="s">
        <v>0</v>
      </c>
      <c r="D167" s="2" t="s">
        <v>77</v>
      </c>
      <c r="E167" s="2" t="s">
        <v>78</v>
      </c>
      <c r="F167" s="2" t="s">
        <v>113</v>
      </c>
      <c r="G167" s="3">
        <v>375</v>
      </c>
      <c r="H167" s="4">
        <v>563.41</v>
      </c>
      <c r="I167" s="4">
        <v>1260.6500000000001</v>
      </c>
      <c r="J167" s="3">
        <v>282</v>
      </c>
      <c r="K167" s="3">
        <f>tblInventory[[#This Row],[Qty_On_Hand]]*tblInventory[[#This Row],[Unit_Cost]]</f>
        <v>158881.62</v>
      </c>
      <c r="L167" s="3">
        <v>93</v>
      </c>
      <c r="M167" s="3">
        <f>IF(tblInventory[[#This Row],[Qty_On_Hand]]&lt;=tblInventory[[#This Row],[Reorder_Level]],1,0)</f>
        <v>0</v>
      </c>
      <c r="N167" s="3">
        <v>186</v>
      </c>
      <c r="O167" s="3" t="s">
        <v>162</v>
      </c>
      <c r="P167" s="2">
        <v>23</v>
      </c>
      <c r="Q167" s="7" t="s">
        <v>1</v>
      </c>
      <c r="R167" s="4">
        <v>28994.95</v>
      </c>
      <c r="S167" s="4">
        <v>12958.43</v>
      </c>
      <c r="T167" s="4">
        <v>16036.52</v>
      </c>
      <c r="U167" s="4">
        <f>IFERROR(tblInventory[[#This Row],[Gross_Profit_30D]]/tblInventory[[#This Row],[Sales_Revenue_30D]],0)</f>
        <v>0.55307976044104235</v>
      </c>
      <c r="V167" s="2">
        <v>158881.62</v>
      </c>
    </row>
    <row r="168" spans="1:22" x14ac:dyDescent="0.3">
      <c r="A168" s="2" t="s">
        <v>385</v>
      </c>
      <c r="B168" s="2" t="s">
        <v>135</v>
      </c>
      <c r="C168" s="2" t="s">
        <v>2</v>
      </c>
      <c r="D168" s="2" t="s">
        <v>96</v>
      </c>
      <c r="E168" s="2" t="s">
        <v>73</v>
      </c>
      <c r="F168" s="2" t="s">
        <v>386</v>
      </c>
      <c r="G168" s="3">
        <v>418</v>
      </c>
      <c r="H168" s="4">
        <v>688.49</v>
      </c>
      <c r="I168" s="4">
        <v>1849.21</v>
      </c>
      <c r="J168" s="3">
        <v>309</v>
      </c>
      <c r="K168" s="3">
        <f>tblInventory[[#This Row],[Qty_On_Hand]]*tblInventory[[#This Row],[Unit_Cost]]</f>
        <v>212743.41</v>
      </c>
      <c r="L168" s="3">
        <v>20</v>
      </c>
      <c r="M168" s="3">
        <f>IF(tblInventory[[#This Row],[Qty_On_Hand]]&lt;=tblInventory[[#This Row],[Reorder_Level]],1,0)</f>
        <v>0</v>
      </c>
      <c r="N168" s="3">
        <v>261</v>
      </c>
      <c r="O168" s="3" t="s">
        <v>252</v>
      </c>
      <c r="P168" s="2">
        <v>7</v>
      </c>
      <c r="Q168" s="7" t="s">
        <v>1</v>
      </c>
      <c r="R168" s="4">
        <v>12944.47</v>
      </c>
      <c r="S168" s="4">
        <v>4819.43</v>
      </c>
      <c r="T168" s="4">
        <v>8125.04</v>
      </c>
      <c r="U168" s="4">
        <f>IFERROR(tblInventory[[#This Row],[Gross_Profit_30D]]/tblInventory[[#This Row],[Sales_Revenue_30D]],0)</f>
        <v>0.62768425435726616</v>
      </c>
      <c r="V168" s="2">
        <v>212743.41</v>
      </c>
    </row>
    <row r="169" spans="1:22" x14ac:dyDescent="0.3">
      <c r="A169" s="2" t="s">
        <v>387</v>
      </c>
      <c r="B169" s="2" t="s">
        <v>71</v>
      </c>
      <c r="C169" s="2" t="s">
        <v>8</v>
      </c>
      <c r="D169" s="2" t="s">
        <v>77</v>
      </c>
      <c r="E169" s="2" t="s">
        <v>73</v>
      </c>
      <c r="F169" s="2" t="s">
        <v>173</v>
      </c>
      <c r="G169" s="3">
        <v>263</v>
      </c>
      <c r="H169" s="4">
        <v>1006.12</v>
      </c>
      <c r="I169" s="4">
        <v>2254.46</v>
      </c>
      <c r="J169" s="3">
        <v>15</v>
      </c>
      <c r="K169" s="3">
        <f>tblInventory[[#This Row],[Qty_On_Hand]]*tblInventory[[#This Row],[Unit_Cost]]</f>
        <v>15091.8</v>
      </c>
      <c r="L169" s="3">
        <v>52</v>
      </c>
      <c r="M169" s="3">
        <f>IF(tblInventory[[#This Row],[Qty_On_Hand]]&lt;=tblInventory[[#This Row],[Reorder_Level]],1,0)</f>
        <v>1</v>
      </c>
      <c r="N169" s="3">
        <v>214</v>
      </c>
      <c r="O169" s="3" t="s">
        <v>101</v>
      </c>
      <c r="P169" s="2">
        <v>77</v>
      </c>
      <c r="Q169" s="6" t="s">
        <v>3</v>
      </c>
      <c r="R169" s="4">
        <v>173593.42</v>
      </c>
      <c r="S169" s="4">
        <v>77471.240000000005</v>
      </c>
      <c r="T169" s="4">
        <v>96122.18</v>
      </c>
      <c r="U169" s="4">
        <f>IFERROR(tblInventory[[#This Row],[Gross_Profit_30D]]/tblInventory[[#This Row],[Sales_Revenue_30D]],0)</f>
        <v>0.55372018132945355</v>
      </c>
      <c r="V169" s="2">
        <v>15091.8</v>
      </c>
    </row>
    <row r="170" spans="1:22" x14ac:dyDescent="0.3">
      <c r="A170" s="2" t="s">
        <v>388</v>
      </c>
      <c r="B170" s="2" t="s">
        <v>34</v>
      </c>
      <c r="C170" s="2" t="s">
        <v>6</v>
      </c>
      <c r="D170" s="2" t="s">
        <v>128</v>
      </c>
      <c r="E170" s="2" t="s">
        <v>67</v>
      </c>
      <c r="F170" s="2" t="s">
        <v>221</v>
      </c>
      <c r="G170" s="3">
        <v>402</v>
      </c>
      <c r="H170" s="4">
        <v>333</v>
      </c>
      <c r="I170" s="4">
        <v>640.5</v>
      </c>
      <c r="J170" s="3">
        <v>30</v>
      </c>
      <c r="K170" s="3">
        <f>tblInventory[[#This Row],[Qty_On_Hand]]*tblInventory[[#This Row],[Unit_Cost]]</f>
        <v>9990</v>
      </c>
      <c r="L170" s="3">
        <v>74</v>
      </c>
      <c r="M170" s="3">
        <f>IF(tblInventory[[#This Row],[Qty_On_Hand]]&lt;=tblInventory[[#This Row],[Reorder_Level]],1,0)</f>
        <v>1</v>
      </c>
      <c r="N170" s="3">
        <v>102</v>
      </c>
      <c r="O170" s="3" t="s">
        <v>126</v>
      </c>
      <c r="P170" s="2">
        <v>87</v>
      </c>
      <c r="Q170" s="6" t="s">
        <v>3</v>
      </c>
      <c r="R170" s="4">
        <v>55723.5</v>
      </c>
      <c r="S170" s="4">
        <v>28971</v>
      </c>
      <c r="T170" s="4">
        <v>26752.5</v>
      </c>
      <c r="U170" s="4">
        <f>IFERROR(tblInventory[[#This Row],[Gross_Profit_30D]]/tblInventory[[#This Row],[Sales_Revenue_30D]],0)</f>
        <v>0.48009367681498827</v>
      </c>
      <c r="V170" s="2">
        <v>9990</v>
      </c>
    </row>
    <row r="171" spans="1:22" x14ac:dyDescent="0.3">
      <c r="A171" s="2" t="s">
        <v>389</v>
      </c>
      <c r="B171" s="2" t="s">
        <v>135</v>
      </c>
      <c r="C171" s="2" t="s">
        <v>2</v>
      </c>
      <c r="D171" s="2" t="s">
        <v>81</v>
      </c>
      <c r="E171" s="2" t="s">
        <v>67</v>
      </c>
      <c r="F171" s="2" t="s">
        <v>390</v>
      </c>
      <c r="G171" s="3">
        <v>254</v>
      </c>
      <c r="H171" s="4">
        <v>1526.12</v>
      </c>
      <c r="I171" s="4">
        <v>3162.84</v>
      </c>
      <c r="J171" s="3">
        <v>33</v>
      </c>
      <c r="K171" s="3">
        <f>tblInventory[[#This Row],[Qty_On_Hand]]*tblInventory[[#This Row],[Unit_Cost]]</f>
        <v>50361.96</v>
      </c>
      <c r="L171" s="3">
        <v>28</v>
      </c>
      <c r="M171" s="3">
        <f>IF(tblInventory[[#This Row],[Qty_On_Hand]]&lt;=tblInventory[[#This Row],[Reorder_Level]],1,0)</f>
        <v>0</v>
      </c>
      <c r="N171" s="3">
        <v>131</v>
      </c>
      <c r="O171" s="3" t="s">
        <v>93</v>
      </c>
      <c r="P171" s="2">
        <v>61</v>
      </c>
      <c r="Q171" s="7" t="s">
        <v>1</v>
      </c>
      <c r="R171" s="4">
        <v>192933.24</v>
      </c>
      <c r="S171" s="4">
        <v>93093.32</v>
      </c>
      <c r="T171" s="4">
        <v>99839.92</v>
      </c>
      <c r="U171" s="4">
        <f>IFERROR(tblInventory[[#This Row],[Gross_Profit_30D]]/tblInventory[[#This Row],[Sales_Revenue_30D]],0)</f>
        <v>0.51748428627436105</v>
      </c>
      <c r="V171" s="2">
        <v>50361.96</v>
      </c>
    </row>
    <row r="172" spans="1:22" x14ac:dyDescent="0.3">
      <c r="A172" s="2" t="s">
        <v>391</v>
      </c>
      <c r="B172" s="2" t="s">
        <v>42</v>
      </c>
      <c r="C172" s="2" t="s">
        <v>6</v>
      </c>
      <c r="D172" s="2" t="s">
        <v>77</v>
      </c>
      <c r="E172" s="2" t="s">
        <v>91</v>
      </c>
      <c r="F172" s="2" t="s">
        <v>68</v>
      </c>
      <c r="G172" s="3">
        <v>99</v>
      </c>
      <c r="H172" s="4">
        <v>594.62</v>
      </c>
      <c r="I172" s="4">
        <v>1115.6400000000001</v>
      </c>
      <c r="J172" s="3">
        <v>6</v>
      </c>
      <c r="K172" s="3">
        <f>tblInventory[[#This Row],[Qty_On_Hand]]*tblInventory[[#This Row],[Unit_Cost]]</f>
        <v>3567.7200000000003</v>
      </c>
      <c r="L172" s="3">
        <v>93</v>
      </c>
      <c r="M172" s="3">
        <f>IF(tblInventory[[#This Row],[Qty_On_Hand]]&lt;=tblInventory[[#This Row],[Reorder_Level]],1,0)</f>
        <v>1</v>
      </c>
      <c r="N172" s="3">
        <v>157</v>
      </c>
      <c r="O172" s="3" t="s">
        <v>168</v>
      </c>
      <c r="P172" s="2">
        <v>63</v>
      </c>
      <c r="Q172" s="6" t="s">
        <v>3</v>
      </c>
      <c r="R172" s="4">
        <v>70285.320000000007</v>
      </c>
      <c r="S172" s="4">
        <v>37461.06</v>
      </c>
      <c r="T172" s="4">
        <v>32824.26</v>
      </c>
      <c r="U172" s="4">
        <f>IFERROR(tblInventory[[#This Row],[Gross_Profit_30D]]/tblInventory[[#This Row],[Sales_Revenue_30D]],0)</f>
        <v>0.46701444910544621</v>
      </c>
      <c r="V172" s="2">
        <v>3567.72</v>
      </c>
    </row>
    <row r="173" spans="1:22" x14ac:dyDescent="0.3">
      <c r="A173" s="2" t="s">
        <v>392</v>
      </c>
      <c r="B173" s="2" t="s">
        <v>46</v>
      </c>
      <c r="C173" s="2" t="s">
        <v>4</v>
      </c>
      <c r="D173" s="2" t="s">
        <v>81</v>
      </c>
      <c r="E173" s="2" t="s">
        <v>73</v>
      </c>
      <c r="F173" s="2" t="s">
        <v>79</v>
      </c>
      <c r="G173" s="3">
        <v>305</v>
      </c>
      <c r="H173" s="4">
        <v>944.29</v>
      </c>
      <c r="I173" s="4">
        <v>2472.73</v>
      </c>
      <c r="J173" s="3">
        <v>263</v>
      </c>
      <c r="K173" s="3">
        <f>tblInventory[[#This Row],[Qty_On_Hand]]*tblInventory[[#This Row],[Unit_Cost]]</f>
        <v>248348.27</v>
      </c>
      <c r="L173" s="3">
        <v>78</v>
      </c>
      <c r="M173" s="3">
        <f>IF(tblInventory[[#This Row],[Qty_On_Hand]]&lt;=tblInventory[[#This Row],[Reorder_Level]],1,0)</f>
        <v>0</v>
      </c>
      <c r="N173" s="3">
        <v>55</v>
      </c>
      <c r="O173" s="3" t="s">
        <v>80</v>
      </c>
      <c r="P173" s="2">
        <v>23</v>
      </c>
      <c r="Q173" s="7" t="s">
        <v>1</v>
      </c>
      <c r="R173" s="4">
        <v>56872.79</v>
      </c>
      <c r="S173" s="4">
        <v>21718.67</v>
      </c>
      <c r="T173" s="4">
        <v>35154.120000000003</v>
      </c>
      <c r="U173" s="4">
        <f>IFERROR(tblInventory[[#This Row],[Gross_Profit_30D]]/tblInventory[[#This Row],[Sales_Revenue_30D]],0)</f>
        <v>0.61811843589878401</v>
      </c>
      <c r="V173" s="2">
        <v>248348.27</v>
      </c>
    </row>
    <row r="174" spans="1:22" x14ac:dyDescent="0.3">
      <c r="A174" s="2" t="s">
        <v>393</v>
      </c>
      <c r="B174" s="2" t="s">
        <v>29</v>
      </c>
      <c r="C174" s="2" t="s">
        <v>6</v>
      </c>
      <c r="D174" s="2" t="s">
        <v>108</v>
      </c>
      <c r="E174" s="2" t="s">
        <v>73</v>
      </c>
      <c r="F174" s="2" t="s">
        <v>100</v>
      </c>
      <c r="G174" s="3">
        <v>230</v>
      </c>
      <c r="H174" s="4">
        <v>120.07</v>
      </c>
      <c r="I174" s="4">
        <v>245.22</v>
      </c>
      <c r="J174" s="3">
        <v>12</v>
      </c>
      <c r="K174" s="3">
        <f>tblInventory[[#This Row],[Qty_On_Hand]]*tblInventory[[#This Row],[Unit_Cost]]</f>
        <v>1440.84</v>
      </c>
      <c r="L174" s="3">
        <v>98</v>
      </c>
      <c r="M174" s="3">
        <f>IF(tblInventory[[#This Row],[Qty_On_Hand]]&lt;=tblInventory[[#This Row],[Reorder_Level]],1,0)</f>
        <v>1</v>
      </c>
      <c r="N174" s="3">
        <v>222</v>
      </c>
      <c r="O174" s="3" t="s">
        <v>101</v>
      </c>
      <c r="P174" s="2">
        <v>120</v>
      </c>
      <c r="Q174" s="6" t="s">
        <v>3</v>
      </c>
      <c r="R174" s="4">
        <v>29426.400000000001</v>
      </c>
      <c r="S174" s="4">
        <v>14408.4</v>
      </c>
      <c r="T174" s="4">
        <v>15018</v>
      </c>
      <c r="U174" s="4">
        <f>IFERROR(tblInventory[[#This Row],[Gross_Profit_30D]]/tblInventory[[#This Row],[Sales_Revenue_30D]],0)</f>
        <v>0.51035804583639177</v>
      </c>
      <c r="V174" s="2">
        <v>1440.84</v>
      </c>
    </row>
    <row r="175" spans="1:22" x14ac:dyDescent="0.3">
      <c r="A175" s="2" t="s">
        <v>394</v>
      </c>
      <c r="B175" s="2" t="s">
        <v>232</v>
      </c>
      <c r="C175" s="2" t="s">
        <v>0</v>
      </c>
      <c r="D175" s="2" t="s">
        <v>66</v>
      </c>
      <c r="E175" s="2" t="s">
        <v>78</v>
      </c>
      <c r="F175" s="2" t="s">
        <v>114</v>
      </c>
      <c r="G175" s="3">
        <v>185</v>
      </c>
      <c r="H175" s="4">
        <v>1532.44</v>
      </c>
      <c r="I175" s="4">
        <v>2833.34</v>
      </c>
      <c r="J175" s="3">
        <v>93</v>
      </c>
      <c r="K175" s="3">
        <f>tblInventory[[#This Row],[Qty_On_Hand]]*tblInventory[[#This Row],[Unit_Cost]]</f>
        <v>142516.92000000001</v>
      </c>
      <c r="L175" s="3">
        <v>66</v>
      </c>
      <c r="M175" s="3">
        <f>IF(tblInventory[[#This Row],[Qty_On_Hand]]&lt;=tblInventory[[#This Row],[Reorder_Level]],1,0)</f>
        <v>0</v>
      </c>
      <c r="N175" s="3">
        <v>63</v>
      </c>
      <c r="O175" s="3" t="s">
        <v>168</v>
      </c>
      <c r="P175" s="2">
        <v>145</v>
      </c>
      <c r="Q175" s="7" t="s">
        <v>1</v>
      </c>
      <c r="R175" s="4">
        <v>410834.3</v>
      </c>
      <c r="S175" s="4">
        <v>222203.8</v>
      </c>
      <c r="T175" s="4">
        <v>188630.5</v>
      </c>
      <c r="U175" s="4">
        <f>IFERROR(tblInventory[[#This Row],[Gross_Profit_30D]]/tblInventory[[#This Row],[Sales_Revenue_30D]],0)</f>
        <v>0.45914009614095025</v>
      </c>
      <c r="V175" s="2">
        <v>142516.92000000001</v>
      </c>
    </row>
    <row r="176" spans="1:22" x14ac:dyDescent="0.3">
      <c r="A176" s="2" t="s">
        <v>395</v>
      </c>
      <c r="B176" s="2" t="s">
        <v>95</v>
      </c>
      <c r="C176" s="2" t="s">
        <v>2</v>
      </c>
      <c r="D176" s="2" t="s">
        <v>81</v>
      </c>
      <c r="E176" s="2" t="s">
        <v>86</v>
      </c>
      <c r="F176" s="2" t="s">
        <v>351</v>
      </c>
      <c r="G176" s="3">
        <v>247</v>
      </c>
      <c r="H176" s="4">
        <v>911.7</v>
      </c>
      <c r="I176" s="4">
        <v>1937.17</v>
      </c>
      <c r="J176" s="3">
        <v>129</v>
      </c>
      <c r="K176" s="3">
        <f>tblInventory[[#This Row],[Qty_On_Hand]]*tblInventory[[#This Row],[Unit_Cost]]</f>
        <v>117609.3</v>
      </c>
      <c r="L176" s="3">
        <v>94</v>
      </c>
      <c r="M176" s="3">
        <f>IF(tblInventory[[#This Row],[Qty_On_Hand]]&lt;=tblInventory[[#This Row],[Reorder_Level]],1,0)</f>
        <v>0</v>
      </c>
      <c r="N176" s="3">
        <v>224</v>
      </c>
      <c r="O176" s="3" t="s">
        <v>126</v>
      </c>
      <c r="P176" s="2">
        <v>30</v>
      </c>
      <c r="Q176" s="7" t="s">
        <v>1</v>
      </c>
      <c r="R176" s="4">
        <v>58115.1</v>
      </c>
      <c r="S176" s="4">
        <v>27351</v>
      </c>
      <c r="T176" s="4">
        <v>30764.1</v>
      </c>
      <c r="U176" s="4">
        <f>IFERROR(tblInventory[[#This Row],[Gross_Profit_30D]]/tblInventory[[#This Row],[Sales_Revenue_30D]],0)</f>
        <v>0.52936500152284005</v>
      </c>
      <c r="V176" s="2">
        <v>117609.3</v>
      </c>
    </row>
    <row r="177" spans="1:22" x14ac:dyDescent="0.3">
      <c r="A177" s="2" t="s">
        <v>396</v>
      </c>
      <c r="B177" s="2" t="s">
        <v>40</v>
      </c>
      <c r="C177" s="2" t="s">
        <v>4</v>
      </c>
      <c r="D177" s="2" t="s">
        <v>128</v>
      </c>
      <c r="E177" s="2" t="s">
        <v>67</v>
      </c>
      <c r="F177" s="2" t="s">
        <v>319</v>
      </c>
      <c r="G177" s="3">
        <v>335</v>
      </c>
      <c r="H177" s="4">
        <v>1514.83</v>
      </c>
      <c r="I177" s="4">
        <v>2421.59</v>
      </c>
      <c r="J177" s="3">
        <v>187</v>
      </c>
      <c r="K177" s="3">
        <f>tblInventory[[#This Row],[Qty_On_Hand]]*tblInventory[[#This Row],[Unit_Cost]]</f>
        <v>283273.20999999996</v>
      </c>
      <c r="L177" s="3">
        <v>80</v>
      </c>
      <c r="M177" s="3">
        <f>IF(tblInventory[[#This Row],[Qty_On_Hand]]&lt;=tblInventory[[#This Row],[Reorder_Level]],1,0)</f>
        <v>0</v>
      </c>
      <c r="N177" s="3">
        <v>152</v>
      </c>
      <c r="O177" s="3" t="s">
        <v>182</v>
      </c>
      <c r="P177" s="2">
        <v>128</v>
      </c>
      <c r="Q177" s="7" t="s">
        <v>1</v>
      </c>
      <c r="R177" s="4">
        <v>309963.52000000002</v>
      </c>
      <c r="S177" s="4">
        <v>193898.23999999999</v>
      </c>
      <c r="T177" s="4">
        <v>116065.28</v>
      </c>
      <c r="U177" s="4">
        <f>IFERROR(tblInventory[[#This Row],[Gross_Profit_30D]]/tblInventory[[#This Row],[Sales_Revenue_30D]],0)</f>
        <v>0.3744481931293076</v>
      </c>
      <c r="V177" s="2">
        <v>283273.21000000002</v>
      </c>
    </row>
    <row r="178" spans="1:22" x14ac:dyDescent="0.3">
      <c r="A178" s="2" t="s">
        <v>397</v>
      </c>
      <c r="B178" s="2" t="s">
        <v>71</v>
      </c>
      <c r="C178" s="2" t="s">
        <v>8</v>
      </c>
      <c r="D178" s="2" t="s">
        <v>66</v>
      </c>
      <c r="E178" s="2" t="s">
        <v>73</v>
      </c>
      <c r="F178" s="2" t="s">
        <v>398</v>
      </c>
      <c r="G178" s="3">
        <v>461</v>
      </c>
      <c r="H178" s="4">
        <v>1048.28</v>
      </c>
      <c r="I178" s="4">
        <v>1596.96</v>
      </c>
      <c r="J178" s="3">
        <v>242</v>
      </c>
      <c r="K178" s="3">
        <f>tblInventory[[#This Row],[Qty_On_Hand]]*tblInventory[[#This Row],[Unit_Cost]]</f>
        <v>253683.75999999998</v>
      </c>
      <c r="L178" s="3">
        <v>80</v>
      </c>
      <c r="M178" s="3">
        <f>IF(tblInventory[[#This Row],[Qty_On_Hand]]&lt;=tblInventory[[#This Row],[Reorder_Level]],1,0)</f>
        <v>0</v>
      </c>
      <c r="N178" s="3">
        <v>85</v>
      </c>
      <c r="O178" s="3" t="s">
        <v>182</v>
      </c>
      <c r="P178" s="2">
        <v>83</v>
      </c>
      <c r="Q178" s="7" t="s">
        <v>1</v>
      </c>
      <c r="R178" s="4">
        <v>132547.68</v>
      </c>
      <c r="S178" s="4">
        <v>87007.24</v>
      </c>
      <c r="T178" s="4">
        <v>45540.44</v>
      </c>
      <c r="U178" s="4">
        <f>IFERROR(tblInventory[[#This Row],[Gross_Profit_30D]]/tblInventory[[#This Row],[Sales_Revenue_30D]],0)</f>
        <v>0.34357779781585013</v>
      </c>
      <c r="V178" s="2">
        <v>253683.76</v>
      </c>
    </row>
    <row r="179" spans="1:22" x14ac:dyDescent="0.3">
      <c r="A179" s="2" t="s">
        <v>399</v>
      </c>
      <c r="B179" s="2" t="s">
        <v>211</v>
      </c>
      <c r="C179" s="2" t="s">
        <v>2</v>
      </c>
      <c r="D179" s="2" t="s">
        <v>96</v>
      </c>
      <c r="E179" s="2" t="s">
        <v>91</v>
      </c>
      <c r="F179" s="2" t="s">
        <v>400</v>
      </c>
      <c r="G179" s="3">
        <v>353</v>
      </c>
      <c r="H179" s="4">
        <v>1024.48</v>
      </c>
      <c r="I179" s="4">
        <v>2115.11</v>
      </c>
      <c r="J179" s="3">
        <v>172</v>
      </c>
      <c r="K179" s="3">
        <f>tblInventory[[#This Row],[Qty_On_Hand]]*tblInventory[[#This Row],[Unit_Cost]]</f>
        <v>176210.56</v>
      </c>
      <c r="L179" s="3">
        <v>77</v>
      </c>
      <c r="M179" s="3">
        <f>IF(tblInventory[[#This Row],[Qty_On_Hand]]&lt;=tblInventory[[#This Row],[Reorder_Level]],1,0)</f>
        <v>0</v>
      </c>
      <c r="N179" s="3">
        <v>231</v>
      </c>
      <c r="O179" s="3" t="s">
        <v>198</v>
      </c>
      <c r="P179" s="2">
        <v>144</v>
      </c>
      <c r="Q179" s="7" t="s">
        <v>1</v>
      </c>
      <c r="R179" s="4">
        <v>304575.84000000003</v>
      </c>
      <c r="S179" s="4">
        <v>147525.12</v>
      </c>
      <c r="T179" s="4">
        <v>157050.72</v>
      </c>
      <c r="U179" s="4">
        <f>IFERROR(tblInventory[[#This Row],[Gross_Profit_30D]]/tblInventory[[#This Row],[Sales_Revenue_30D]],0)</f>
        <v>0.51563748457527026</v>
      </c>
      <c r="V179" s="2">
        <v>176210.56</v>
      </c>
    </row>
    <row r="180" spans="1:22" x14ac:dyDescent="0.3">
      <c r="A180" s="2" t="s">
        <v>401</v>
      </c>
      <c r="B180" s="2" t="s">
        <v>234</v>
      </c>
      <c r="C180" s="2" t="s">
        <v>0</v>
      </c>
      <c r="D180" s="2" t="s">
        <v>66</v>
      </c>
      <c r="E180" s="2" t="s">
        <v>67</v>
      </c>
      <c r="F180" s="2" t="s">
        <v>187</v>
      </c>
      <c r="G180" s="3">
        <v>106</v>
      </c>
      <c r="H180" s="4">
        <v>1175.73</v>
      </c>
      <c r="I180" s="4">
        <v>2933.6</v>
      </c>
      <c r="J180" s="3">
        <v>53</v>
      </c>
      <c r="K180" s="3">
        <f>tblInventory[[#This Row],[Qty_On_Hand]]*tblInventory[[#This Row],[Unit_Cost]]</f>
        <v>62313.69</v>
      </c>
      <c r="L180" s="3">
        <v>95</v>
      </c>
      <c r="M180" s="3">
        <f>IF(tblInventory[[#This Row],[Qty_On_Hand]]&lt;=tblInventory[[#This Row],[Reorder_Level]],1,0)</f>
        <v>1</v>
      </c>
      <c r="N180" s="3">
        <v>56</v>
      </c>
      <c r="O180" s="3" t="s">
        <v>194</v>
      </c>
      <c r="P180" s="2">
        <v>121</v>
      </c>
      <c r="Q180" s="6" t="s">
        <v>3</v>
      </c>
      <c r="R180" s="4">
        <v>354965.6</v>
      </c>
      <c r="S180" s="4">
        <v>142263.32999999999</v>
      </c>
      <c r="T180" s="4">
        <v>212702.27</v>
      </c>
      <c r="U180" s="4">
        <f>IFERROR(tblInventory[[#This Row],[Gross_Profit_30D]]/tblInventory[[#This Row],[Sales_Revenue_30D]],0)</f>
        <v>0.59921938914644124</v>
      </c>
      <c r="V180" s="2">
        <v>62313.69</v>
      </c>
    </row>
    <row r="181" spans="1:22" x14ac:dyDescent="0.3">
      <c r="A181" s="2" t="s">
        <v>402</v>
      </c>
      <c r="B181" s="2" t="s">
        <v>85</v>
      </c>
      <c r="C181" s="2" t="s">
        <v>0</v>
      </c>
      <c r="D181" s="2" t="s">
        <v>132</v>
      </c>
      <c r="E181" s="2" t="s">
        <v>78</v>
      </c>
      <c r="F181" s="2" t="s">
        <v>403</v>
      </c>
      <c r="G181" s="3">
        <v>137</v>
      </c>
      <c r="H181" s="4">
        <v>1265.47</v>
      </c>
      <c r="I181" s="4">
        <v>2821.5</v>
      </c>
      <c r="J181" s="3">
        <v>134</v>
      </c>
      <c r="K181" s="3">
        <f>tblInventory[[#This Row],[Qty_On_Hand]]*tblInventory[[#This Row],[Unit_Cost]]</f>
        <v>169572.98</v>
      </c>
      <c r="L181" s="3">
        <v>63</v>
      </c>
      <c r="M181" s="3">
        <f>IF(tblInventory[[#This Row],[Qty_On_Hand]]&lt;=tblInventory[[#This Row],[Reorder_Level]],1,0)</f>
        <v>0</v>
      </c>
      <c r="N181" s="3">
        <v>87</v>
      </c>
      <c r="O181" s="3" t="s">
        <v>137</v>
      </c>
      <c r="P181" s="2">
        <v>62</v>
      </c>
      <c r="Q181" s="7" t="s">
        <v>1</v>
      </c>
      <c r="R181" s="4">
        <v>174933</v>
      </c>
      <c r="S181" s="4">
        <v>78459.14</v>
      </c>
      <c r="T181" s="4">
        <v>96473.86</v>
      </c>
      <c r="U181" s="4">
        <f>IFERROR(tblInventory[[#This Row],[Gross_Profit_30D]]/tblInventory[[#This Row],[Sales_Revenue_30D]],0)</f>
        <v>0.55149034201665781</v>
      </c>
      <c r="V181" s="2">
        <v>169572.98</v>
      </c>
    </row>
    <row r="182" spans="1:22" x14ac:dyDescent="0.3">
      <c r="A182" s="2" t="s">
        <v>404</v>
      </c>
      <c r="B182" s="2" t="s">
        <v>120</v>
      </c>
      <c r="C182" s="2" t="s">
        <v>8</v>
      </c>
      <c r="D182" s="2" t="s">
        <v>72</v>
      </c>
      <c r="E182" s="2" t="s">
        <v>73</v>
      </c>
      <c r="F182" s="2" t="s">
        <v>121</v>
      </c>
      <c r="G182" s="3">
        <v>210</v>
      </c>
      <c r="H182" s="4">
        <v>319.83</v>
      </c>
      <c r="I182" s="4">
        <v>747.04</v>
      </c>
      <c r="J182" s="3">
        <v>107</v>
      </c>
      <c r="K182" s="3">
        <f>tblInventory[[#This Row],[Qty_On_Hand]]*tblInventory[[#This Row],[Unit_Cost]]</f>
        <v>34221.81</v>
      </c>
      <c r="L182" s="3">
        <v>67</v>
      </c>
      <c r="M182" s="3">
        <f>IF(tblInventory[[#This Row],[Qty_On_Hand]]&lt;=tblInventory[[#This Row],[Reorder_Level]],1,0)</f>
        <v>0</v>
      </c>
      <c r="N182" s="3">
        <v>178</v>
      </c>
      <c r="O182" s="3" t="s">
        <v>144</v>
      </c>
      <c r="P182" s="2">
        <v>120</v>
      </c>
      <c r="Q182" s="7" t="s">
        <v>1</v>
      </c>
      <c r="R182" s="4">
        <v>89644.800000000003</v>
      </c>
      <c r="S182" s="4">
        <v>38379.599999999999</v>
      </c>
      <c r="T182" s="4">
        <v>51265.2</v>
      </c>
      <c r="U182" s="4">
        <f>IFERROR(tblInventory[[#This Row],[Gross_Profit_30D]]/tblInventory[[#This Row],[Sales_Revenue_30D]],0)</f>
        <v>0.57187031484257866</v>
      </c>
      <c r="V182" s="2">
        <v>34221.81</v>
      </c>
    </row>
    <row r="183" spans="1:22" x14ac:dyDescent="0.3">
      <c r="A183" s="2" t="s">
        <v>405</v>
      </c>
      <c r="B183" s="2" t="s">
        <v>291</v>
      </c>
      <c r="C183" s="2" t="s">
        <v>7</v>
      </c>
      <c r="D183" s="2" t="s">
        <v>96</v>
      </c>
      <c r="E183" s="2" t="s">
        <v>86</v>
      </c>
      <c r="F183" s="2" t="s">
        <v>406</v>
      </c>
      <c r="G183" s="3">
        <v>216</v>
      </c>
      <c r="H183" s="4">
        <v>967.17</v>
      </c>
      <c r="I183" s="4">
        <v>1804</v>
      </c>
      <c r="J183" s="3">
        <v>169</v>
      </c>
      <c r="K183" s="3">
        <f>tblInventory[[#This Row],[Qty_On_Hand]]*tblInventory[[#This Row],[Unit_Cost]]</f>
        <v>163451.72999999998</v>
      </c>
      <c r="L183" s="3">
        <v>37</v>
      </c>
      <c r="M183" s="3">
        <f>IF(tblInventory[[#This Row],[Qty_On_Hand]]&lt;=tblInventory[[#This Row],[Reorder_Level]],1,0)</f>
        <v>0</v>
      </c>
      <c r="N183" s="3">
        <v>167</v>
      </c>
      <c r="O183" s="3" t="s">
        <v>105</v>
      </c>
      <c r="P183" s="2">
        <v>136</v>
      </c>
      <c r="Q183" s="7" t="s">
        <v>1</v>
      </c>
      <c r="R183" s="4">
        <v>245344</v>
      </c>
      <c r="S183" s="4">
        <v>131535.12</v>
      </c>
      <c r="T183" s="4">
        <v>113808.88</v>
      </c>
      <c r="U183" s="4">
        <f>IFERROR(tblInventory[[#This Row],[Gross_Profit_30D]]/tblInventory[[#This Row],[Sales_Revenue_30D]],0)</f>
        <v>0.46387472283813747</v>
      </c>
      <c r="V183" s="2">
        <v>163451.73000000001</v>
      </c>
    </row>
    <row r="184" spans="1:22" x14ac:dyDescent="0.3">
      <c r="A184" s="2" t="s">
        <v>407</v>
      </c>
      <c r="B184" s="2" t="s">
        <v>232</v>
      </c>
      <c r="C184" s="2" t="s">
        <v>0</v>
      </c>
      <c r="D184" s="2" t="s">
        <v>81</v>
      </c>
      <c r="E184" s="2" t="s">
        <v>67</v>
      </c>
      <c r="F184" s="2" t="s">
        <v>400</v>
      </c>
      <c r="G184" s="3">
        <v>148</v>
      </c>
      <c r="H184" s="4">
        <v>572.42999999999995</v>
      </c>
      <c r="I184" s="4">
        <v>1000.46</v>
      </c>
      <c r="J184" s="3">
        <v>63</v>
      </c>
      <c r="K184" s="3">
        <f>tblInventory[[#This Row],[Qty_On_Hand]]*tblInventory[[#This Row],[Unit_Cost]]</f>
        <v>36063.089999999997</v>
      </c>
      <c r="L184" s="3">
        <v>53</v>
      </c>
      <c r="M184" s="3">
        <f>IF(tblInventory[[#This Row],[Qty_On_Hand]]&lt;=tblInventory[[#This Row],[Reorder_Level]],1,0)</f>
        <v>0</v>
      </c>
      <c r="N184" s="3">
        <v>247</v>
      </c>
      <c r="O184" s="3" t="s">
        <v>137</v>
      </c>
      <c r="P184" s="2">
        <v>73</v>
      </c>
      <c r="Q184" s="7" t="s">
        <v>1</v>
      </c>
      <c r="R184" s="4">
        <v>73033.58</v>
      </c>
      <c r="S184" s="4">
        <v>41787.39</v>
      </c>
      <c r="T184" s="4">
        <v>31246.19</v>
      </c>
      <c r="U184" s="4">
        <f>IFERROR(tblInventory[[#This Row],[Gross_Profit_30D]]/tblInventory[[#This Row],[Sales_Revenue_30D]],0)</f>
        <v>0.42783319672950437</v>
      </c>
      <c r="V184" s="2">
        <v>36063.089999999997</v>
      </c>
    </row>
    <row r="185" spans="1:22" x14ac:dyDescent="0.3">
      <c r="A185" s="2" t="s">
        <v>408</v>
      </c>
      <c r="B185" s="2" t="s">
        <v>192</v>
      </c>
      <c r="C185" s="2" t="s">
        <v>7</v>
      </c>
      <c r="D185" s="2" t="s">
        <v>108</v>
      </c>
      <c r="E185" s="2" t="s">
        <v>67</v>
      </c>
      <c r="F185" s="2" t="s">
        <v>315</v>
      </c>
      <c r="G185" s="3">
        <v>336</v>
      </c>
      <c r="H185" s="4">
        <v>589.82000000000005</v>
      </c>
      <c r="I185" s="4">
        <v>1274.1400000000001</v>
      </c>
      <c r="J185" s="3">
        <v>140</v>
      </c>
      <c r="K185" s="3">
        <f>tblInventory[[#This Row],[Qty_On_Hand]]*tblInventory[[#This Row],[Unit_Cost]]</f>
        <v>82574.8</v>
      </c>
      <c r="L185" s="3">
        <v>84</v>
      </c>
      <c r="M185" s="3">
        <f>IF(tblInventory[[#This Row],[Qty_On_Hand]]&lt;=tblInventory[[#This Row],[Reorder_Level]],1,0)</f>
        <v>0</v>
      </c>
      <c r="N185" s="3">
        <v>147</v>
      </c>
      <c r="O185" s="3" t="s">
        <v>93</v>
      </c>
      <c r="P185" s="2">
        <v>101</v>
      </c>
      <c r="Q185" s="7" t="s">
        <v>1</v>
      </c>
      <c r="R185" s="4">
        <v>128688.14</v>
      </c>
      <c r="S185" s="4">
        <v>59571.82</v>
      </c>
      <c r="T185" s="4">
        <v>69116.320000000007</v>
      </c>
      <c r="U185" s="4">
        <f>IFERROR(tblInventory[[#This Row],[Gross_Profit_30D]]/tblInventory[[#This Row],[Sales_Revenue_30D]],0)</f>
        <v>0.5370838369409956</v>
      </c>
      <c r="V185" s="2">
        <v>82574.8</v>
      </c>
    </row>
    <row r="186" spans="1:22" x14ac:dyDescent="0.3">
      <c r="A186" s="2" t="s">
        <v>409</v>
      </c>
      <c r="B186" s="2" t="s">
        <v>310</v>
      </c>
      <c r="C186" s="2" t="s">
        <v>0</v>
      </c>
      <c r="D186" s="2" t="s">
        <v>77</v>
      </c>
      <c r="E186" s="2" t="s">
        <v>78</v>
      </c>
      <c r="F186" s="2" t="s">
        <v>351</v>
      </c>
      <c r="G186" s="3">
        <v>90</v>
      </c>
      <c r="H186" s="4">
        <v>1849.54</v>
      </c>
      <c r="I186" s="4">
        <v>4224.2700000000004</v>
      </c>
      <c r="J186" s="3">
        <v>44</v>
      </c>
      <c r="K186" s="3">
        <f>tblInventory[[#This Row],[Qty_On_Hand]]*tblInventory[[#This Row],[Unit_Cost]]</f>
        <v>81379.759999999995</v>
      </c>
      <c r="L186" s="3">
        <v>76</v>
      </c>
      <c r="M186" s="3">
        <f>IF(tblInventory[[#This Row],[Qty_On_Hand]]&lt;=tblInventory[[#This Row],[Reorder_Level]],1,0)</f>
        <v>1</v>
      </c>
      <c r="N186" s="3">
        <v>104</v>
      </c>
      <c r="O186" s="3" t="s">
        <v>88</v>
      </c>
      <c r="P186" s="2">
        <v>51</v>
      </c>
      <c r="Q186" s="6" t="s">
        <v>3</v>
      </c>
      <c r="R186" s="4">
        <v>215437.77</v>
      </c>
      <c r="S186" s="4">
        <v>94326.54</v>
      </c>
      <c r="T186" s="4">
        <v>121111.23</v>
      </c>
      <c r="U186" s="4">
        <f>IFERROR(tblInventory[[#This Row],[Gross_Profit_30D]]/tblInventory[[#This Row],[Sales_Revenue_30D]],0)</f>
        <v>0.56216340338093918</v>
      </c>
      <c r="V186" s="2">
        <v>81379.759999999995</v>
      </c>
    </row>
    <row r="187" spans="1:22" x14ac:dyDescent="0.3">
      <c r="A187" s="2" t="s">
        <v>410</v>
      </c>
      <c r="B187" s="2" t="s">
        <v>273</v>
      </c>
      <c r="C187" s="2" t="s">
        <v>2</v>
      </c>
      <c r="D187" s="2" t="s">
        <v>77</v>
      </c>
      <c r="E187" s="2" t="s">
        <v>73</v>
      </c>
      <c r="F187" s="2" t="s">
        <v>411</v>
      </c>
      <c r="G187" s="3">
        <v>429</v>
      </c>
      <c r="H187" s="4">
        <v>493.78</v>
      </c>
      <c r="I187" s="4">
        <v>679.51</v>
      </c>
      <c r="J187" s="3">
        <v>300</v>
      </c>
      <c r="K187" s="3">
        <f>tblInventory[[#This Row],[Qty_On_Hand]]*tblInventory[[#This Row],[Unit_Cost]]</f>
        <v>148134</v>
      </c>
      <c r="L187" s="3">
        <v>82</v>
      </c>
      <c r="M187" s="3">
        <f>IF(tblInventory[[#This Row],[Qty_On_Hand]]&lt;=tblInventory[[#This Row],[Reorder_Level]],1,0)</f>
        <v>0</v>
      </c>
      <c r="N187" s="3">
        <v>107</v>
      </c>
      <c r="O187" s="3" t="s">
        <v>252</v>
      </c>
      <c r="P187" s="2">
        <v>59</v>
      </c>
      <c r="Q187" s="7" t="s">
        <v>1</v>
      </c>
      <c r="R187" s="4">
        <v>40091.089999999997</v>
      </c>
      <c r="S187" s="4">
        <v>29133.02</v>
      </c>
      <c r="T187" s="4">
        <v>10958.07</v>
      </c>
      <c r="U187" s="4">
        <f>IFERROR(tblInventory[[#This Row],[Gross_Profit_30D]]/tblInventory[[#This Row],[Sales_Revenue_30D]],0)</f>
        <v>0.27332931082691941</v>
      </c>
      <c r="V187" s="2">
        <v>148134</v>
      </c>
    </row>
    <row r="188" spans="1:22" x14ac:dyDescent="0.3">
      <c r="A188" s="2" t="s">
        <v>412</v>
      </c>
      <c r="B188" s="2" t="s">
        <v>175</v>
      </c>
      <c r="C188" s="2" t="s">
        <v>8</v>
      </c>
      <c r="D188" s="2" t="s">
        <v>128</v>
      </c>
      <c r="E188" s="2" t="s">
        <v>67</v>
      </c>
      <c r="F188" s="2" t="s">
        <v>398</v>
      </c>
      <c r="G188" s="3">
        <v>101</v>
      </c>
      <c r="H188" s="4">
        <v>1546.12</v>
      </c>
      <c r="I188" s="4">
        <v>2021.97</v>
      </c>
      <c r="J188" s="3">
        <v>87</v>
      </c>
      <c r="K188" s="3">
        <f>tblInventory[[#This Row],[Qty_On_Hand]]*tblInventory[[#This Row],[Unit_Cost]]</f>
        <v>134512.44</v>
      </c>
      <c r="L188" s="3">
        <v>85</v>
      </c>
      <c r="M188" s="3">
        <f>IF(tblInventory[[#This Row],[Qty_On_Hand]]&lt;=tblInventory[[#This Row],[Reorder_Level]],1,0)</f>
        <v>0</v>
      </c>
      <c r="N188" s="3">
        <v>300</v>
      </c>
      <c r="O188" s="3" t="s">
        <v>137</v>
      </c>
      <c r="P188" s="2">
        <v>40</v>
      </c>
      <c r="Q188" s="7" t="s">
        <v>1</v>
      </c>
      <c r="R188" s="4">
        <v>80878.8</v>
      </c>
      <c r="S188" s="4">
        <v>61844.800000000003</v>
      </c>
      <c r="T188" s="4">
        <v>19034</v>
      </c>
      <c r="U188" s="4">
        <f>IFERROR(tblInventory[[#This Row],[Gross_Profit_30D]]/tblInventory[[#This Row],[Sales_Revenue_30D]],0)</f>
        <v>0.23533979238069802</v>
      </c>
      <c r="V188" s="2">
        <v>134512.44</v>
      </c>
    </row>
    <row r="189" spans="1:22" x14ac:dyDescent="0.3">
      <c r="A189" s="2" t="s">
        <v>30</v>
      </c>
      <c r="B189" s="2" t="s">
        <v>31</v>
      </c>
      <c r="C189" s="2" t="s">
        <v>6</v>
      </c>
      <c r="D189" s="2" t="s">
        <v>108</v>
      </c>
      <c r="E189" s="2" t="s">
        <v>73</v>
      </c>
      <c r="F189" s="2" t="s">
        <v>109</v>
      </c>
      <c r="G189" s="3">
        <v>214</v>
      </c>
      <c r="H189" s="4">
        <v>1298.8800000000001</v>
      </c>
      <c r="I189" s="4">
        <v>3457.5</v>
      </c>
      <c r="J189" s="3">
        <v>73</v>
      </c>
      <c r="K189" s="3">
        <f>tblInventory[[#This Row],[Qty_On_Hand]]*tblInventory[[#This Row],[Unit_Cost]]</f>
        <v>94818.240000000005</v>
      </c>
      <c r="L189" s="3">
        <v>26</v>
      </c>
      <c r="M189" s="3">
        <f>IF(tblInventory[[#This Row],[Qty_On_Hand]]&lt;=tblInventory[[#This Row],[Reorder_Level]],1,0)</f>
        <v>0</v>
      </c>
      <c r="N189" s="3">
        <v>216</v>
      </c>
      <c r="O189" s="3" t="s">
        <v>198</v>
      </c>
      <c r="P189" s="2">
        <v>146</v>
      </c>
      <c r="Q189" s="7" t="s">
        <v>1</v>
      </c>
      <c r="R189" s="4">
        <v>504795</v>
      </c>
      <c r="S189" s="4">
        <v>189636.48000000001</v>
      </c>
      <c r="T189" s="4">
        <v>315158.52</v>
      </c>
      <c r="U189" s="4">
        <f>IFERROR(tblInventory[[#This Row],[Gross_Profit_30D]]/tblInventory[[#This Row],[Sales_Revenue_30D]],0)</f>
        <v>0.62432971800433845</v>
      </c>
      <c r="V189" s="2">
        <v>94818.240000000005</v>
      </c>
    </row>
    <row r="190" spans="1:22" x14ac:dyDescent="0.3">
      <c r="A190" s="2" t="s">
        <v>413</v>
      </c>
      <c r="B190" s="2" t="s">
        <v>116</v>
      </c>
      <c r="C190" s="2" t="s">
        <v>4</v>
      </c>
      <c r="D190" s="2" t="s">
        <v>66</v>
      </c>
      <c r="E190" s="2" t="s">
        <v>73</v>
      </c>
      <c r="F190" s="2" t="s">
        <v>414</v>
      </c>
      <c r="G190" s="3">
        <v>68</v>
      </c>
      <c r="H190" s="4">
        <v>1580.16</v>
      </c>
      <c r="I190" s="4">
        <v>2495.81</v>
      </c>
      <c r="J190" s="3">
        <v>50</v>
      </c>
      <c r="K190" s="3">
        <f>tblInventory[[#This Row],[Qty_On_Hand]]*tblInventory[[#This Row],[Unit_Cost]]</f>
        <v>79008</v>
      </c>
      <c r="L190" s="3">
        <v>52</v>
      </c>
      <c r="M190" s="3">
        <f>IF(tblInventory[[#This Row],[Qty_On_Hand]]&lt;=tblInventory[[#This Row],[Reorder_Level]],1,0)</f>
        <v>1</v>
      </c>
      <c r="N190" s="3">
        <v>274</v>
      </c>
      <c r="O190" s="3" t="s">
        <v>80</v>
      </c>
      <c r="P190" s="2">
        <v>9</v>
      </c>
      <c r="Q190" s="6" t="s">
        <v>3</v>
      </c>
      <c r="R190" s="4">
        <v>22462.29</v>
      </c>
      <c r="S190" s="4">
        <v>14221.44</v>
      </c>
      <c r="T190" s="4">
        <v>8240.85</v>
      </c>
      <c r="U190" s="4">
        <f>IFERROR(tblInventory[[#This Row],[Gross_Profit_30D]]/tblInventory[[#This Row],[Sales_Revenue_30D]],0)</f>
        <v>0.3668748823027394</v>
      </c>
      <c r="V190" s="2">
        <v>79008</v>
      </c>
    </row>
    <row r="191" spans="1:22" x14ac:dyDescent="0.3">
      <c r="A191" s="2" t="s">
        <v>415</v>
      </c>
      <c r="B191" s="2" t="s">
        <v>44</v>
      </c>
      <c r="C191" s="2" t="s">
        <v>8</v>
      </c>
      <c r="D191" s="2" t="s">
        <v>72</v>
      </c>
      <c r="E191" s="2" t="s">
        <v>67</v>
      </c>
      <c r="F191" s="2" t="s">
        <v>351</v>
      </c>
      <c r="G191" s="3">
        <v>378</v>
      </c>
      <c r="H191" s="4">
        <v>1058.1500000000001</v>
      </c>
      <c r="I191" s="4">
        <v>2787.05</v>
      </c>
      <c r="J191" s="3">
        <v>278</v>
      </c>
      <c r="K191" s="3">
        <f>tblInventory[[#This Row],[Qty_On_Hand]]*tblInventory[[#This Row],[Unit_Cost]]</f>
        <v>294165.7</v>
      </c>
      <c r="L191" s="3">
        <v>32</v>
      </c>
      <c r="M191" s="3">
        <f>IF(tblInventory[[#This Row],[Qty_On_Hand]]&lt;=tblInventory[[#This Row],[Reorder_Level]],1,0)</f>
        <v>0</v>
      </c>
      <c r="N191" s="3">
        <v>267</v>
      </c>
      <c r="O191" s="3" t="s">
        <v>144</v>
      </c>
      <c r="P191" s="2">
        <v>129</v>
      </c>
      <c r="Q191" s="7" t="s">
        <v>1</v>
      </c>
      <c r="R191" s="4">
        <v>359529.45</v>
      </c>
      <c r="S191" s="4">
        <v>136501.35</v>
      </c>
      <c r="T191" s="4">
        <v>223028.1</v>
      </c>
      <c r="U191" s="4">
        <f>IFERROR(tblInventory[[#This Row],[Gross_Profit_30D]]/tblInventory[[#This Row],[Sales_Revenue_30D]],0)</f>
        <v>0.62033332735329472</v>
      </c>
      <c r="V191" s="2">
        <v>294165.7</v>
      </c>
    </row>
    <row r="192" spans="1:22" x14ac:dyDescent="0.3">
      <c r="A192" s="2" t="s">
        <v>416</v>
      </c>
      <c r="B192" s="2" t="s">
        <v>27</v>
      </c>
      <c r="C192" s="2" t="s">
        <v>6</v>
      </c>
      <c r="D192" s="2" t="s">
        <v>132</v>
      </c>
      <c r="E192" s="2" t="s">
        <v>78</v>
      </c>
      <c r="F192" s="2" t="s">
        <v>187</v>
      </c>
      <c r="G192" s="3">
        <v>424</v>
      </c>
      <c r="H192" s="4">
        <v>1303.5999999999999</v>
      </c>
      <c r="I192" s="4">
        <v>3099.83</v>
      </c>
      <c r="J192" s="3">
        <v>234</v>
      </c>
      <c r="K192" s="3">
        <f>tblInventory[[#This Row],[Qty_On_Hand]]*tblInventory[[#This Row],[Unit_Cost]]</f>
        <v>305042.39999999997</v>
      </c>
      <c r="L192" s="3">
        <v>16</v>
      </c>
      <c r="M192" s="3">
        <f>IF(tblInventory[[#This Row],[Qty_On_Hand]]&lt;=tblInventory[[#This Row],[Reorder_Level]],1,0)</f>
        <v>0</v>
      </c>
      <c r="N192" s="3">
        <v>238</v>
      </c>
      <c r="O192" s="3" t="s">
        <v>80</v>
      </c>
      <c r="P192" s="2">
        <v>86</v>
      </c>
      <c r="Q192" s="7" t="s">
        <v>1</v>
      </c>
      <c r="R192" s="4">
        <v>266585.38</v>
      </c>
      <c r="S192" s="4">
        <v>112109.6</v>
      </c>
      <c r="T192" s="4">
        <v>154475.78</v>
      </c>
      <c r="U192" s="4">
        <f>IFERROR(tblInventory[[#This Row],[Gross_Profit_30D]]/tblInventory[[#This Row],[Sales_Revenue_30D]],0)</f>
        <v>0.57946080914114639</v>
      </c>
      <c r="V192" s="2">
        <v>305042.40000000002</v>
      </c>
    </row>
    <row r="193" spans="1:22" x14ac:dyDescent="0.3">
      <c r="A193" s="2" t="s">
        <v>417</v>
      </c>
      <c r="B193" s="2" t="s">
        <v>85</v>
      </c>
      <c r="C193" s="2" t="s">
        <v>0</v>
      </c>
      <c r="D193" s="2" t="s">
        <v>132</v>
      </c>
      <c r="E193" s="2" t="s">
        <v>73</v>
      </c>
      <c r="F193" s="2" t="s">
        <v>400</v>
      </c>
      <c r="G193" s="3">
        <v>257</v>
      </c>
      <c r="H193" s="4">
        <v>1040.26</v>
      </c>
      <c r="I193" s="4">
        <v>1487.68</v>
      </c>
      <c r="J193" s="3">
        <v>218</v>
      </c>
      <c r="K193" s="3">
        <f>tblInventory[[#This Row],[Qty_On_Hand]]*tblInventory[[#This Row],[Unit_Cost]]</f>
        <v>226776.68</v>
      </c>
      <c r="L193" s="3">
        <v>100</v>
      </c>
      <c r="M193" s="3">
        <f>IF(tblInventory[[#This Row],[Qty_On_Hand]]&lt;=tblInventory[[#This Row],[Reorder_Level]],1,0)</f>
        <v>0</v>
      </c>
      <c r="N193" s="3">
        <v>74</v>
      </c>
      <c r="O193" s="3" t="s">
        <v>118</v>
      </c>
      <c r="P193" s="2">
        <v>47</v>
      </c>
      <c r="Q193" s="7" t="s">
        <v>1</v>
      </c>
      <c r="R193" s="4">
        <v>69920.960000000006</v>
      </c>
      <c r="S193" s="4">
        <v>48892.22</v>
      </c>
      <c r="T193" s="4">
        <v>21028.74</v>
      </c>
      <c r="U193" s="4">
        <f>IFERROR(tblInventory[[#This Row],[Gross_Profit_30D]]/tblInventory[[#This Row],[Sales_Revenue_30D]],0)</f>
        <v>0.30075016132501614</v>
      </c>
      <c r="V193" s="2">
        <v>226776.68</v>
      </c>
    </row>
    <row r="194" spans="1:22" x14ac:dyDescent="0.3">
      <c r="A194" s="2" t="s">
        <v>418</v>
      </c>
      <c r="B194" s="2" t="s">
        <v>277</v>
      </c>
      <c r="C194" s="2" t="s">
        <v>4</v>
      </c>
      <c r="D194" s="2" t="s">
        <v>81</v>
      </c>
      <c r="E194" s="2" t="s">
        <v>73</v>
      </c>
      <c r="F194" s="2" t="s">
        <v>419</v>
      </c>
      <c r="G194" s="3">
        <v>246</v>
      </c>
      <c r="H194" s="4">
        <v>904.54</v>
      </c>
      <c r="I194" s="4">
        <v>1538.16</v>
      </c>
      <c r="J194" s="3">
        <v>60</v>
      </c>
      <c r="K194" s="3">
        <f>tblInventory[[#This Row],[Qty_On_Hand]]*tblInventory[[#This Row],[Unit_Cost]]</f>
        <v>54272.399999999994</v>
      </c>
      <c r="L194" s="3">
        <v>57</v>
      </c>
      <c r="M194" s="3">
        <f>IF(tblInventory[[#This Row],[Qty_On_Hand]]&lt;=tblInventory[[#This Row],[Reorder_Level]],1,0)</f>
        <v>0</v>
      </c>
      <c r="N194" s="3">
        <v>127</v>
      </c>
      <c r="O194" s="3" t="s">
        <v>83</v>
      </c>
      <c r="P194" s="2">
        <v>149</v>
      </c>
      <c r="Q194" s="7" t="s">
        <v>1</v>
      </c>
      <c r="R194" s="4">
        <v>229185.84</v>
      </c>
      <c r="S194" s="4">
        <v>134776.46</v>
      </c>
      <c r="T194" s="4">
        <v>94409.38</v>
      </c>
      <c r="U194" s="4">
        <f>IFERROR(tblInventory[[#This Row],[Gross_Profit_30D]]/tblInventory[[#This Row],[Sales_Revenue_30D]],0)</f>
        <v>0.41193373901284652</v>
      </c>
      <c r="V194" s="2">
        <v>54272.4</v>
      </c>
    </row>
    <row r="195" spans="1:22" x14ac:dyDescent="0.3">
      <c r="A195" s="2" t="s">
        <v>420</v>
      </c>
      <c r="B195" s="2" t="s">
        <v>25</v>
      </c>
      <c r="C195" s="2" t="s">
        <v>7</v>
      </c>
      <c r="D195" s="2" t="s">
        <v>66</v>
      </c>
      <c r="E195" s="2" t="s">
        <v>67</v>
      </c>
      <c r="F195" s="2" t="s">
        <v>421</v>
      </c>
      <c r="G195" s="3">
        <v>404</v>
      </c>
      <c r="H195" s="4">
        <v>143.01</v>
      </c>
      <c r="I195" s="4">
        <v>211.27</v>
      </c>
      <c r="J195" s="3">
        <v>120</v>
      </c>
      <c r="K195" s="3">
        <f>tblInventory[[#This Row],[Qty_On_Hand]]*tblInventory[[#This Row],[Unit_Cost]]</f>
        <v>17161.199999999997</v>
      </c>
      <c r="L195" s="3">
        <v>54</v>
      </c>
      <c r="M195" s="3">
        <f>IF(tblInventory[[#This Row],[Qty_On_Hand]]&lt;=tblInventory[[#This Row],[Reorder_Level]],1,0)</f>
        <v>0</v>
      </c>
      <c r="N195" s="3">
        <v>90</v>
      </c>
      <c r="O195" s="3" t="s">
        <v>93</v>
      </c>
      <c r="P195" s="2">
        <v>103</v>
      </c>
      <c r="Q195" s="7" t="s">
        <v>1</v>
      </c>
      <c r="R195" s="4">
        <v>21760.81</v>
      </c>
      <c r="S195" s="4">
        <v>14730.03</v>
      </c>
      <c r="T195" s="4">
        <v>7030.78</v>
      </c>
      <c r="U195" s="4">
        <f>IFERROR(tblInventory[[#This Row],[Gross_Profit_30D]]/tblInventory[[#This Row],[Sales_Revenue_30D]],0)</f>
        <v>0.32309367160505509</v>
      </c>
      <c r="V195" s="2">
        <v>17161.2</v>
      </c>
    </row>
    <row r="196" spans="1:22" x14ac:dyDescent="0.3">
      <c r="A196" s="2" t="s">
        <v>422</v>
      </c>
      <c r="B196" s="2" t="s">
        <v>146</v>
      </c>
      <c r="C196" s="2" t="s">
        <v>7</v>
      </c>
      <c r="D196" s="2" t="s">
        <v>77</v>
      </c>
      <c r="E196" s="2" t="s">
        <v>78</v>
      </c>
      <c r="F196" s="2" t="s">
        <v>92</v>
      </c>
      <c r="G196" s="3">
        <v>238</v>
      </c>
      <c r="H196" s="4">
        <v>457.28</v>
      </c>
      <c r="I196" s="4">
        <v>1251.1400000000001</v>
      </c>
      <c r="J196" s="3">
        <v>157</v>
      </c>
      <c r="K196" s="3">
        <f>tblInventory[[#This Row],[Qty_On_Hand]]*tblInventory[[#This Row],[Unit_Cost]]</f>
        <v>71792.959999999992</v>
      </c>
      <c r="L196" s="3">
        <v>76</v>
      </c>
      <c r="M196" s="3">
        <f>IF(tblInventory[[#This Row],[Qty_On_Hand]]&lt;=tblInventory[[#This Row],[Reorder_Level]],1,0)</f>
        <v>0</v>
      </c>
      <c r="N196" s="3">
        <v>89</v>
      </c>
      <c r="O196" s="3" t="s">
        <v>198</v>
      </c>
      <c r="P196" s="2">
        <v>116</v>
      </c>
      <c r="Q196" s="7" t="s">
        <v>1</v>
      </c>
      <c r="R196" s="4">
        <v>145132.24</v>
      </c>
      <c r="S196" s="4">
        <v>53044.480000000003</v>
      </c>
      <c r="T196" s="4">
        <v>92087.76</v>
      </c>
      <c r="U196" s="4">
        <f>IFERROR(tblInventory[[#This Row],[Gross_Profit_30D]]/tblInventory[[#This Row],[Sales_Revenue_30D]],0)</f>
        <v>0.63450932749332611</v>
      </c>
      <c r="V196" s="2">
        <v>71792.960000000006</v>
      </c>
    </row>
    <row r="197" spans="1:22" x14ac:dyDescent="0.3">
      <c r="A197" s="2" t="s">
        <v>423</v>
      </c>
      <c r="B197" s="2" t="s">
        <v>25</v>
      </c>
      <c r="C197" s="2" t="s">
        <v>7</v>
      </c>
      <c r="D197" s="2" t="s">
        <v>81</v>
      </c>
      <c r="E197" s="2" t="s">
        <v>91</v>
      </c>
      <c r="F197" s="2" t="s">
        <v>197</v>
      </c>
      <c r="G197" s="3">
        <v>291</v>
      </c>
      <c r="H197" s="4">
        <v>1607.95</v>
      </c>
      <c r="I197" s="4">
        <v>4081.63</v>
      </c>
      <c r="J197" s="3">
        <v>275</v>
      </c>
      <c r="K197" s="3">
        <f>tblInventory[[#This Row],[Qty_On_Hand]]*tblInventory[[#This Row],[Unit_Cost]]</f>
        <v>442186.25</v>
      </c>
      <c r="L197" s="3">
        <v>46</v>
      </c>
      <c r="M197" s="3">
        <f>IF(tblInventory[[#This Row],[Qty_On_Hand]]&lt;=tblInventory[[#This Row],[Reorder_Level]],1,0)</f>
        <v>0</v>
      </c>
      <c r="N197" s="3">
        <v>224</v>
      </c>
      <c r="O197" s="3" t="s">
        <v>105</v>
      </c>
      <c r="P197" s="2">
        <v>20</v>
      </c>
      <c r="Q197" s="7" t="s">
        <v>1</v>
      </c>
      <c r="R197" s="4">
        <v>81632.600000000006</v>
      </c>
      <c r="S197" s="4">
        <v>32159</v>
      </c>
      <c r="T197" s="4">
        <v>49473.599999999999</v>
      </c>
      <c r="U197" s="4">
        <f>IFERROR(tblInventory[[#This Row],[Gross_Profit_30D]]/tblInventory[[#This Row],[Sales_Revenue_30D]],0)</f>
        <v>0.60605199393379594</v>
      </c>
      <c r="V197" s="2">
        <v>442186.25</v>
      </c>
    </row>
    <row r="198" spans="1:22" x14ac:dyDescent="0.3">
      <c r="A198" s="2" t="s">
        <v>15</v>
      </c>
      <c r="B198" s="2" t="s">
        <v>16</v>
      </c>
      <c r="C198" s="2" t="s">
        <v>2</v>
      </c>
      <c r="D198" s="2" t="s">
        <v>81</v>
      </c>
      <c r="E198" s="2" t="s">
        <v>78</v>
      </c>
      <c r="F198" s="2" t="s">
        <v>424</v>
      </c>
      <c r="G198" s="3">
        <v>107</v>
      </c>
      <c r="H198" s="4">
        <v>1660.97</v>
      </c>
      <c r="I198" s="4">
        <v>4408.7700000000004</v>
      </c>
      <c r="J198" s="3">
        <v>7</v>
      </c>
      <c r="K198" s="3">
        <f>tblInventory[[#This Row],[Qty_On_Hand]]*tblInventory[[#This Row],[Unit_Cost]]</f>
        <v>11626.79</v>
      </c>
      <c r="L198" s="3">
        <v>40</v>
      </c>
      <c r="M198" s="3">
        <f>IF(tblInventory[[#This Row],[Qty_On_Hand]]&lt;=tblInventory[[#This Row],[Reorder_Level]],1,0)</f>
        <v>1</v>
      </c>
      <c r="N198" s="3">
        <v>196</v>
      </c>
      <c r="O198" s="3" t="s">
        <v>101</v>
      </c>
      <c r="P198" s="2">
        <v>137</v>
      </c>
      <c r="Q198" s="6" t="s">
        <v>3</v>
      </c>
      <c r="R198" s="4">
        <v>604001.49</v>
      </c>
      <c r="S198" s="4">
        <v>227552.89</v>
      </c>
      <c r="T198" s="4">
        <v>376448.6</v>
      </c>
      <c r="U198" s="4">
        <f>IFERROR(tblInventory[[#This Row],[Gross_Profit_30D]]/tblInventory[[#This Row],[Sales_Revenue_30D]],0)</f>
        <v>0.62325773401651707</v>
      </c>
      <c r="V198" s="2">
        <v>11626.79</v>
      </c>
    </row>
    <row r="199" spans="1:22" x14ac:dyDescent="0.3">
      <c r="A199" s="2" t="s">
        <v>425</v>
      </c>
      <c r="B199" s="2" t="s">
        <v>107</v>
      </c>
      <c r="C199" s="2" t="s">
        <v>4</v>
      </c>
      <c r="D199" s="2" t="s">
        <v>81</v>
      </c>
      <c r="E199" s="2" t="s">
        <v>86</v>
      </c>
      <c r="F199" s="2" t="s">
        <v>269</v>
      </c>
      <c r="G199" s="3">
        <v>398</v>
      </c>
      <c r="H199" s="4">
        <v>1439.5</v>
      </c>
      <c r="I199" s="4">
        <v>2926.85</v>
      </c>
      <c r="J199" s="3">
        <v>105</v>
      </c>
      <c r="K199" s="3">
        <f>tblInventory[[#This Row],[Qty_On_Hand]]*tblInventory[[#This Row],[Unit_Cost]]</f>
        <v>151147.5</v>
      </c>
      <c r="L199" s="3">
        <v>80</v>
      </c>
      <c r="M199" s="3">
        <f>IF(tblInventory[[#This Row],[Qty_On_Hand]]&lt;=tblInventory[[#This Row],[Reorder_Level]],1,0)</f>
        <v>0</v>
      </c>
      <c r="N199" s="3">
        <v>164</v>
      </c>
      <c r="O199" s="3" t="s">
        <v>122</v>
      </c>
      <c r="P199" s="2">
        <v>14</v>
      </c>
      <c r="Q199" s="7" t="s">
        <v>1</v>
      </c>
      <c r="R199" s="4">
        <v>40975.9</v>
      </c>
      <c r="S199" s="4">
        <v>20153</v>
      </c>
      <c r="T199" s="4">
        <v>20822.900000000001</v>
      </c>
      <c r="U199" s="4">
        <f>IFERROR(tblInventory[[#This Row],[Gross_Profit_30D]]/tblInventory[[#This Row],[Sales_Revenue_30D]],0)</f>
        <v>0.50817431709858718</v>
      </c>
      <c r="V199" s="2">
        <v>151147.5</v>
      </c>
    </row>
    <row r="200" spans="1:22" x14ac:dyDescent="0.3">
      <c r="A200" s="2" t="s">
        <v>426</v>
      </c>
      <c r="B200" s="2" t="s">
        <v>142</v>
      </c>
      <c r="C200" s="2" t="s">
        <v>6</v>
      </c>
      <c r="D200" s="2" t="s">
        <v>128</v>
      </c>
      <c r="E200" s="2" t="s">
        <v>91</v>
      </c>
      <c r="F200" s="2" t="s">
        <v>251</v>
      </c>
      <c r="G200" s="3">
        <v>336</v>
      </c>
      <c r="H200" s="4">
        <v>1352.08</v>
      </c>
      <c r="I200" s="4">
        <v>2382.71</v>
      </c>
      <c r="J200" s="3">
        <v>236</v>
      </c>
      <c r="K200" s="3">
        <f>tblInventory[[#This Row],[Qty_On_Hand]]*tblInventory[[#This Row],[Unit_Cost]]</f>
        <v>319090.88</v>
      </c>
      <c r="L200" s="3">
        <v>17</v>
      </c>
      <c r="M200" s="3">
        <f>IF(tblInventory[[#This Row],[Qty_On_Hand]]&lt;=tblInventory[[#This Row],[Reorder_Level]],1,0)</f>
        <v>0</v>
      </c>
      <c r="N200" s="3">
        <v>151</v>
      </c>
      <c r="O200" s="3" t="s">
        <v>110</v>
      </c>
      <c r="P200" s="2">
        <v>65</v>
      </c>
      <c r="Q200" s="7" t="s">
        <v>1</v>
      </c>
      <c r="R200" s="4">
        <v>154876.15</v>
      </c>
      <c r="S200" s="4">
        <v>87885.2</v>
      </c>
      <c r="T200" s="4">
        <v>66990.95</v>
      </c>
      <c r="U200" s="4">
        <f>IFERROR(tblInventory[[#This Row],[Gross_Profit_30D]]/tblInventory[[#This Row],[Sales_Revenue_30D]],0)</f>
        <v>0.43254529506318434</v>
      </c>
      <c r="V200" s="2">
        <v>319090.88</v>
      </c>
    </row>
    <row r="201" spans="1:22" x14ac:dyDescent="0.3">
      <c r="A201" s="2" t="s">
        <v>427</v>
      </c>
      <c r="B201" s="2" t="s">
        <v>204</v>
      </c>
      <c r="C201" s="2" t="s">
        <v>8</v>
      </c>
      <c r="D201" s="2" t="s">
        <v>72</v>
      </c>
      <c r="E201" s="2" t="s">
        <v>78</v>
      </c>
      <c r="F201" s="2" t="s">
        <v>428</v>
      </c>
      <c r="G201" s="3">
        <v>408</v>
      </c>
      <c r="H201" s="4">
        <v>1091.5</v>
      </c>
      <c r="I201" s="4">
        <v>1517.6</v>
      </c>
      <c r="J201" s="3">
        <v>32</v>
      </c>
      <c r="K201" s="3">
        <f>tblInventory[[#This Row],[Qty_On_Hand]]*tblInventory[[#This Row],[Unit_Cost]]</f>
        <v>34928</v>
      </c>
      <c r="L201" s="3">
        <v>23</v>
      </c>
      <c r="M201" s="3">
        <f>IF(tblInventory[[#This Row],[Qty_On_Hand]]&lt;=tblInventory[[#This Row],[Reorder_Level]],1,0)</f>
        <v>0</v>
      </c>
      <c r="N201" s="3">
        <v>289</v>
      </c>
      <c r="O201" s="3" t="s">
        <v>93</v>
      </c>
      <c r="P201" s="2">
        <v>120</v>
      </c>
      <c r="Q201" s="7" t="s">
        <v>1</v>
      </c>
      <c r="R201" s="4">
        <v>182112</v>
      </c>
      <c r="S201" s="4">
        <v>130980</v>
      </c>
      <c r="T201" s="4">
        <v>51132</v>
      </c>
      <c r="U201" s="4">
        <f>IFERROR(tblInventory[[#This Row],[Gross_Profit_30D]]/tblInventory[[#This Row],[Sales_Revenue_30D]],0)</f>
        <v>0.28077227200843435</v>
      </c>
      <c r="V201" s="2">
        <v>34928</v>
      </c>
    </row>
    <row r="202" spans="1:22" x14ac:dyDescent="0.3">
      <c r="A202" s="2" t="s">
        <v>43</v>
      </c>
      <c r="B202" s="2" t="s">
        <v>44</v>
      </c>
      <c r="C202" s="2" t="s">
        <v>8</v>
      </c>
      <c r="D202" s="2" t="s">
        <v>128</v>
      </c>
      <c r="E202" s="2" t="s">
        <v>73</v>
      </c>
      <c r="F202" s="2" t="s">
        <v>173</v>
      </c>
      <c r="G202" s="3">
        <v>442</v>
      </c>
      <c r="H202" s="4">
        <v>1957.1</v>
      </c>
      <c r="I202" s="4">
        <v>4440.3100000000004</v>
      </c>
      <c r="J202" s="3">
        <v>328</v>
      </c>
      <c r="K202" s="3">
        <f>tblInventory[[#This Row],[Qty_On_Hand]]*tblInventory[[#This Row],[Unit_Cost]]</f>
        <v>641928.79999999993</v>
      </c>
      <c r="L202" s="3">
        <v>68</v>
      </c>
      <c r="M202" s="3">
        <f>IF(tblInventory[[#This Row],[Qty_On_Hand]]&lt;=tblInventory[[#This Row],[Reorder_Level]],1,0)</f>
        <v>0</v>
      </c>
      <c r="N202" s="3">
        <v>145</v>
      </c>
      <c r="O202" s="3" t="s">
        <v>168</v>
      </c>
      <c r="P202" s="2">
        <v>97</v>
      </c>
      <c r="Q202" s="7" t="s">
        <v>1</v>
      </c>
      <c r="R202" s="4">
        <v>430710.07</v>
      </c>
      <c r="S202" s="4">
        <v>189838.7</v>
      </c>
      <c r="T202" s="4">
        <v>240871.37</v>
      </c>
      <c r="U202" s="4">
        <f>IFERROR(tblInventory[[#This Row],[Gross_Profit_30D]]/tblInventory[[#This Row],[Sales_Revenue_30D]],0)</f>
        <v>0.55924248532197074</v>
      </c>
      <c r="V202" s="2">
        <v>641928.80000000005</v>
      </c>
    </row>
    <row r="203" spans="1:22" x14ac:dyDescent="0.3">
      <c r="A203" s="2" t="s">
        <v>429</v>
      </c>
      <c r="B203" s="2" t="s">
        <v>112</v>
      </c>
      <c r="C203" s="2" t="s">
        <v>6</v>
      </c>
      <c r="D203" s="2" t="s">
        <v>128</v>
      </c>
      <c r="E203" s="2" t="s">
        <v>78</v>
      </c>
      <c r="F203" s="2" t="s">
        <v>170</v>
      </c>
      <c r="G203" s="3">
        <v>497</v>
      </c>
      <c r="H203" s="4">
        <v>283.32</v>
      </c>
      <c r="I203" s="4">
        <v>733.92</v>
      </c>
      <c r="J203" s="3">
        <v>276</v>
      </c>
      <c r="K203" s="3">
        <f>tblInventory[[#This Row],[Qty_On_Hand]]*tblInventory[[#This Row],[Unit_Cost]]</f>
        <v>78196.319999999992</v>
      </c>
      <c r="L203" s="3">
        <v>30</v>
      </c>
      <c r="M203" s="3">
        <f>IF(tblInventory[[#This Row],[Qty_On_Hand]]&lt;=tblInventory[[#This Row],[Reorder_Level]],1,0)</f>
        <v>0</v>
      </c>
      <c r="N203" s="3">
        <v>95</v>
      </c>
      <c r="O203" s="3" t="s">
        <v>194</v>
      </c>
      <c r="P203" s="2">
        <v>137</v>
      </c>
      <c r="Q203" s="7" t="s">
        <v>1</v>
      </c>
      <c r="R203" s="4">
        <v>100547.04</v>
      </c>
      <c r="S203" s="4">
        <v>38814.839999999997</v>
      </c>
      <c r="T203" s="4">
        <v>61732.2</v>
      </c>
      <c r="U203" s="4">
        <f>IFERROR(tblInventory[[#This Row],[Gross_Profit_30D]]/tblInventory[[#This Row],[Sales_Revenue_30D]],0)</f>
        <v>0.61396337475474172</v>
      </c>
      <c r="V203" s="2">
        <v>78196.320000000007</v>
      </c>
    </row>
    <row r="204" spans="1:22" x14ac:dyDescent="0.3">
      <c r="A204" s="2" t="s">
        <v>28</v>
      </c>
      <c r="B204" s="2" t="s">
        <v>29</v>
      </c>
      <c r="C204" s="2" t="s">
        <v>6</v>
      </c>
      <c r="D204" s="2" t="s">
        <v>96</v>
      </c>
      <c r="E204" s="2" t="s">
        <v>73</v>
      </c>
      <c r="F204" s="2" t="s">
        <v>165</v>
      </c>
      <c r="G204" s="3">
        <v>437</v>
      </c>
      <c r="H204" s="4">
        <v>1957.41</v>
      </c>
      <c r="I204" s="4">
        <v>3904.07</v>
      </c>
      <c r="J204" s="3">
        <v>11</v>
      </c>
      <c r="K204" s="3">
        <f>tblInventory[[#This Row],[Qty_On_Hand]]*tblInventory[[#This Row],[Unit_Cost]]</f>
        <v>21531.510000000002</v>
      </c>
      <c r="L204" s="3">
        <v>84</v>
      </c>
      <c r="M204" s="3">
        <f>IF(tblInventory[[#This Row],[Qty_On_Hand]]&lt;=tblInventory[[#This Row],[Reorder_Level]],1,0)</f>
        <v>1</v>
      </c>
      <c r="N204" s="3">
        <v>158</v>
      </c>
      <c r="O204" s="3" t="s">
        <v>201</v>
      </c>
      <c r="P204" s="2">
        <v>136</v>
      </c>
      <c r="Q204" s="6" t="s">
        <v>3</v>
      </c>
      <c r="R204" s="4">
        <v>530953.52</v>
      </c>
      <c r="S204" s="4">
        <v>266207.76</v>
      </c>
      <c r="T204" s="4">
        <v>264745.76</v>
      </c>
      <c r="U204" s="4">
        <f>IFERROR(tblInventory[[#This Row],[Gross_Profit_30D]]/tblInventory[[#This Row],[Sales_Revenue_30D]],0)</f>
        <v>0.49862323165312095</v>
      </c>
      <c r="V204" s="2">
        <v>21531.51</v>
      </c>
    </row>
    <row r="205" spans="1:22" x14ac:dyDescent="0.3">
      <c r="A205" s="2" t="s">
        <v>33</v>
      </c>
      <c r="B205" s="2" t="s">
        <v>34</v>
      </c>
      <c r="C205" s="2" t="s">
        <v>6</v>
      </c>
      <c r="D205" s="2" t="s">
        <v>132</v>
      </c>
      <c r="E205" s="2" t="s">
        <v>91</v>
      </c>
      <c r="F205" s="2" t="s">
        <v>430</v>
      </c>
      <c r="G205" s="3">
        <v>191</v>
      </c>
      <c r="H205" s="4">
        <v>1876.07</v>
      </c>
      <c r="I205" s="4">
        <v>4479.18</v>
      </c>
      <c r="J205" s="3">
        <v>48</v>
      </c>
      <c r="K205" s="3">
        <f>tblInventory[[#This Row],[Qty_On_Hand]]*tblInventory[[#This Row],[Unit_Cost]]</f>
        <v>90051.36</v>
      </c>
      <c r="L205" s="3">
        <v>29</v>
      </c>
      <c r="M205" s="3">
        <f>IF(tblInventory[[#This Row],[Qty_On_Hand]]&lt;=tblInventory[[#This Row],[Reorder_Level]],1,0)</f>
        <v>0</v>
      </c>
      <c r="N205" s="3">
        <v>58</v>
      </c>
      <c r="O205" s="3" t="s">
        <v>168</v>
      </c>
      <c r="P205" s="2">
        <v>107</v>
      </c>
      <c r="Q205" s="7" t="s">
        <v>1</v>
      </c>
      <c r="R205" s="4">
        <v>479272.26</v>
      </c>
      <c r="S205" s="4">
        <v>200739.49</v>
      </c>
      <c r="T205" s="4">
        <v>278532.77</v>
      </c>
      <c r="U205" s="4">
        <f>IFERROR(tblInventory[[#This Row],[Gross_Profit_30D]]/tblInventory[[#This Row],[Sales_Revenue_30D]],0)</f>
        <v>0.58115771190262511</v>
      </c>
      <c r="V205" s="2">
        <v>90051.36</v>
      </c>
    </row>
    <row r="206" spans="1:22" x14ac:dyDescent="0.3">
      <c r="A206" s="2" t="s">
        <v>431</v>
      </c>
      <c r="B206" s="2" t="s">
        <v>38</v>
      </c>
      <c r="C206" s="2" t="s">
        <v>2</v>
      </c>
      <c r="D206" s="2" t="s">
        <v>132</v>
      </c>
      <c r="E206" s="2" t="s">
        <v>73</v>
      </c>
      <c r="F206" s="2" t="s">
        <v>193</v>
      </c>
      <c r="G206" s="3">
        <v>354</v>
      </c>
      <c r="H206" s="4">
        <v>903.95</v>
      </c>
      <c r="I206" s="4">
        <v>2086.35</v>
      </c>
      <c r="J206" s="3">
        <v>17</v>
      </c>
      <c r="K206" s="3">
        <f>tblInventory[[#This Row],[Qty_On_Hand]]*tblInventory[[#This Row],[Unit_Cost]]</f>
        <v>15367.150000000001</v>
      </c>
      <c r="L206" s="3">
        <v>21</v>
      </c>
      <c r="M206" s="3">
        <f>IF(tblInventory[[#This Row],[Qty_On_Hand]]&lt;=tblInventory[[#This Row],[Reorder_Level]],1,0)</f>
        <v>1</v>
      </c>
      <c r="N206" s="3">
        <v>112</v>
      </c>
      <c r="O206" s="3" t="s">
        <v>122</v>
      </c>
      <c r="P206" s="2">
        <v>11</v>
      </c>
      <c r="Q206" s="6" t="s">
        <v>3</v>
      </c>
      <c r="R206" s="4">
        <v>22949.85</v>
      </c>
      <c r="S206" s="4">
        <v>9943.4500000000007</v>
      </c>
      <c r="T206" s="4">
        <v>13006.4</v>
      </c>
      <c r="U206" s="4">
        <f>IFERROR(tblInventory[[#This Row],[Gross_Profit_30D]]/tblInventory[[#This Row],[Sales_Revenue_30D]],0)</f>
        <v>0.56673137297193665</v>
      </c>
      <c r="V206" s="2">
        <v>15367.15</v>
      </c>
    </row>
    <row r="207" spans="1:22" x14ac:dyDescent="0.3">
      <c r="A207" s="2" t="s">
        <v>32</v>
      </c>
      <c r="B207" s="2" t="s">
        <v>31</v>
      </c>
      <c r="C207" s="2" t="s">
        <v>6</v>
      </c>
      <c r="D207" s="2" t="s">
        <v>132</v>
      </c>
      <c r="E207" s="2" t="s">
        <v>86</v>
      </c>
      <c r="F207" s="2" t="s">
        <v>100</v>
      </c>
      <c r="G207" s="3">
        <v>121</v>
      </c>
      <c r="H207" s="4">
        <v>1987.1</v>
      </c>
      <c r="I207" s="4">
        <v>3281.18</v>
      </c>
      <c r="J207" s="3">
        <v>64</v>
      </c>
      <c r="K207" s="3">
        <f>tblInventory[[#This Row],[Qty_On_Hand]]*tblInventory[[#This Row],[Unit_Cost]]</f>
        <v>127174.39999999999</v>
      </c>
      <c r="L207" s="3">
        <v>88</v>
      </c>
      <c r="M207" s="3">
        <f>IF(tblInventory[[#This Row],[Qty_On_Hand]]&lt;=tblInventory[[#This Row],[Reorder_Level]],1,0)</f>
        <v>1</v>
      </c>
      <c r="N207" s="3">
        <v>131</v>
      </c>
      <c r="O207" s="3" t="s">
        <v>110</v>
      </c>
      <c r="P207" s="2">
        <v>147</v>
      </c>
      <c r="Q207" s="6" t="s">
        <v>3</v>
      </c>
      <c r="R207" s="4">
        <v>482333.46</v>
      </c>
      <c r="S207" s="4">
        <v>292103.7</v>
      </c>
      <c r="T207" s="4">
        <v>190229.76000000001</v>
      </c>
      <c r="U207" s="4">
        <f>IFERROR(tblInventory[[#This Row],[Gross_Profit_30D]]/tblInventory[[#This Row],[Sales_Revenue_30D]],0)</f>
        <v>0.39439469946787437</v>
      </c>
      <c r="V207" s="2">
        <v>127174.39999999999</v>
      </c>
    </row>
    <row r="208" spans="1:22" x14ac:dyDescent="0.3">
      <c r="A208" s="2" t="s">
        <v>432</v>
      </c>
      <c r="B208" s="2" t="s">
        <v>211</v>
      </c>
      <c r="C208" s="2" t="s">
        <v>2</v>
      </c>
      <c r="D208" s="2" t="s">
        <v>132</v>
      </c>
      <c r="E208" s="2" t="s">
        <v>67</v>
      </c>
      <c r="F208" s="2" t="s">
        <v>299</v>
      </c>
      <c r="G208" s="3">
        <v>388</v>
      </c>
      <c r="H208" s="4">
        <v>457.66</v>
      </c>
      <c r="I208" s="4">
        <v>801.25</v>
      </c>
      <c r="J208" s="3">
        <v>266</v>
      </c>
      <c r="K208" s="3">
        <f>tblInventory[[#This Row],[Qty_On_Hand]]*tblInventory[[#This Row],[Unit_Cost]]</f>
        <v>121737.56000000001</v>
      </c>
      <c r="L208" s="3">
        <v>22</v>
      </c>
      <c r="M208" s="3">
        <f>IF(tblInventory[[#This Row],[Qty_On_Hand]]&lt;=tblInventory[[#This Row],[Reorder_Level]],1,0)</f>
        <v>0</v>
      </c>
      <c r="N208" s="3">
        <v>192</v>
      </c>
      <c r="O208" s="3" t="s">
        <v>168</v>
      </c>
      <c r="P208" s="2">
        <v>44</v>
      </c>
      <c r="Q208" s="7" t="s">
        <v>1</v>
      </c>
      <c r="R208" s="4">
        <v>35255</v>
      </c>
      <c r="S208" s="4">
        <v>20137.04</v>
      </c>
      <c r="T208" s="4">
        <v>15117.96</v>
      </c>
      <c r="U208" s="4">
        <f>IFERROR(tblInventory[[#This Row],[Gross_Profit_30D]]/tblInventory[[#This Row],[Sales_Revenue_30D]],0)</f>
        <v>0.42881747269890791</v>
      </c>
      <c r="V208" s="2">
        <v>121737.56</v>
      </c>
    </row>
    <row r="209" spans="1:22" x14ac:dyDescent="0.3">
      <c r="A209" s="2" t="s">
        <v>433</v>
      </c>
      <c r="B209" s="2" t="s">
        <v>196</v>
      </c>
      <c r="C209" s="2" t="s">
        <v>7</v>
      </c>
      <c r="D209" s="2" t="s">
        <v>108</v>
      </c>
      <c r="E209" s="2" t="s">
        <v>78</v>
      </c>
      <c r="F209" s="2" t="s">
        <v>430</v>
      </c>
      <c r="G209" s="3">
        <v>393</v>
      </c>
      <c r="H209" s="4">
        <v>1575.89</v>
      </c>
      <c r="I209" s="4">
        <v>2802.09</v>
      </c>
      <c r="J209" s="3">
        <v>195</v>
      </c>
      <c r="K209" s="3">
        <f>tblInventory[[#This Row],[Qty_On_Hand]]*tblInventory[[#This Row],[Unit_Cost]]</f>
        <v>307298.55000000005</v>
      </c>
      <c r="L209" s="3">
        <v>68</v>
      </c>
      <c r="M209" s="3">
        <f>IF(tblInventory[[#This Row],[Qty_On_Hand]]&lt;=tblInventory[[#This Row],[Reorder_Level]],1,0)</f>
        <v>0</v>
      </c>
      <c r="N209" s="3">
        <v>154</v>
      </c>
      <c r="O209" s="3" t="s">
        <v>118</v>
      </c>
      <c r="P209" s="2">
        <v>38</v>
      </c>
      <c r="Q209" s="7" t="s">
        <v>1</v>
      </c>
      <c r="R209" s="4">
        <v>106479.42</v>
      </c>
      <c r="S209" s="4">
        <v>59883.82</v>
      </c>
      <c r="T209" s="4">
        <v>46595.6</v>
      </c>
      <c r="U209" s="4">
        <f>IFERROR(tblInventory[[#This Row],[Gross_Profit_30D]]/tblInventory[[#This Row],[Sales_Revenue_30D]],0)</f>
        <v>0.43760193284298504</v>
      </c>
      <c r="V209" s="2">
        <v>307298.55</v>
      </c>
    </row>
    <row r="210" spans="1:22" x14ac:dyDescent="0.3">
      <c r="A210" s="2" t="s">
        <v>434</v>
      </c>
      <c r="B210" s="2" t="s">
        <v>99</v>
      </c>
      <c r="C210" s="2" t="s">
        <v>0</v>
      </c>
      <c r="D210" s="2" t="s">
        <v>96</v>
      </c>
      <c r="E210" s="2" t="s">
        <v>86</v>
      </c>
      <c r="F210" s="2" t="s">
        <v>226</v>
      </c>
      <c r="G210" s="3">
        <v>484</v>
      </c>
      <c r="H210" s="4">
        <v>615.46</v>
      </c>
      <c r="I210" s="4">
        <v>1453.33</v>
      </c>
      <c r="J210" s="3">
        <v>115</v>
      </c>
      <c r="K210" s="3">
        <f>tblInventory[[#This Row],[Qty_On_Hand]]*tblInventory[[#This Row],[Unit_Cost]]</f>
        <v>70777.900000000009</v>
      </c>
      <c r="L210" s="3">
        <v>74</v>
      </c>
      <c r="M210" s="3">
        <f>IF(tblInventory[[#This Row],[Qty_On_Hand]]&lt;=tblInventory[[#This Row],[Reorder_Level]],1,0)</f>
        <v>0</v>
      </c>
      <c r="N210" s="3">
        <v>284</v>
      </c>
      <c r="O210" s="3" t="s">
        <v>69</v>
      </c>
      <c r="P210" s="2">
        <v>14</v>
      </c>
      <c r="Q210" s="7" t="s">
        <v>1</v>
      </c>
      <c r="R210" s="4">
        <v>20346.62</v>
      </c>
      <c r="S210" s="4">
        <v>8616.44</v>
      </c>
      <c r="T210" s="4">
        <v>11730.18</v>
      </c>
      <c r="U210" s="4">
        <f>IFERROR(tblInventory[[#This Row],[Gross_Profit_30D]]/tblInventory[[#This Row],[Sales_Revenue_30D]],0)</f>
        <v>0.57651737733343433</v>
      </c>
      <c r="V210" s="2">
        <v>70777.899999999994</v>
      </c>
    </row>
    <row r="211" spans="1:22" x14ac:dyDescent="0.3">
      <c r="A211" s="2" t="s">
        <v>435</v>
      </c>
      <c r="B211" s="2" t="s">
        <v>279</v>
      </c>
      <c r="C211" s="2" t="s">
        <v>2</v>
      </c>
      <c r="D211" s="2" t="s">
        <v>128</v>
      </c>
      <c r="E211" s="2" t="s">
        <v>86</v>
      </c>
      <c r="F211" s="2" t="s">
        <v>436</v>
      </c>
      <c r="G211" s="3">
        <v>248</v>
      </c>
      <c r="H211" s="4">
        <v>524.89</v>
      </c>
      <c r="I211" s="4">
        <v>942.38</v>
      </c>
      <c r="J211" s="3">
        <v>62</v>
      </c>
      <c r="K211" s="3">
        <f>tblInventory[[#This Row],[Qty_On_Hand]]*tblInventory[[#This Row],[Unit_Cost]]</f>
        <v>32543.18</v>
      </c>
      <c r="L211" s="3">
        <v>25</v>
      </c>
      <c r="M211" s="3">
        <f>IF(tblInventory[[#This Row],[Qty_On_Hand]]&lt;=tblInventory[[#This Row],[Reorder_Level]],1,0)</f>
        <v>0</v>
      </c>
      <c r="N211" s="3">
        <v>286</v>
      </c>
      <c r="O211" s="3" t="s">
        <v>168</v>
      </c>
      <c r="P211" s="2">
        <v>115</v>
      </c>
      <c r="Q211" s="7" t="s">
        <v>1</v>
      </c>
      <c r="R211" s="4">
        <v>108373.7</v>
      </c>
      <c r="S211" s="4">
        <v>60362.35</v>
      </c>
      <c r="T211" s="4">
        <v>48011.35</v>
      </c>
      <c r="U211" s="4">
        <f>IFERROR(tblInventory[[#This Row],[Gross_Profit_30D]]/tblInventory[[#This Row],[Sales_Revenue_30D]],0)</f>
        <v>0.44301661750037141</v>
      </c>
      <c r="V211" s="2">
        <v>32543.18</v>
      </c>
    </row>
    <row r="212" spans="1:22" x14ac:dyDescent="0.3">
      <c r="A212" s="2" t="s">
        <v>35</v>
      </c>
      <c r="B212" s="2" t="s">
        <v>12</v>
      </c>
      <c r="C212" s="2" t="s">
        <v>0</v>
      </c>
      <c r="D212" s="2" t="s">
        <v>132</v>
      </c>
      <c r="E212" s="2" t="s">
        <v>78</v>
      </c>
      <c r="F212" s="2" t="s">
        <v>217</v>
      </c>
      <c r="G212" s="3">
        <v>394</v>
      </c>
      <c r="H212" s="4">
        <v>1213.79</v>
      </c>
      <c r="I212" s="4">
        <v>3168.51</v>
      </c>
      <c r="J212" s="3">
        <v>309</v>
      </c>
      <c r="K212" s="3">
        <f>tblInventory[[#This Row],[Qty_On_Hand]]*tblInventory[[#This Row],[Unit_Cost]]</f>
        <v>375061.11</v>
      </c>
      <c r="L212" s="3">
        <v>39</v>
      </c>
      <c r="M212" s="3">
        <f>IF(tblInventory[[#This Row],[Qty_On_Hand]]&lt;=tblInventory[[#This Row],[Reorder_Level]],1,0)</f>
        <v>0</v>
      </c>
      <c r="N212" s="3">
        <v>255</v>
      </c>
      <c r="O212" s="3" t="s">
        <v>140</v>
      </c>
      <c r="P212" s="2">
        <v>150</v>
      </c>
      <c r="Q212" s="7" t="s">
        <v>1</v>
      </c>
      <c r="R212" s="4">
        <v>475276.5</v>
      </c>
      <c r="S212" s="4">
        <v>182068.5</v>
      </c>
      <c r="T212" s="4">
        <v>293208</v>
      </c>
      <c r="U212" s="4">
        <f>IFERROR(tblInventory[[#This Row],[Gross_Profit_30D]]/tblInventory[[#This Row],[Sales_Revenue_30D]],0)</f>
        <v>0.61692088710466431</v>
      </c>
      <c r="V212" s="2">
        <v>375061.11</v>
      </c>
    </row>
    <row r="213" spans="1:22" x14ac:dyDescent="0.3">
      <c r="A213" s="2" t="s">
        <v>437</v>
      </c>
      <c r="B213" s="2" t="s">
        <v>146</v>
      </c>
      <c r="C213" s="2" t="s">
        <v>7</v>
      </c>
      <c r="D213" s="2" t="s">
        <v>132</v>
      </c>
      <c r="E213" s="2" t="s">
        <v>91</v>
      </c>
      <c r="F213" s="2" t="s">
        <v>406</v>
      </c>
      <c r="G213" s="3">
        <v>205</v>
      </c>
      <c r="H213" s="4">
        <v>439.38</v>
      </c>
      <c r="I213" s="4">
        <v>696.43</v>
      </c>
      <c r="J213" s="3">
        <v>3</v>
      </c>
      <c r="K213" s="3">
        <f>tblInventory[[#This Row],[Qty_On_Hand]]*tblInventory[[#This Row],[Unit_Cost]]</f>
        <v>1318.1399999999999</v>
      </c>
      <c r="L213" s="3">
        <v>30</v>
      </c>
      <c r="M213" s="3">
        <f>IF(tblInventory[[#This Row],[Qty_On_Hand]]&lt;=tblInventory[[#This Row],[Reorder_Level]],1,0)</f>
        <v>1</v>
      </c>
      <c r="N213" s="3">
        <v>241</v>
      </c>
      <c r="O213" s="3" t="s">
        <v>182</v>
      </c>
      <c r="P213" s="2">
        <v>122</v>
      </c>
      <c r="Q213" s="6" t="s">
        <v>3</v>
      </c>
      <c r="R213" s="4">
        <v>84964.46</v>
      </c>
      <c r="S213" s="4">
        <v>53604.36</v>
      </c>
      <c r="T213" s="4">
        <v>31360.1</v>
      </c>
      <c r="U213" s="4">
        <f>IFERROR(tblInventory[[#This Row],[Gross_Profit_30D]]/tblInventory[[#This Row],[Sales_Revenue_30D]],0)</f>
        <v>0.36909667877604352</v>
      </c>
      <c r="V213" s="2">
        <v>1318.14</v>
      </c>
    </row>
    <row r="214" spans="1:22" x14ac:dyDescent="0.3">
      <c r="A214" s="2" t="s">
        <v>438</v>
      </c>
      <c r="B214" s="2" t="s">
        <v>228</v>
      </c>
      <c r="C214" s="2" t="s">
        <v>4</v>
      </c>
      <c r="D214" s="2" t="s">
        <v>132</v>
      </c>
      <c r="E214" s="2" t="s">
        <v>91</v>
      </c>
      <c r="F214" s="2" t="s">
        <v>424</v>
      </c>
      <c r="G214" s="3">
        <v>332</v>
      </c>
      <c r="H214" s="4">
        <v>1555.52</v>
      </c>
      <c r="I214" s="4">
        <v>2910.37</v>
      </c>
      <c r="J214" s="3">
        <v>164</v>
      </c>
      <c r="K214" s="3">
        <f>tblInventory[[#This Row],[Qty_On_Hand]]*tblInventory[[#This Row],[Unit_Cost]]</f>
        <v>255105.28</v>
      </c>
      <c r="L214" s="3">
        <v>83</v>
      </c>
      <c r="M214" s="3">
        <f>IF(tblInventory[[#This Row],[Qty_On_Hand]]&lt;=tblInventory[[#This Row],[Reorder_Level]],1,0)</f>
        <v>0</v>
      </c>
      <c r="N214" s="3">
        <v>216</v>
      </c>
      <c r="O214" s="3" t="s">
        <v>69</v>
      </c>
      <c r="P214" s="2">
        <v>91</v>
      </c>
      <c r="Q214" s="7" t="s">
        <v>1</v>
      </c>
      <c r="R214" s="4">
        <v>264843.67</v>
      </c>
      <c r="S214" s="4">
        <v>141552.32000000001</v>
      </c>
      <c r="T214" s="4">
        <v>123291.35</v>
      </c>
      <c r="U214" s="4">
        <f>IFERROR(tblInventory[[#This Row],[Gross_Profit_30D]]/tblInventory[[#This Row],[Sales_Revenue_30D]],0)</f>
        <v>0.46552500197569385</v>
      </c>
      <c r="V214" s="2">
        <v>255105.28</v>
      </c>
    </row>
    <row r="215" spans="1:22" x14ac:dyDescent="0.3">
      <c r="A215" s="2" t="s">
        <v>439</v>
      </c>
      <c r="B215" s="2" t="s">
        <v>164</v>
      </c>
      <c r="C215" s="2" t="s">
        <v>0</v>
      </c>
      <c r="D215" s="2" t="s">
        <v>81</v>
      </c>
      <c r="E215" s="2" t="s">
        <v>86</v>
      </c>
      <c r="F215" s="2" t="s">
        <v>299</v>
      </c>
      <c r="G215" s="3">
        <v>288</v>
      </c>
      <c r="H215" s="4">
        <v>1609.58</v>
      </c>
      <c r="I215" s="4">
        <v>3836.63</v>
      </c>
      <c r="J215" s="3">
        <v>50</v>
      </c>
      <c r="K215" s="3">
        <f>tblInventory[[#This Row],[Qty_On_Hand]]*tblInventory[[#This Row],[Unit_Cost]]</f>
        <v>80479</v>
      </c>
      <c r="L215" s="3">
        <v>55</v>
      </c>
      <c r="M215" s="3">
        <f>IF(tblInventory[[#This Row],[Qty_On_Hand]]&lt;=tblInventory[[#This Row],[Reorder_Level]],1,0)</f>
        <v>1</v>
      </c>
      <c r="N215" s="3">
        <v>284</v>
      </c>
      <c r="O215" s="3" t="s">
        <v>137</v>
      </c>
      <c r="P215" s="2">
        <v>52</v>
      </c>
      <c r="Q215" s="6" t="s">
        <v>3</v>
      </c>
      <c r="R215" s="4">
        <v>199504.76</v>
      </c>
      <c r="S215" s="4">
        <v>83698.16</v>
      </c>
      <c r="T215" s="4">
        <v>115806.6</v>
      </c>
      <c r="U215" s="4">
        <f>IFERROR(tblInventory[[#This Row],[Gross_Profit_30D]]/tblInventory[[#This Row],[Sales_Revenue_30D]],0)</f>
        <v>0.58047036070718316</v>
      </c>
      <c r="V215" s="2">
        <v>80479</v>
      </c>
    </row>
    <row r="216" spans="1:22" x14ac:dyDescent="0.3">
      <c r="A216" s="2" t="s">
        <v>440</v>
      </c>
      <c r="B216" s="2" t="s">
        <v>18</v>
      </c>
      <c r="C216" s="2" t="s">
        <v>0</v>
      </c>
      <c r="D216" s="2" t="s">
        <v>128</v>
      </c>
      <c r="E216" s="2" t="s">
        <v>78</v>
      </c>
      <c r="F216" s="2" t="s">
        <v>251</v>
      </c>
      <c r="G216" s="3">
        <v>429</v>
      </c>
      <c r="H216" s="4">
        <v>52.12</v>
      </c>
      <c r="I216" s="4">
        <v>111.01</v>
      </c>
      <c r="J216" s="3">
        <v>74</v>
      </c>
      <c r="K216" s="3">
        <f>tblInventory[[#This Row],[Qty_On_Hand]]*tblInventory[[#This Row],[Unit_Cost]]</f>
        <v>3856.8799999999997</v>
      </c>
      <c r="L216" s="3">
        <v>89</v>
      </c>
      <c r="M216" s="3">
        <f>IF(tblInventory[[#This Row],[Qty_On_Hand]]&lt;=tblInventory[[#This Row],[Reorder_Level]],1,0)</f>
        <v>1</v>
      </c>
      <c r="N216" s="3">
        <v>198</v>
      </c>
      <c r="O216" s="3" t="s">
        <v>69</v>
      </c>
      <c r="P216" s="2">
        <v>106</v>
      </c>
      <c r="Q216" s="6" t="s">
        <v>3</v>
      </c>
      <c r="R216" s="4">
        <v>11767.06</v>
      </c>
      <c r="S216" s="4">
        <v>5524.72</v>
      </c>
      <c r="T216" s="4">
        <v>6242.34</v>
      </c>
      <c r="U216" s="4">
        <f>IFERROR(tblInventory[[#This Row],[Gross_Profit_30D]]/tblInventory[[#This Row],[Sales_Revenue_30D]],0)</f>
        <v>0.53049274840104499</v>
      </c>
      <c r="V216" s="2">
        <v>3856.88</v>
      </c>
    </row>
    <row r="217" spans="1:22" x14ac:dyDescent="0.3">
      <c r="A217" s="2" t="s">
        <v>441</v>
      </c>
      <c r="B217" s="2" t="s">
        <v>310</v>
      </c>
      <c r="C217" s="2" t="s">
        <v>0</v>
      </c>
      <c r="D217" s="2" t="s">
        <v>132</v>
      </c>
      <c r="E217" s="2" t="s">
        <v>67</v>
      </c>
      <c r="F217" s="2" t="s">
        <v>74</v>
      </c>
      <c r="G217" s="3">
        <v>341</v>
      </c>
      <c r="H217" s="4">
        <v>1008.62</v>
      </c>
      <c r="I217" s="4">
        <v>2301.58</v>
      </c>
      <c r="J217" s="3">
        <v>125</v>
      </c>
      <c r="K217" s="3">
        <f>tblInventory[[#This Row],[Qty_On_Hand]]*tblInventory[[#This Row],[Unit_Cost]]</f>
        <v>126077.5</v>
      </c>
      <c r="L217" s="3">
        <v>58</v>
      </c>
      <c r="M217" s="3">
        <f>IF(tblInventory[[#This Row],[Qty_On_Hand]]&lt;=tblInventory[[#This Row],[Reorder_Level]],1,0)</f>
        <v>0</v>
      </c>
      <c r="N217" s="3">
        <v>115</v>
      </c>
      <c r="O217" s="3" t="s">
        <v>140</v>
      </c>
      <c r="P217" s="2">
        <v>125</v>
      </c>
      <c r="Q217" s="7" t="s">
        <v>1</v>
      </c>
      <c r="R217" s="4">
        <v>287697.5</v>
      </c>
      <c r="S217" s="4">
        <v>126077.5</v>
      </c>
      <c r="T217" s="4">
        <v>161620</v>
      </c>
      <c r="U217" s="4">
        <f>IFERROR(tblInventory[[#This Row],[Gross_Profit_30D]]/tblInventory[[#This Row],[Sales_Revenue_30D]],0)</f>
        <v>0.5617706097550379</v>
      </c>
      <c r="V217" s="2">
        <v>126077.5</v>
      </c>
    </row>
    <row r="218" spans="1:22" x14ac:dyDescent="0.3">
      <c r="A218" s="2" t="s">
        <v>442</v>
      </c>
      <c r="B218" s="2" t="s">
        <v>322</v>
      </c>
      <c r="C218" s="2" t="s">
        <v>7</v>
      </c>
      <c r="D218" s="2" t="s">
        <v>108</v>
      </c>
      <c r="E218" s="2" t="s">
        <v>73</v>
      </c>
      <c r="F218" s="2" t="s">
        <v>390</v>
      </c>
      <c r="G218" s="3">
        <v>136</v>
      </c>
      <c r="H218" s="4">
        <v>1446.22</v>
      </c>
      <c r="I218" s="4">
        <v>2939.41</v>
      </c>
      <c r="J218" s="3">
        <v>35</v>
      </c>
      <c r="K218" s="3">
        <f>tblInventory[[#This Row],[Qty_On_Hand]]*tblInventory[[#This Row],[Unit_Cost]]</f>
        <v>50617.700000000004</v>
      </c>
      <c r="L218" s="3">
        <v>84</v>
      </c>
      <c r="M218" s="3">
        <f>IF(tblInventory[[#This Row],[Qty_On_Hand]]&lt;=tblInventory[[#This Row],[Reorder_Level]],1,0)</f>
        <v>1</v>
      </c>
      <c r="N218" s="3">
        <v>214</v>
      </c>
      <c r="O218" s="3" t="s">
        <v>93</v>
      </c>
      <c r="P218" s="2">
        <v>15</v>
      </c>
      <c r="Q218" s="6" t="s">
        <v>3</v>
      </c>
      <c r="R218" s="4">
        <v>44091.15</v>
      </c>
      <c r="S218" s="4">
        <v>21693.3</v>
      </c>
      <c r="T218" s="4">
        <v>22397.85</v>
      </c>
      <c r="U218" s="4">
        <f>IFERROR(tblInventory[[#This Row],[Gross_Profit_30D]]/tblInventory[[#This Row],[Sales_Revenue_30D]],0)</f>
        <v>0.50798969861298693</v>
      </c>
      <c r="V218" s="2">
        <v>50617.7</v>
      </c>
    </row>
    <row r="219" spans="1:22" x14ac:dyDescent="0.3">
      <c r="A219" s="2" t="s">
        <v>443</v>
      </c>
      <c r="B219" s="2" t="s">
        <v>38</v>
      </c>
      <c r="C219" s="2" t="s">
        <v>2</v>
      </c>
      <c r="D219" s="2" t="s">
        <v>72</v>
      </c>
      <c r="E219" s="2" t="s">
        <v>78</v>
      </c>
      <c r="F219" s="2" t="s">
        <v>79</v>
      </c>
      <c r="G219" s="3">
        <v>261</v>
      </c>
      <c r="H219" s="4">
        <v>1688.24</v>
      </c>
      <c r="I219" s="4">
        <v>2780.78</v>
      </c>
      <c r="J219" s="3">
        <v>70</v>
      </c>
      <c r="K219" s="3">
        <f>tblInventory[[#This Row],[Qty_On_Hand]]*tblInventory[[#This Row],[Unit_Cost]]</f>
        <v>118176.8</v>
      </c>
      <c r="L219" s="3">
        <v>34</v>
      </c>
      <c r="M219" s="3">
        <f>IF(tblInventory[[#This Row],[Qty_On_Hand]]&lt;=tblInventory[[#This Row],[Reorder_Level]],1,0)</f>
        <v>0</v>
      </c>
      <c r="N219" s="3">
        <v>52</v>
      </c>
      <c r="O219" s="3" t="s">
        <v>201</v>
      </c>
      <c r="P219" s="2">
        <v>55</v>
      </c>
      <c r="Q219" s="7" t="s">
        <v>1</v>
      </c>
      <c r="R219" s="4">
        <v>152942.9</v>
      </c>
      <c r="S219" s="4">
        <v>92853.2</v>
      </c>
      <c r="T219" s="4">
        <v>60089.7</v>
      </c>
      <c r="U219" s="4">
        <f>IFERROR(tblInventory[[#This Row],[Gross_Profit_30D]]/tblInventory[[#This Row],[Sales_Revenue_30D]],0)</f>
        <v>0.39288976474226656</v>
      </c>
      <c r="V219" s="2">
        <v>118176.8</v>
      </c>
    </row>
    <row r="220" spans="1:22" x14ac:dyDescent="0.3">
      <c r="A220" s="2" t="s">
        <v>21</v>
      </c>
      <c r="B220" s="2" t="s">
        <v>16</v>
      </c>
      <c r="C220" s="2" t="s">
        <v>2</v>
      </c>
      <c r="D220" s="2" t="s">
        <v>81</v>
      </c>
      <c r="E220" s="2" t="s">
        <v>78</v>
      </c>
      <c r="F220" s="2" t="s">
        <v>297</v>
      </c>
      <c r="G220" s="3">
        <v>391</v>
      </c>
      <c r="H220" s="4">
        <v>1827.25</v>
      </c>
      <c r="I220" s="4">
        <v>4182.4399999999996</v>
      </c>
      <c r="J220" s="3">
        <v>315</v>
      </c>
      <c r="K220" s="3">
        <f>tblInventory[[#This Row],[Qty_On_Hand]]*tblInventory[[#This Row],[Unit_Cost]]</f>
        <v>575583.75</v>
      </c>
      <c r="L220" s="3">
        <v>17</v>
      </c>
      <c r="M220" s="3">
        <f>IF(tblInventory[[#This Row],[Qty_On_Hand]]&lt;=tblInventory[[#This Row],[Reorder_Level]],1,0)</f>
        <v>0</v>
      </c>
      <c r="N220" s="3">
        <v>51</v>
      </c>
      <c r="O220" s="3" t="s">
        <v>118</v>
      </c>
      <c r="P220" s="2">
        <v>136</v>
      </c>
      <c r="Q220" s="7" t="s">
        <v>1</v>
      </c>
      <c r="R220" s="4">
        <v>568811.84</v>
      </c>
      <c r="S220" s="4">
        <v>248506</v>
      </c>
      <c r="T220" s="4">
        <v>320305.84000000003</v>
      </c>
      <c r="U220" s="4">
        <f>IFERROR(tblInventory[[#This Row],[Gross_Profit_30D]]/tblInventory[[#This Row],[Sales_Revenue_30D]],0)</f>
        <v>0.56311387611059582</v>
      </c>
      <c r="V220" s="2">
        <v>575583.75</v>
      </c>
    </row>
    <row r="221" spans="1:22" x14ac:dyDescent="0.3">
      <c r="A221" s="2" t="s">
        <v>444</v>
      </c>
      <c r="B221" s="2" t="s">
        <v>279</v>
      </c>
      <c r="C221" s="2" t="s">
        <v>2</v>
      </c>
      <c r="D221" s="2" t="s">
        <v>66</v>
      </c>
      <c r="E221" s="2" t="s">
        <v>78</v>
      </c>
      <c r="F221" s="2" t="s">
        <v>436</v>
      </c>
      <c r="G221" s="3">
        <v>324</v>
      </c>
      <c r="H221" s="4">
        <v>53.94</v>
      </c>
      <c r="I221" s="4">
        <v>135.91</v>
      </c>
      <c r="J221" s="3">
        <v>146</v>
      </c>
      <c r="K221" s="3">
        <f>tblInventory[[#This Row],[Qty_On_Hand]]*tblInventory[[#This Row],[Unit_Cost]]</f>
        <v>7875.24</v>
      </c>
      <c r="L221" s="3">
        <v>70</v>
      </c>
      <c r="M221" s="3">
        <f>IF(tblInventory[[#This Row],[Qty_On_Hand]]&lt;=tblInventory[[#This Row],[Reorder_Level]],1,0)</f>
        <v>0</v>
      </c>
      <c r="N221" s="3">
        <v>256</v>
      </c>
      <c r="O221" s="3" t="s">
        <v>83</v>
      </c>
      <c r="P221" s="2">
        <v>45</v>
      </c>
      <c r="Q221" s="7" t="s">
        <v>1</v>
      </c>
      <c r="R221" s="4">
        <v>6115.95</v>
      </c>
      <c r="S221" s="4">
        <v>2427.3000000000002</v>
      </c>
      <c r="T221" s="4">
        <v>3688.65</v>
      </c>
      <c r="U221" s="4">
        <f>IFERROR(tblInventory[[#This Row],[Gross_Profit_30D]]/tblInventory[[#This Row],[Sales_Revenue_30D]],0)</f>
        <v>0.6031197115738357</v>
      </c>
      <c r="V221" s="2">
        <v>7875.24</v>
      </c>
    </row>
    <row r="222" spans="1:22" x14ac:dyDescent="0.3">
      <c r="A222" s="2" t="s">
        <v>445</v>
      </c>
      <c r="B222" s="2" t="s">
        <v>175</v>
      </c>
      <c r="C222" s="2" t="s">
        <v>8</v>
      </c>
      <c r="D222" s="2" t="s">
        <v>96</v>
      </c>
      <c r="E222" s="2" t="s">
        <v>73</v>
      </c>
      <c r="F222" s="2" t="s">
        <v>87</v>
      </c>
      <c r="G222" s="3">
        <v>319</v>
      </c>
      <c r="H222" s="4">
        <v>1634.12</v>
      </c>
      <c r="I222" s="4">
        <v>2779.62</v>
      </c>
      <c r="J222" s="3">
        <v>129</v>
      </c>
      <c r="K222" s="3">
        <f>tblInventory[[#This Row],[Qty_On_Hand]]*tblInventory[[#This Row],[Unit_Cost]]</f>
        <v>210801.47999999998</v>
      </c>
      <c r="L222" s="3">
        <v>65</v>
      </c>
      <c r="M222" s="3">
        <f>IF(tblInventory[[#This Row],[Qty_On_Hand]]&lt;=tblInventory[[#This Row],[Reorder_Level]],1,0)</f>
        <v>0</v>
      </c>
      <c r="N222" s="3">
        <v>70</v>
      </c>
      <c r="O222" s="3" t="s">
        <v>252</v>
      </c>
      <c r="P222" s="2">
        <v>95</v>
      </c>
      <c r="Q222" s="7" t="s">
        <v>1</v>
      </c>
      <c r="R222" s="4">
        <v>264063.90000000002</v>
      </c>
      <c r="S222" s="4">
        <v>155241.4</v>
      </c>
      <c r="T222" s="4">
        <v>108822.5</v>
      </c>
      <c r="U222" s="4">
        <f>IFERROR(tblInventory[[#This Row],[Gross_Profit_30D]]/tblInventory[[#This Row],[Sales_Revenue_30D]],0)</f>
        <v>0.41210669084263313</v>
      </c>
      <c r="V222" s="2">
        <v>210801.48</v>
      </c>
    </row>
    <row r="223" spans="1:22" x14ac:dyDescent="0.3">
      <c r="A223" s="2" t="s">
        <v>446</v>
      </c>
      <c r="B223" s="2" t="s">
        <v>31</v>
      </c>
      <c r="C223" s="2" t="s">
        <v>6</v>
      </c>
      <c r="D223" s="2" t="s">
        <v>132</v>
      </c>
      <c r="E223" s="2" t="s">
        <v>73</v>
      </c>
      <c r="F223" s="2" t="s">
        <v>447</v>
      </c>
      <c r="G223" s="3">
        <v>473</v>
      </c>
      <c r="H223" s="4">
        <v>179.62</v>
      </c>
      <c r="I223" s="4">
        <v>500.69</v>
      </c>
      <c r="J223" s="3">
        <v>434</v>
      </c>
      <c r="K223" s="3">
        <f>tblInventory[[#This Row],[Qty_On_Hand]]*tblInventory[[#This Row],[Unit_Cost]]</f>
        <v>77955.08</v>
      </c>
      <c r="L223" s="3">
        <v>98</v>
      </c>
      <c r="M223" s="3">
        <f>IF(tblInventory[[#This Row],[Qty_On_Hand]]&lt;=tblInventory[[#This Row],[Reorder_Level]],1,0)</f>
        <v>0</v>
      </c>
      <c r="N223" s="3">
        <v>244</v>
      </c>
      <c r="O223" s="3" t="s">
        <v>194</v>
      </c>
      <c r="P223" s="2">
        <v>8</v>
      </c>
      <c r="Q223" s="7" t="s">
        <v>1</v>
      </c>
      <c r="R223" s="4">
        <v>4005.52</v>
      </c>
      <c r="S223" s="4">
        <v>1436.96</v>
      </c>
      <c r="T223" s="4">
        <v>2568.56</v>
      </c>
      <c r="U223" s="4">
        <f>IFERROR(tblInventory[[#This Row],[Gross_Profit_30D]]/tblInventory[[#This Row],[Sales_Revenue_30D]],0)</f>
        <v>0.64125506800615151</v>
      </c>
      <c r="V223" s="2">
        <v>77955.08</v>
      </c>
    </row>
    <row r="224" spans="1:22" x14ac:dyDescent="0.3">
      <c r="A224" s="2" t="s">
        <v>448</v>
      </c>
      <c r="B224" s="2" t="s">
        <v>90</v>
      </c>
      <c r="C224" s="2" t="s">
        <v>8</v>
      </c>
      <c r="D224" s="2" t="s">
        <v>128</v>
      </c>
      <c r="E224" s="2" t="s">
        <v>91</v>
      </c>
      <c r="F224" s="2" t="s">
        <v>200</v>
      </c>
      <c r="G224" s="3">
        <v>78</v>
      </c>
      <c r="H224" s="4">
        <v>1411.63</v>
      </c>
      <c r="I224" s="4">
        <v>2010.2</v>
      </c>
      <c r="J224" s="3">
        <v>1</v>
      </c>
      <c r="K224" s="3">
        <f>tblInventory[[#This Row],[Qty_On_Hand]]*tblInventory[[#This Row],[Unit_Cost]]</f>
        <v>1411.63</v>
      </c>
      <c r="L224" s="3">
        <v>70</v>
      </c>
      <c r="M224" s="3">
        <f>IF(tblInventory[[#This Row],[Qty_On_Hand]]&lt;=tblInventory[[#This Row],[Reorder_Level]],1,0)</f>
        <v>1</v>
      </c>
      <c r="N224" s="3">
        <v>215</v>
      </c>
      <c r="O224" s="3" t="s">
        <v>137</v>
      </c>
      <c r="P224" s="2">
        <v>84</v>
      </c>
      <c r="Q224" s="6" t="s">
        <v>3</v>
      </c>
      <c r="R224" s="4">
        <v>168856.8</v>
      </c>
      <c r="S224" s="4">
        <v>118576.92</v>
      </c>
      <c r="T224" s="4">
        <v>50279.88</v>
      </c>
      <c r="U224" s="4">
        <f>IFERROR(tblInventory[[#This Row],[Gross_Profit_30D]]/tblInventory[[#This Row],[Sales_Revenue_30D]],0)</f>
        <v>0.29776639140384042</v>
      </c>
      <c r="V224" s="2">
        <v>1411.63</v>
      </c>
    </row>
    <row r="225" spans="1:22" x14ac:dyDescent="0.3">
      <c r="A225" s="2" t="s">
        <v>449</v>
      </c>
      <c r="B225" s="2" t="s">
        <v>124</v>
      </c>
      <c r="C225" s="2" t="s">
        <v>2</v>
      </c>
      <c r="D225" s="2" t="s">
        <v>66</v>
      </c>
      <c r="E225" s="2" t="s">
        <v>73</v>
      </c>
      <c r="F225" s="2" t="s">
        <v>100</v>
      </c>
      <c r="G225" s="3">
        <v>340</v>
      </c>
      <c r="H225" s="4">
        <v>556.77</v>
      </c>
      <c r="I225" s="4">
        <v>1495.62</v>
      </c>
      <c r="J225" s="3">
        <v>243</v>
      </c>
      <c r="K225" s="3">
        <f>tblInventory[[#This Row],[Qty_On_Hand]]*tblInventory[[#This Row],[Unit_Cost]]</f>
        <v>135295.10999999999</v>
      </c>
      <c r="L225" s="3">
        <v>50</v>
      </c>
      <c r="M225" s="3">
        <f>IF(tblInventory[[#This Row],[Qty_On_Hand]]&lt;=tblInventory[[#This Row],[Reorder_Level]],1,0)</f>
        <v>0</v>
      </c>
      <c r="N225" s="3">
        <v>280</v>
      </c>
      <c r="O225" s="3" t="s">
        <v>88</v>
      </c>
      <c r="P225" s="2">
        <v>139</v>
      </c>
      <c r="Q225" s="7" t="s">
        <v>1</v>
      </c>
      <c r="R225" s="4">
        <v>207891.18</v>
      </c>
      <c r="S225" s="4">
        <v>77391.03</v>
      </c>
      <c r="T225" s="4">
        <v>130500.15</v>
      </c>
      <c r="U225" s="4">
        <f>IFERROR(tblInventory[[#This Row],[Gross_Profit_30D]]/tblInventory[[#This Row],[Sales_Revenue_30D]],0)</f>
        <v>0.62773298030248326</v>
      </c>
      <c r="V225" s="2">
        <v>135295.10999999999</v>
      </c>
    </row>
    <row r="226" spans="1:22" x14ac:dyDescent="0.3">
      <c r="A226" s="2" t="s">
        <v>450</v>
      </c>
      <c r="B226" s="2" t="s">
        <v>38</v>
      </c>
      <c r="C226" s="2" t="s">
        <v>2</v>
      </c>
      <c r="D226" s="2" t="s">
        <v>96</v>
      </c>
      <c r="E226" s="2" t="s">
        <v>67</v>
      </c>
      <c r="F226" s="2" t="s">
        <v>121</v>
      </c>
      <c r="G226" s="3">
        <v>350</v>
      </c>
      <c r="H226" s="4">
        <v>1509.46</v>
      </c>
      <c r="I226" s="4">
        <v>3576.01</v>
      </c>
      <c r="J226" s="3">
        <v>73</v>
      </c>
      <c r="K226" s="3">
        <f>tblInventory[[#This Row],[Qty_On_Hand]]*tblInventory[[#This Row],[Unit_Cost]]</f>
        <v>110190.58</v>
      </c>
      <c r="L226" s="3">
        <v>65</v>
      </c>
      <c r="M226" s="3">
        <f>IF(tblInventory[[#This Row],[Qty_On_Hand]]&lt;=tblInventory[[#This Row],[Reorder_Level]],1,0)</f>
        <v>0</v>
      </c>
      <c r="N226" s="3">
        <v>287</v>
      </c>
      <c r="O226" s="3" t="s">
        <v>162</v>
      </c>
      <c r="P226" s="2">
        <v>19</v>
      </c>
      <c r="Q226" s="7" t="s">
        <v>1</v>
      </c>
      <c r="R226" s="4">
        <v>67944.19</v>
      </c>
      <c r="S226" s="4">
        <v>28679.74</v>
      </c>
      <c r="T226" s="4">
        <v>39264.449999999997</v>
      </c>
      <c r="U226" s="4">
        <f>IFERROR(tblInventory[[#This Row],[Gross_Profit_30D]]/tblInventory[[#This Row],[Sales_Revenue_30D]],0)</f>
        <v>0.57789267927103105</v>
      </c>
      <c r="V226" s="2">
        <v>110190.58</v>
      </c>
    </row>
    <row r="227" spans="1:22" x14ac:dyDescent="0.3">
      <c r="A227" s="2" t="s">
        <v>451</v>
      </c>
      <c r="B227" s="2" t="s">
        <v>310</v>
      </c>
      <c r="C227" s="2" t="s">
        <v>0</v>
      </c>
      <c r="D227" s="2" t="s">
        <v>132</v>
      </c>
      <c r="E227" s="2" t="s">
        <v>86</v>
      </c>
      <c r="F227" s="2" t="s">
        <v>165</v>
      </c>
      <c r="G227" s="3">
        <v>396</v>
      </c>
      <c r="H227" s="4">
        <v>676.83</v>
      </c>
      <c r="I227" s="4">
        <v>1647.01</v>
      </c>
      <c r="J227" s="3">
        <v>276</v>
      </c>
      <c r="K227" s="3">
        <f>tblInventory[[#This Row],[Qty_On_Hand]]*tblInventory[[#This Row],[Unit_Cost]]</f>
        <v>186805.08000000002</v>
      </c>
      <c r="L227" s="3">
        <v>32</v>
      </c>
      <c r="M227" s="3">
        <f>IF(tblInventory[[#This Row],[Qty_On_Hand]]&lt;=tblInventory[[#This Row],[Reorder_Level]],1,0)</f>
        <v>0</v>
      </c>
      <c r="N227" s="3">
        <v>252</v>
      </c>
      <c r="O227" s="3" t="s">
        <v>140</v>
      </c>
      <c r="P227" s="2">
        <v>20</v>
      </c>
      <c r="Q227" s="7" t="s">
        <v>1</v>
      </c>
      <c r="R227" s="4">
        <v>32940.199999999997</v>
      </c>
      <c r="S227" s="4">
        <v>13536.6</v>
      </c>
      <c r="T227" s="4">
        <v>19403.599999999999</v>
      </c>
      <c r="U227" s="4">
        <f>IFERROR(tblInventory[[#This Row],[Gross_Profit_30D]]/tblInventory[[#This Row],[Sales_Revenue_30D]],0)</f>
        <v>0.58905531842551051</v>
      </c>
      <c r="V227" s="2">
        <v>186805.08</v>
      </c>
    </row>
    <row r="228" spans="1:22" x14ac:dyDescent="0.3">
      <c r="A228" s="2" t="s">
        <v>452</v>
      </c>
      <c r="B228" s="2" t="s">
        <v>211</v>
      </c>
      <c r="C228" s="2" t="s">
        <v>2</v>
      </c>
      <c r="D228" s="2" t="s">
        <v>66</v>
      </c>
      <c r="E228" s="2" t="s">
        <v>78</v>
      </c>
      <c r="F228" s="2" t="s">
        <v>114</v>
      </c>
      <c r="G228" s="3">
        <v>479</v>
      </c>
      <c r="H228" s="4">
        <v>694.37</v>
      </c>
      <c r="I228" s="4">
        <v>1703.64</v>
      </c>
      <c r="J228" s="3">
        <v>38</v>
      </c>
      <c r="K228" s="3">
        <f>tblInventory[[#This Row],[Qty_On_Hand]]*tblInventory[[#This Row],[Unit_Cost]]</f>
        <v>26386.06</v>
      </c>
      <c r="L228" s="3">
        <v>91</v>
      </c>
      <c r="M228" s="3">
        <f>IF(tblInventory[[#This Row],[Qty_On_Hand]]&lt;=tblInventory[[#This Row],[Reorder_Level]],1,0)</f>
        <v>1</v>
      </c>
      <c r="N228" s="3">
        <v>151</v>
      </c>
      <c r="O228" s="3" t="s">
        <v>69</v>
      </c>
      <c r="P228" s="2">
        <v>83</v>
      </c>
      <c r="Q228" s="6" t="s">
        <v>3</v>
      </c>
      <c r="R228" s="4">
        <v>141402.12</v>
      </c>
      <c r="S228" s="4">
        <v>57632.71</v>
      </c>
      <c r="T228" s="4">
        <v>83769.41</v>
      </c>
      <c r="U228" s="4">
        <f>IFERROR(tblInventory[[#This Row],[Gross_Profit_30D]]/tblInventory[[#This Row],[Sales_Revenue_30D]],0)</f>
        <v>0.59241976004320163</v>
      </c>
      <c r="V228" s="2">
        <v>26386.06</v>
      </c>
    </row>
    <row r="229" spans="1:22" x14ac:dyDescent="0.3">
      <c r="A229" s="2" t="s">
        <v>453</v>
      </c>
      <c r="B229" s="2" t="s">
        <v>44</v>
      </c>
      <c r="C229" s="2" t="s">
        <v>8</v>
      </c>
      <c r="D229" s="2" t="s">
        <v>108</v>
      </c>
      <c r="E229" s="2" t="s">
        <v>91</v>
      </c>
      <c r="F229" s="2" t="s">
        <v>74</v>
      </c>
      <c r="G229" s="3">
        <v>333</v>
      </c>
      <c r="H229" s="4">
        <v>875.06</v>
      </c>
      <c r="I229" s="4">
        <v>2029.74</v>
      </c>
      <c r="J229" s="3">
        <v>192</v>
      </c>
      <c r="K229" s="3">
        <f>tblInventory[[#This Row],[Qty_On_Hand]]*tblInventory[[#This Row],[Unit_Cost]]</f>
        <v>168011.51999999999</v>
      </c>
      <c r="L229" s="3">
        <v>99</v>
      </c>
      <c r="M229" s="3">
        <f>IF(tblInventory[[#This Row],[Qty_On_Hand]]&lt;=tblInventory[[#This Row],[Reorder_Level]],1,0)</f>
        <v>0</v>
      </c>
      <c r="N229" s="3">
        <v>147</v>
      </c>
      <c r="O229" s="3" t="s">
        <v>93</v>
      </c>
      <c r="P229" s="2">
        <v>21</v>
      </c>
      <c r="Q229" s="7" t="s">
        <v>1</v>
      </c>
      <c r="R229" s="4">
        <v>42624.54</v>
      </c>
      <c r="S229" s="4">
        <v>18376.259999999998</v>
      </c>
      <c r="T229" s="4">
        <v>24248.28</v>
      </c>
      <c r="U229" s="4">
        <f>IFERROR(tblInventory[[#This Row],[Gross_Profit_30D]]/tblInventory[[#This Row],[Sales_Revenue_30D]],0)</f>
        <v>0.56888074334643846</v>
      </c>
      <c r="V229" s="2">
        <v>168011.51999999999</v>
      </c>
    </row>
    <row r="230" spans="1:22" x14ac:dyDescent="0.3">
      <c r="A230" s="2" t="s">
        <v>454</v>
      </c>
      <c r="B230" s="2" t="s">
        <v>273</v>
      </c>
      <c r="C230" s="2" t="s">
        <v>2</v>
      </c>
      <c r="D230" s="2" t="s">
        <v>132</v>
      </c>
      <c r="E230" s="2" t="s">
        <v>78</v>
      </c>
      <c r="F230" s="2" t="s">
        <v>155</v>
      </c>
      <c r="G230" s="3">
        <v>128</v>
      </c>
      <c r="H230" s="4">
        <v>1429.12</v>
      </c>
      <c r="I230" s="4">
        <v>3216.74</v>
      </c>
      <c r="J230" s="3">
        <v>97</v>
      </c>
      <c r="K230" s="3">
        <f>tblInventory[[#This Row],[Qty_On_Hand]]*tblInventory[[#This Row],[Unit_Cost]]</f>
        <v>138624.63999999998</v>
      </c>
      <c r="L230" s="3">
        <v>64</v>
      </c>
      <c r="M230" s="3">
        <f>IF(tblInventory[[#This Row],[Qty_On_Hand]]&lt;=tblInventory[[#This Row],[Reorder_Level]],1,0)</f>
        <v>0</v>
      </c>
      <c r="N230" s="3">
        <v>131</v>
      </c>
      <c r="O230" s="3" t="s">
        <v>83</v>
      </c>
      <c r="P230" s="2">
        <v>92</v>
      </c>
      <c r="Q230" s="7" t="s">
        <v>1</v>
      </c>
      <c r="R230" s="4">
        <v>295940.08</v>
      </c>
      <c r="S230" s="4">
        <v>131479.04000000001</v>
      </c>
      <c r="T230" s="4">
        <v>164461.04</v>
      </c>
      <c r="U230" s="4">
        <f>IFERROR(tblInventory[[#This Row],[Gross_Profit_30D]]/tblInventory[[#This Row],[Sales_Revenue_30D]],0)</f>
        <v>0.55572411820663159</v>
      </c>
      <c r="V230" s="2">
        <v>138624.64000000001</v>
      </c>
    </row>
    <row r="231" spans="1:22" x14ac:dyDescent="0.3">
      <c r="A231" s="2" t="s">
        <v>455</v>
      </c>
      <c r="B231" s="2" t="s">
        <v>175</v>
      </c>
      <c r="C231" s="2" t="s">
        <v>8</v>
      </c>
      <c r="D231" s="2" t="s">
        <v>66</v>
      </c>
      <c r="E231" s="2" t="s">
        <v>67</v>
      </c>
      <c r="F231" s="2" t="s">
        <v>269</v>
      </c>
      <c r="G231" s="3">
        <v>439</v>
      </c>
      <c r="H231" s="4">
        <v>222.42</v>
      </c>
      <c r="I231" s="4">
        <v>318.27</v>
      </c>
      <c r="J231" s="3">
        <v>138</v>
      </c>
      <c r="K231" s="3">
        <f>tblInventory[[#This Row],[Qty_On_Hand]]*tblInventory[[#This Row],[Unit_Cost]]</f>
        <v>30693.96</v>
      </c>
      <c r="L231" s="3">
        <v>70</v>
      </c>
      <c r="M231" s="3">
        <f>IF(tblInventory[[#This Row],[Qty_On_Hand]]&lt;=tblInventory[[#This Row],[Reorder_Level]],1,0)</f>
        <v>0</v>
      </c>
      <c r="N231" s="3">
        <v>164</v>
      </c>
      <c r="O231" s="3" t="s">
        <v>93</v>
      </c>
      <c r="P231" s="2">
        <v>142</v>
      </c>
      <c r="Q231" s="7" t="s">
        <v>1</v>
      </c>
      <c r="R231" s="4">
        <v>45194.34</v>
      </c>
      <c r="S231" s="4">
        <v>31583.64</v>
      </c>
      <c r="T231" s="4">
        <v>13610.7</v>
      </c>
      <c r="U231" s="4">
        <f>IFERROR(tblInventory[[#This Row],[Gross_Profit_30D]]/tblInventory[[#This Row],[Sales_Revenue_30D]],0)</f>
        <v>0.30115939296823457</v>
      </c>
      <c r="V231" s="2">
        <v>30693.96</v>
      </c>
    </row>
    <row r="232" spans="1:22" x14ac:dyDescent="0.3">
      <c r="A232" s="2" t="s">
        <v>456</v>
      </c>
      <c r="B232" s="2" t="s">
        <v>152</v>
      </c>
      <c r="C232" s="2" t="s">
        <v>2</v>
      </c>
      <c r="D232" s="2" t="s">
        <v>128</v>
      </c>
      <c r="E232" s="2" t="s">
        <v>78</v>
      </c>
      <c r="F232" s="2" t="s">
        <v>457</v>
      </c>
      <c r="G232" s="3">
        <v>231</v>
      </c>
      <c r="H232" s="4">
        <v>204.27</v>
      </c>
      <c r="I232" s="4">
        <v>448.79</v>
      </c>
      <c r="J232" s="3">
        <v>141</v>
      </c>
      <c r="K232" s="3">
        <f>tblInventory[[#This Row],[Qty_On_Hand]]*tblInventory[[#This Row],[Unit_Cost]]</f>
        <v>28802.07</v>
      </c>
      <c r="L232" s="3">
        <v>56</v>
      </c>
      <c r="M232" s="3">
        <f>IF(tblInventory[[#This Row],[Qty_On_Hand]]&lt;=tblInventory[[#This Row],[Reorder_Level]],1,0)</f>
        <v>0</v>
      </c>
      <c r="N232" s="3">
        <v>271</v>
      </c>
      <c r="O232" s="3" t="s">
        <v>126</v>
      </c>
      <c r="P232" s="2">
        <v>98</v>
      </c>
      <c r="Q232" s="7" t="s">
        <v>1</v>
      </c>
      <c r="R232" s="4">
        <v>43981.42</v>
      </c>
      <c r="S232" s="4">
        <v>20018.46</v>
      </c>
      <c r="T232" s="4">
        <v>23962.959999999999</v>
      </c>
      <c r="U232" s="4">
        <f>IFERROR(tblInventory[[#This Row],[Gross_Profit_30D]]/tblInventory[[#This Row],[Sales_Revenue_30D]],0)</f>
        <v>0.54484279952761872</v>
      </c>
      <c r="V232" s="2">
        <v>28802.07</v>
      </c>
    </row>
    <row r="233" spans="1:22" x14ac:dyDescent="0.3">
      <c r="A233" s="2" t="s">
        <v>458</v>
      </c>
      <c r="B233" s="2" t="s">
        <v>44</v>
      </c>
      <c r="C233" s="2" t="s">
        <v>8</v>
      </c>
      <c r="D233" s="2" t="s">
        <v>128</v>
      </c>
      <c r="E233" s="2" t="s">
        <v>91</v>
      </c>
      <c r="F233" s="2" t="s">
        <v>313</v>
      </c>
      <c r="G233" s="3">
        <v>421</v>
      </c>
      <c r="H233" s="4">
        <v>1812.31</v>
      </c>
      <c r="I233" s="4">
        <v>5015.13</v>
      </c>
      <c r="J233" s="3">
        <v>286</v>
      </c>
      <c r="K233" s="3">
        <f>tblInventory[[#This Row],[Qty_On_Hand]]*tblInventory[[#This Row],[Unit_Cost]]</f>
        <v>518320.66</v>
      </c>
      <c r="L233" s="3">
        <v>88</v>
      </c>
      <c r="M233" s="3">
        <f>IF(tblInventory[[#This Row],[Qty_On_Hand]]&lt;=tblInventory[[#This Row],[Reorder_Level]],1,0)</f>
        <v>0</v>
      </c>
      <c r="N233" s="3">
        <v>183</v>
      </c>
      <c r="O233" s="3" t="s">
        <v>126</v>
      </c>
      <c r="P233" s="2">
        <v>43</v>
      </c>
      <c r="Q233" s="7" t="s">
        <v>1</v>
      </c>
      <c r="R233" s="4">
        <v>215650.59</v>
      </c>
      <c r="S233" s="4">
        <v>77929.33</v>
      </c>
      <c r="T233" s="4">
        <v>137721.26</v>
      </c>
      <c r="U233" s="4">
        <f>IFERROR(tblInventory[[#This Row],[Gross_Profit_30D]]/tblInventory[[#This Row],[Sales_Revenue_30D]],0)</f>
        <v>0.63863150107773881</v>
      </c>
      <c r="V233" s="2">
        <v>518320.66</v>
      </c>
    </row>
    <row r="234" spans="1:22" x14ac:dyDescent="0.3">
      <c r="A234" s="2" t="s">
        <v>459</v>
      </c>
      <c r="B234" s="2" t="s">
        <v>196</v>
      </c>
      <c r="C234" s="2" t="s">
        <v>7</v>
      </c>
      <c r="D234" s="2" t="s">
        <v>96</v>
      </c>
      <c r="E234" s="2" t="s">
        <v>73</v>
      </c>
      <c r="F234" s="2" t="s">
        <v>217</v>
      </c>
      <c r="G234" s="3">
        <v>187</v>
      </c>
      <c r="H234" s="4">
        <v>308.95</v>
      </c>
      <c r="I234" s="4">
        <v>479.12</v>
      </c>
      <c r="J234" s="3">
        <v>126</v>
      </c>
      <c r="K234" s="3">
        <f>tblInventory[[#This Row],[Qty_On_Hand]]*tblInventory[[#This Row],[Unit_Cost]]</f>
        <v>38927.699999999997</v>
      </c>
      <c r="L234" s="3">
        <v>50</v>
      </c>
      <c r="M234" s="3">
        <f>IF(tblInventory[[#This Row],[Qty_On_Hand]]&lt;=tblInventory[[#This Row],[Reorder_Level]],1,0)</f>
        <v>0</v>
      </c>
      <c r="N234" s="3">
        <v>157</v>
      </c>
      <c r="O234" s="3" t="s">
        <v>198</v>
      </c>
      <c r="P234" s="2">
        <v>76</v>
      </c>
      <c r="Q234" s="7" t="s">
        <v>1</v>
      </c>
      <c r="R234" s="4">
        <v>36413.120000000003</v>
      </c>
      <c r="S234" s="4">
        <v>23480.2</v>
      </c>
      <c r="T234" s="4">
        <v>12932.92</v>
      </c>
      <c r="U234" s="4">
        <f>IFERROR(tblInventory[[#This Row],[Gross_Profit_30D]]/tblInventory[[#This Row],[Sales_Revenue_30D]],0)</f>
        <v>0.35517198196693939</v>
      </c>
      <c r="V234" s="2">
        <v>38927.699999999997</v>
      </c>
    </row>
    <row r="235" spans="1:22" x14ac:dyDescent="0.3">
      <c r="A235" s="2" t="s">
        <v>460</v>
      </c>
      <c r="B235" s="2" t="s">
        <v>42</v>
      </c>
      <c r="C235" s="2" t="s">
        <v>6</v>
      </c>
      <c r="D235" s="2" t="s">
        <v>81</v>
      </c>
      <c r="E235" s="2" t="s">
        <v>67</v>
      </c>
      <c r="F235" s="2" t="s">
        <v>167</v>
      </c>
      <c r="G235" s="3">
        <v>419</v>
      </c>
      <c r="H235" s="4">
        <v>1001.69</v>
      </c>
      <c r="I235" s="4">
        <v>2228.7600000000002</v>
      </c>
      <c r="J235" s="3">
        <v>320</v>
      </c>
      <c r="K235" s="3">
        <f>tblInventory[[#This Row],[Qty_On_Hand]]*tblInventory[[#This Row],[Unit_Cost]]</f>
        <v>320540.80000000005</v>
      </c>
      <c r="L235" s="3">
        <v>73</v>
      </c>
      <c r="M235" s="3">
        <f>IF(tblInventory[[#This Row],[Qty_On_Hand]]&lt;=tblInventory[[#This Row],[Reorder_Level]],1,0)</f>
        <v>0</v>
      </c>
      <c r="N235" s="3">
        <v>77</v>
      </c>
      <c r="O235" s="3" t="s">
        <v>69</v>
      </c>
      <c r="P235" s="2">
        <v>34</v>
      </c>
      <c r="Q235" s="7" t="s">
        <v>1</v>
      </c>
      <c r="R235" s="4">
        <v>75777.84</v>
      </c>
      <c r="S235" s="4">
        <v>34057.46</v>
      </c>
      <c r="T235" s="4">
        <v>41720.379999999997</v>
      </c>
      <c r="U235" s="4">
        <f>IFERROR(tblInventory[[#This Row],[Gross_Profit_30D]]/tblInventory[[#This Row],[Sales_Revenue_30D]],0)</f>
        <v>0.55056174733932772</v>
      </c>
      <c r="V235" s="2">
        <v>320540.79999999999</v>
      </c>
    </row>
    <row r="236" spans="1:22" x14ac:dyDescent="0.3">
      <c r="A236" s="2" t="s">
        <v>461</v>
      </c>
      <c r="B236" s="2" t="s">
        <v>172</v>
      </c>
      <c r="C236" s="2" t="s">
        <v>0</v>
      </c>
      <c r="D236" s="2" t="s">
        <v>128</v>
      </c>
      <c r="E236" s="2" t="s">
        <v>67</v>
      </c>
      <c r="F236" s="2" t="s">
        <v>117</v>
      </c>
      <c r="G236" s="3">
        <v>244</v>
      </c>
      <c r="H236" s="4">
        <v>1727.15</v>
      </c>
      <c r="I236" s="4">
        <v>3385.79</v>
      </c>
      <c r="J236" s="3">
        <v>205</v>
      </c>
      <c r="K236" s="3">
        <f>tblInventory[[#This Row],[Qty_On_Hand]]*tblInventory[[#This Row],[Unit_Cost]]</f>
        <v>354065.75</v>
      </c>
      <c r="L236" s="3">
        <v>70</v>
      </c>
      <c r="M236" s="3">
        <f>IF(tblInventory[[#This Row],[Qty_On_Hand]]&lt;=tblInventory[[#This Row],[Reorder_Level]],1,0)</f>
        <v>0</v>
      </c>
      <c r="N236" s="3">
        <v>258</v>
      </c>
      <c r="O236" s="3" t="s">
        <v>252</v>
      </c>
      <c r="P236" s="2">
        <v>34</v>
      </c>
      <c r="Q236" s="7" t="s">
        <v>1</v>
      </c>
      <c r="R236" s="4">
        <v>115116.86</v>
      </c>
      <c r="S236" s="4">
        <v>58723.1</v>
      </c>
      <c r="T236" s="4">
        <v>56393.760000000002</v>
      </c>
      <c r="U236" s="4">
        <f>IFERROR(tblInventory[[#This Row],[Gross_Profit_30D]]/tblInventory[[#This Row],[Sales_Revenue_30D]],0)</f>
        <v>0.4898827157029822</v>
      </c>
      <c r="V236" s="2">
        <v>354065.75</v>
      </c>
    </row>
    <row r="237" spans="1:22" x14ac:dyDescent="0.3">
      <c r="A237" s="2" t="s">
        <v>462</v>
      </c>
      <c r="B237" s="2" t="s">
        <v>18</v>
      </c>
      <c r="C237" s="2" t="s">
        <v>0</v>
      </c>
      <c r="D237" s="2" t="s">
        <v>132</v>
      </c>
      <c r="E237" s="2" t="s">
        <v>91</v>
      </c>
      <c r="F237" s="2" t="s">
        <v>265</v>
      </c>
      <c r="G237" s="3">
        <v>253</v>
      </c>
      <c r="H237" s="4">
        <v>651.89</v>
      </c>
      <c r="I237" s="4">
        <v>1566.04</v>
      </c>
      <c r="J237" s="3">
        <v>247</v>
      </c>
      <c r="K237" s="3">
        <f>tblInventory[[#This Row],[Qty_On_Hand]]*tblInventory[[#This Row],[Unit_Cost]]</f>
        <v>161016.82999999999</v>
      </c>
      <c r="L237" s="3">
        <v>96</v>
      </c>
      <c r="M237" s="3">
        <f>IF(tblInventory[[#This Row],[Qty_On_Hand]]&lt;=tblInventory[[#This Row],[Reorder_Level]],1,0)</f>
        <v>0</v>
      </c>
      <c r="N237" s="3">
        <v>175</v>
      </c>
      <c r="O237" s="3" t="s">
        <v>80</v>
      </c>
      <c r="P237" s="2">
        <v>147</v>
      </c>
      <c r="Q237" s="7" t="s">
        <v>1</v>
      </c>
      <c r="R237" s="4">
        <v>230207.88</v>
      </c>
      <c r="S237" s="4">
        <v>95827.83</v>
      </c>
      <c r="T237" s="4">
        <v>134380.04999999999</v>
      </c>
      <c r="U237" s="4">
        <f>IFERROR(tblInventory[[#This Row],[Gross_Profit_30D]]/tblInventory[[#This Row],[Sales_Revenue_30D]],0)</f>
        <v>0.58373349339735892</v>
      </c>
      <c r="V237" s="2">
        <v>161016.82999999999</v>
      </c>
    </row>
    <row r="238" spans="1:22" x14ac:dyDescent="0.3">
      <c r="A238" s="2" t="s">
        <v>45</v>
      </c>
      <c r="B238" s="2" t="s">
        <v>46</v>
      </c>
      <c r="C238" s="2" t="s">
        <v>4</v>
      </c>
      <c r="D238" s="2" t="s">
        <v>128</v>
      </c>
      <c r="E238" s="2" t="s">
        <v>67</v>
      </c>
      <c r="F238" s="2" t="s">
        <v>125</v>
      </c>
      <c r="G238" s="3">
        <v>236</v>
      </c>
      <c r="H238" s="4">
        <v>1865.49</v>
      </c>
      <c r="I238" s="4">
        <v>2984.22</v>
      </c>
      <c r="J238" s="3">
        <v>29</v>
      </c>
      <c r="K238" s="3">
        <f>tblInventory[[#This Row],[Qty_On_Hand]]*tblInventory[[#This Row],[Unit_Cost]]</f>
        <v>54099.21</v>
      </c>
      <c r="L238" s="3">
        <v>84</v>
      </c>
      <c r="M238" s="3">
        <f>IF(tblInventory[[#This Row],[Qty_On_Hand]]&lt;=tblInventory[[#This Row],[Reorder_Level]],1,0)</f>
        <v>1</v>
      </c>
      <c r="N238" s="3">
        <v>96</v>
      </c>
      <c r="O238" s="3" t="s">
        <v>140</v>
      </c>
      <c r="P238" s="2">
        <v>140</v>
      </c>
      <c r="Q238" s="6" t="s">
        <v>3</v>
      </c>
      <c r="R238" s="4">
        <v>417790.8</v>
      </c>
      <c r="S238" s="4">
        <v>261168.6</v>
      </c>
      <c r="T238" s="4">
        <v>156622.20000000001</v>
      </c>
      <c r="U238" s="4">
        <f>IFERROR(tblInventory[[#This Row],[Gross_Profit_30D]]/tblInventory[[#This Row],[Sales_Revenue_30D]],0)</f>
        <v>0.37488187868186668</v>
      </c>
      <c r="V238" s="2">
        <v>54099.21</v>
      </c>
    </row>
    <row r="239" spans="1:22" x14ac:dyDescent="0.3">
      <c r="A239" s="2" t="s">
        <v>463</v>
      </c>
      <c r="B239" s="2" t="s">
        <v>263</v>
      </c>
      <c r="C239" s="2" t="s">
        <v>8</v>
      </c>
      <c r="D239" s="2" t="s">
        <v>132</v>
      </c>
      <c r="E239" s="2" t="s">
        <v>91</v>
      </c>
      <c r="F239" s="2" t="s">
        <v>464</v>
      </c>
      <c r="G239" s="3">
        <v>475</v>
      </c>
      <c r="H239" s="4">
        <v>156.93</v>
      </c>
      <c r="I239" s="4">
        <v>403.57</v>
      </c>
      <c r="J239" s="3">
        <v>354</v>
      </c>
      <c r="K239" s="3">
        <f>tblInventory[[#This Row],[Qty_On_Hand]]*tblInventory[[#This Row],[Unit_Cost]]</f>
        <v>55553.22</v>
      </c>
      <c r="L239" s="3">
        <v>67</v>
      </c>
      <c r="M239" s="3">
        <f>IF(tblInventory[[#This Row],[Qty_On_Hand]]&lt;=tblInventory[[#This Row],[Reorder_Level]],1,0)</f>
        <v>0</v>
      </c>
      <c r="N239" s="3">
        <v>222</v>
      </c>
      <c r="O239" s="3" t="s">
        <v>198</v>
      </c>
      <c r="P239" s="2">
        <v>127</v>
      </c>
      <c r="Q239" s="7" t="s">
        <v>1</v>
      </c>
      <c r="R239" s="4">
        <v>51253.39</v>
      </c>
      <c r="S239" s="4">
        <v>19930.11</v>
      </c>
      <c r="T239" s="4">
        <v>31323.279999999999</v>
      </c>
      <c r="U239" s="4">
        <f>IFERROR(tblInventory[[#This Row],[Gross_Profit_30D]]/tblInventory[[#This Row],[Sales_Revenue_30D]],0)</f>
        <v>0.61114552617885376</v>
      </c>
      <c r="V239" s="2">
        <v>55553.22</v>
      </c>
    </row>
    <row r="240" spans="1:22" x14ac:dyDescent="0.3">
      <c r="A240" s="2" t="s">
        <v>465</v>
      </c>
      <c r="B240" s="2" t="s">
        <v>103</v>
      </c>
      <c r="C240" s="2" t="s">
        <v>4</v>
      </c>
      <c r="D240" s="2" t="s">
        <v>132</v>
      </c>
      <c r="E240" s="2" t="s">
        <v>67</v>
      </c>
      <c r="F240" s="2" t="s">
        <v>386</v>
      </c>
      <c r="G240" s="3">
        <v>416</v>
      </c>
      <c r="H240" s="4">
        <v>1582.37</v>
      </c>
      <c r="I240" s="4">
        <v>2232.64</v>
      </c>
      <c r="J240" s="3">
        <v>216</v>
      </c>
      <c r="K240" s="3">
        <f>tblInventory[[#This Row],[Qty_On_Hand]]*tblInventory[[#This Row],[Unit_Cost]]</f>
        <v>341791.92</v>
      </c>
      <c r="L240" s="3">
        <v>91</v>
      </c>
      <c r="M240" s="3">
        <f>IF(tblInventory[[#This Row],[Qty_On_Hand]]&lt;=tblInventory[[#This Row],[Reorder_Level]],1,0)</f>
        <v>0</v>
      </c>
      <c r="N240" s="3">
        <v>172</v>
      </c>
      <c r="O240" s="3" t="s">
        <v>168</v>
      </c>
      <c r="P240" s="2">
        <v>149</v>
      </c>
      <c r="Q240" s="7" t="s">
        <v>1</v>
      </c>
      <c r="R240" s="4">
        <v>332663.36</v>
      </c>
      <c r="S240" s="4">
        <v>235773.13</v>
      </c>
      <c r="T240" s="4">
        <v>96890.23</v>
      </c>
      <c r="U240" s="4">
        <f>IFERROR(tblInventory[[#This Row],[Gross_Profit_30D]]/tblInventory[[#This Row],[Sales_Revenue_30D]],0)</f>
        <v>0.29125609144331377</v>
      </c>
      <c r="V240" s="2">
        <v>341791.92</v>
      </c>
    </row>
    <row r="241" spans="1:22" x14ac:dyDescent="0.3">
      <c r="A241" s="2" t="s">
        <v>466</v>
      </c>
      <c r="B241" s="2" t="s">
        <v>29</v>
      </c>
      <c r="C241" s="2" t="s">
        <v>6</v>
      </c>
      <c r="D241" s="2" t="s">
        <v>128</v>
      </c>
      <c r="E241" s="2" t="s">
        <v>86</v>
      </c>
      <c r="F241" s="2" t="s">
        <v>176</v>
      </c>
      <c r="G241" s="3">
        <v>409</v>
      </c>
      <c r="H241" s="4">
        <v>1195.76</v>
      </c>
      <c r="I241" s="4">
        <v>3194.59</v>
      </c>
      <c r="J241" s="3">
        <v>274</v>
      </c>
      <c r="K241" s="3">
        <f>tblInventory[[#This Row],[Qty_On_Hand]]*tblInventory[[#This Row],[Unit_Cost]]</f>
        <v>327638.24</v>
      </c>
      <c r="L241" s="3">
        <v>28</v>
      </c>
      <c r="M241" s="3">
        <f>IF(tblInventory[[#This Row],[Qty_On_Hand]]&lt;=tblInventory[[#This Row],[Reorder_Level]],1,0)</f>
        <v>0</v>
      </c>
      <c r="N241" s="3">
        <v>246</v>
      </c>
      <c r="O241" s="3" t="s">
        <v>93</v>
      </c>
      <c r="P241" s="2">
        <v>63</v>
      </c>
      <c r="Q241" s="7" t="s">
        <v>1</v>
      </c>
      <c r="R241" s="4">
        <v>201259.17</v>
      </c>
      <c r="S241" s="4">
        <v>75332.88</v>
      </c>
      <c r="T241" s="4">
        <v>125926.29</v>
      </c>
      <c r="U241" s="4">
        <f>IFERROR(tblInventory[[#This Row],[Gross_Profit_30D]]/tblInventory[[#This Row],[Sales_Revenue_30D]],0)</f>
        <v>0.6256921858517055</v>
      </c>
      <c r="V241" s="2">
        <v>327638.24</v>
      </c>
    </row>
    <row r="242" spans="1:22" x14ac:dyDescent="0.3">
      <c r="A242" s="2" t="s">
        <v>467</v>
      </c>
      <c r="B242" s="2" t="s">
        <v>14</v>
      </c>
      <c r="C242" s="2" t="s">
        <v>7</v>
      </c>
      <c r="D242" s="2" t="s">
        <v>96</v>
      </c>
      <c r="E242" s="2" t="s">
        <v>86</v>
      </c>
      <c r="F242" s="2" t="s">
        <v>280</v>
      </c>
      <c r="G242" s="3">
        <v>380</v>
      </c>
      <c r="H242" s="4">
        <v>1300.55</v>
      </c>
      <c r="I242" s="4">
        <v>3576.79</v>
      </c>
      <c r="J242" s="3">
        <v>346</v>
      </c>
      <c r="K242" s="3">
        <f>tblInventory[[#This Row],[Qty_On_Hand]]*tblInventory[[#This Row],[Unit_Cost]]</f>
        <v>449990.3</v>
      </c>
      <c r="L242" s="3">
        <v>57</v>
      </c>
      <c r="M242" s="3">
        <f>IF(tblInventory[[#This Row],[Qty_On_Hand]]&lt;=tblInventory[[#This Row],[Reorder_Level]],1,0)</f>
        <v>0</v>
      </c>
      <c r="N242" s="3">
        <v>297</v>
      </c>
      <c r="O242" s="3" t="s">
        <v>101</v>
      </c>
      <c r="P242" s="2">
        <v>110</v>
      </c>
      <c r="Q242" s="7" t="s">
        <v>1</v>
      </c>
      <c r="R242" s="4">
        <v>393446.9</v>
      </c>
      <c r="S242" s="4">
        <v>143060.5</v>
      </c>
      <c r="T242" s="4">
        <v>250386.4</v>
      </c>
      <c r="U242" s="4">
        <f>IFERROR(tblInventory[[#This Row],[Gross_Profit_30D]]/tblInventory[[#This Row],[Sales_Revenue_30D]],0)</f>
        <v>0.6363918485569463</v>
      </c>
      <c r="V242" s="2">
        <v>449990.3</v>
      </c>
    </row>
    <row r="243" spans="1:22" x14ac:dyDescent="0.3">
      <c r="A243" s="2" t="s">
        <v>468</v>
      </c>
      <c r="B243" s="2" t="s">
        <v>71</v>
      </c>
      <c r="C243" s="2" t="s">
        <v>8</v>
      </c>
      <c r="D243" s="2" t="s">
        <v>72</v>
      </c>
      <c r="E243" s="2" t="s">
        <v>67</v>
      </c>
      <c r="F243" s="2" t="s">
        <v>224</v>
      </c>
      <c r="G243" s="3">
        <v>432</v>
      </c>
      <c r="H243" s="4">
        <v>1124.83</v>
      </c>
      <c r="I243" s="4">
        <v>2622.54</v>
      </c>
      <c r="J243" s="3">
        <v>265</v>
      </c>
      <c r="K243" s="3">
        <f>tblInventory[[#This Row],[Qty_On_Hand]]*tblInventory[[#This Row],[Unit_Cost]]</f>
        <v>298079.94999999995</v>
      </c>
      <c r="L243" s="3">
        <v>43</v>
      </c>
      <c r="M243" s="3">
        <f>IF(tblInventory[[#This Row],[Qty_On_Hand]]&lt;=tblInventory[[#This Row],[Reorder_Level]],1,0)</f>
        <v>0</v>
      </c>
      <c r="N243" s="3">
        <v>164</v>
      </c>
      <c r="O243" s="3" t="s">
        <v>75</v>
      </c>
      <c r="P243" s="2">
        <v>95</v>
      </c>
      <c r="Q243" s="7" t="s">
        <v>1</v>
      </c>
      <c r="R243" s="4">
        <v>249141.3</v>
      </c>
      <c r="S243" s="4">
        <v>106858.85</v>
      </c>
      <c r="T243" s="4">
        <v>142282.45000000001</v>
      </c>
      <c r="U243" s="4">
        <f>IFERROR(tblInventory[[#This Row],[Gross_Profit_30D]]/tblInventory[[#This Row],[Sales_Revenue_30D]],0)</f>
        <v>0.57109138468812681</v>
      </c>
      <c r="V243" s="2">
        <v>298079.95</v>
      </c>
    </row>
    <row r="244" spans="1:22" x14ac:dyDescent="0.3">
      <c r="A244" s="2" t="s">
        <v>469</v>
      </c>
      <c r="B244" s="2" t="s">
        <v>31</v>
      </c>
      <c r="C244" s="2" t="s">
        <v>6</v>
      </c>
      <c r="D244" s="2" t="s">
        <v>96</v>
      </c>
      <c r="E244" s="2" t="s">
        <v>67</v>
      </c>
      <c r="F244" s="2" t="s">
        <v>457</v>
      </c>
      <c r="G244" s="3">
        <v>103</v>
      </c>
      <c r="H244" s="4">
        <v>843.63</v>
      </c>
      <c r="I244" s="4">
        <v>2313.73</v>
      </c>
      <c r="J244" s="3">
        <v>37</v>
      </c>
      <c r="K244" s="3">
        <f>tblInventory[[#This Row],[Qty_On_Hand]]*tblInventory[[#This Row],[Unit_Cost]]</f>
        <v>31214.31</v>
      </c>
      <c r="L244" s="3">
        <v>29</v>
      </c>
      <c r="M244" s="3">
        <f>IF(tblInventory[[#This Row],[Qty_On_Hand]]&lt;=tblInventory[[#This Row],[Reorder_Level]],1,0)</f>
        <v>0</v>
      </c>
      <c r="N244" s="3">
        <v>262</v>
      </c>
      <c r="O244" s="3" t="s">
        <v>137</v>
      </c>
      <c r="P244" s="2">
        <v>36</v>
      </c>
      <c r="Q244" s="7" t="s">
        <v>1</v>
      </c>
      <c r="R244" s="4">
        <v>83294.28</v>
      </c>
      <c r="S244" s="4">
        <v>30370.68</v>
      </c>
      <c r="T244" s="4">
        <v>52923.6</v>
      </c>
      <c r="U244" s="4">
        <f>IFERROR(tblInventory[[#This Row],[Gross_Profit_30D]]/tblInventory[[#This Row],[Sales_Revenue_30D]],0)</f>
        <v>0.6353809649354073</v>
      </c>
      <c r="V244" s="2">
        <v>31214.31</v>
      </c>
    </row>
    <row r="245" spans="1:22" x14ac:dyDescent="0.3">
      <c r="A245" s="2" t="s">
        <v>470</v>
      </c>
      <c r="B245" s="2" t="s">
        <v>164</v>
      </c>
      <c r="C245" s="2" t="s">
        <v>0</v>
      </c>
      <c r="D245" s="2" t="s">
        <v>81</v>
      </c>
      <c r="E245" s="2" t="s">
        <v>91</v>
      </c>
      <c r="F245" s="2" t="s">
        <v>136</v>
      </c>
      <c r="G245" s="3">
        <v>316</v>
      </c>
      <c r="H245" s="4">
        <v>709.63</v>
      </c>
      <c r="I245" s="4">
        <v>1026.43</v>
      </c>
      <c r="J245" s="3">
        <v>247</v>
      </c>
      <c r="K245" s="3">
        <f>tblInventory[[#This Row],[Qty_On_Hand]]*tblInventory[[#This Row],[Unit_Cost]]</f>
        <v>175278.61</v>
      </c>
      <c r="L245" s="3">
        <v>72</v>
      </c>
      <c r="M245" s="3">
        <f>IF(tblInventory[[#This Row],[Qty_On_Hand]]&lt;=tblInventory[[#This Row],[Reorder_Level]],1,0)</f>
        <v>0</v>
      </c>
      <c r="N245" s="3">
        <v>131</v>
      </c>
      <c r="O245" s="3" t="s">
        <v>162</v>
      </c>
      <c r="P245" s="2">
        <v>17</v>
      </c>
      <c r="Q245" s="7" t="s">
        <v>1</v>
      </c>
      <c r="R245" s="4">
        <v>17449.310000000001</v>
      </c>
      <c r="S245" s="4">
        <v>12063.71</v>
      </c>
      <c r="T245" s="4">
        <v>5385.6</v>
      </c>
      <c r="U245" s="4">
        <f>IFERROR(tblInventory[[#This Row],[Gross_Profit_30D]]/tblInventory[[#This Row],[Sales_Revenue_30D]],0)</f>
        <v>0.30864257669787515</v>
      </c>
      <c r="V245" s="2">
        <v>175278.61</v>
      </c>
    </row>
    <row r="246" spans="1:22" x14ac:dyDescent="0.3">
      <c r="A246" s="2" t="s">
        <v>471</v>
      </c>
      <c r="B246" s="2" t="s">
        <v>172</v>
      </c>
      <c r="C246" s="2" t="s">
        <v>0</v>
      </c>
      <c r="D246" s="2" t="s">
        <v>72</v>
      </c>
      <c r="E246" s="2" t="s">
        <v>78</v>
      </c>
      <c r="F246" s="2" t="s">
        <v>472</v>
      </c>
      <c r="G246" s="3">
        <v>381</v>
      </c>
      <c r="H246" s="4">
        <v>1360.74</v>
      </c>
      <c r="I246" s="4">
        <v>2104.4299999999998</v>
      </c>
      <c r="J246" s="3">
        <v>55</v>
      </c>
      <c r="K246" s="3">
        <f>tblInventory[[#This Row],[Qty_On_Hand]]*tblInventory[[#This Row],[Unit_Cost]]</f>
        <v>74840.7</v>
      </c>
      <c r="L246" s="3">
        <v>46</v>
      </c>
      <c r="M246" s="3">
        <f>IF(tblInventory[[#This Row],[Qty_On_Hand]]&lt;=tblInventory[[#This Row],[Reorder_Level]],1,0)</f>
        <v>0</v>
      </c>
      <c r="N246" s="3">
        <v>182</v>
      </c>
      <c r="O246" s="3" t="s">
        <v>182</v>
      </c>
      <c r="P246" s="2">
        <v>44</v>
      </c>
      <c r="Q246" s="7" t="s">
        <v>1</v>
      </c>
      <c r="R246" s="4">
        <v>92594.92</v>
      </c>
      <c r="S246" s="4">
        <v>59872.56</v>
      </c>
      <c r="T246" s="4">
        <v>32722.36</v>
      </c>
      <c r="U246" s="4">
        <f>IFERROR(tblInventory[[#This Row],[Gross_Profit_30D]]/tblInventory[[#This Row],[Sales_Revenue_30D]],0)</f>
        <v>0.35339260512347764</v>
      </c>
      <c r="V246" s="2">
        <v>74840.7</v>
      </c>
    </row>
    <row r="247" spans="1:22" x14ac:dyDescent="0.3">
      <c r="A247" s="2" t="s">
        <v>473</v>
      </c>
      <c r="B247" s="2" t="s">
        <v>135</v>
      </c>
      <c r="C247" s="2" t="s">
        <v>2</v>
      </c>
      <c r="D247" s="2" t="s">
        <v>81</v>
      </c>
      <c r="E247" s="2" t="s">
        <v>86</v>
      </c>
      <c r="F247" s="2" t="s">
        <v>428</v>
      </c>
      <c r="G247" s="3">
        <v>168</v>
      </c>
      <c r="H247" s="4">
        <v>1266.93</v>
      </c>
      <c r="I247" s="4">
        <v>2001.22</v>
      </c>
      <c r="J247" s="3">
        <v>103</v>
      </c>
      <c r="K247" s="3">
        <f>tblInventory[[#This Row],[Qty_On_Hand]]*tblInventory[[#This Row],[Unit_Cost]]</f>
        <v>130493.79000000001</v>
      </c>
      <c r="L247" s="3">
        <v>99</v>
      </c>
      <c r="M247" s="3">
        <f>IF(tblInventory[[#This Row],[Qty_On_Hand]]&lt;=tblInventory[[#This Row],[Reorder_Level]],1,0)</f>
        <v>0</v>
      </c>
      <c r="N247" s="3">
        <v>160</v>
      </c>
      <c r="O247" s="3" t="s">
        <v>144</v>
      </c>
      <c r="P247" s="2">
        <v>101</v>
      </c>
      <c r="Q247" s="7" t="s">
        <v>1</v>
      </c>
      <c r="R247" s="4">
        <v>202123.22</v>
      </c>
      <c r="S247" s="4">
        <v>127959.93</v>
      </c>
      <c r="T247" s="4">
        <v>74163.289999999994</v>
      </c>
      <c r="U247" s="4">
        <f>IFERROR(tblInventory[[#This Row],[Gross_Profit_30D]]/tblInventory[[#This Row],[Sales_Revenue_30D]],0)</f>
        <v>0.36692117808137031</v>
      </c>
      <c r="V247" s="2">
        <v>130493.79</v>
      </c>
    </row>
    <row r="248" spans="1:22" x14ac:dyDescent="0.3">
      <c r="A248" s="2" t="s">
        <v>474</v>
      </c>
      <c r="B248" s="2" t="s">
        <v>120</v>
      </c>
      <c r="C248" s="2" t="s">
        <v>8</v>
      </c>
      <c r="D248" s="2" t="s">
        <v>132</v>
      </c>
      <c r="E248" s="2" t="s">
        <v>91</v>
      </c>
      <c r="F248" s="2" t="s">
        <v>219</v>
      </c>
      <c r="G248" s="3">
        <v>249</v>
      </c>
      <c r="H248" s="4">
        <v>1415.38</v>
      </c>
      <c r="I248" s="4">
        <v>2276.89</v>
      </c>
      <c r="J248" s="3">
        <v>1</v>
      </c>
      <c r="K248" s="3">
        <f>tblInventory[[#This Row],[Qty_On_Hand]]*tblInventory[[#This Row],[Unit_Cost]]</f>
        <v>1415.38</v>
      </c>
      <c r="L248" s="3">
        <v>23</v>
      </c>
      <c r="M248" s="3">
        <f>IF(tblInventory[[#This Row],[Qty_On_Hand]]&lt;=tblInventory[[#This Row],[Reorder_Level]],1,0)</f>
        <v>1</v>
      </c>
      <c r="N248" s="3">
        <v>197</v>
      </c>
      <c r="O248" s="3" t="s">
        <v>156</v>
      </c>
      <c r="P248" s="2">
        <v>26</v>
      </c>
      <c r="Q248" s="6" t="s">
        <v>3</v>
      </c>
      <c r="R248" s="4">
        <v>59199.14</v>
      </c>
      <c r="S248" s="4">
        <v>36799.879999999997</v>
      </c>
      <c r="T248" s="4">
        <v>22399.26</v>
      </c>
      <c r="U248" s="4">
        <f>IFERROR(tblInventory[[#This Row],[Gross_Profit_30D]]/tblInventory[[#This Row],[Sales_Revenue_30D]],0)</f>
        <v>0.37837137498956908</v>
      </c>
      <c r="V248" s="2">
        <v>1415.38</v>
      </c>
    </row>
    <row r="249" spans="1:22" x14ac:dyDescent="0.3">
      <c r="A249" s="2" t="s">
        <v>475</v>
      </c>
      <c r="B249" s="2" t="s">
        <v>135</v>
      </c>
      <c r="C249" s="2" t="s">
        <v>2</v>
      </c>
      <c r="D249" s="2" t="s">
        <v>81</v>
      </c>
      <c r="E249" s="2" t="s">
        <v>67</v>
      </c>
      <c r="F249" s="2" t="s">
        <v>294</v>
      </c>
      <c r="G249" s="3">
        <v>108</v>
      </c>
      <c r="H249" s="4">
        <v>1347.99</v>
      </c>
      <c r="I249" s="4">
        <v>2742.12</v>
      </c>
      <c r="J249" s="3">
        <v>33</v>
      </c>
      <c r="K249" s="3">
        <f>tblInventory[[#This Row],[Qty_On_Hand]]*tblInventory[[#This Row],[Unit_Cost]]</f>
        <v>44483.67</v>
      </c>
      <c r="L249" s="3">
        <v>96</v>
      </c>
      <c r="M249" s="3">
        <f>IF(tblInventory[[#This Row],[Qty_On_Hand]]&lt;=tblInventory[[#This Row],[Reorder_Level]],1,0)</f>
        <v>1</v>
      </c>
      <c r="N249" s="3">
        <v>130</v>
      </c>
      <c r="O249" s="3" t="s">
        <v>144</v>
      </c>
      <c r="P249" s="2">
        <v>99</v>
      </c>
      <c r="Q249" s="6" t="s">
        <v>3</v>
      </c>
      <c r="R249" s="4">
        <v>271469.88</v>
      </c>
      <c r="S249" s="4">
        <v>133451.01</v>
      </c>
      <c r="T249" s="4">
        <v>138018.87</v>
      </c>
      <c r="U249" s="4">
        <f>IFERROR(tblInventory[[#This Row],[Gross_Profit_30D]]/tblInventory[[#This Row],[Sales_Revenue_30D]],0)</f>
        <v>0.50841319854710953</v>
      </c>
      <c r="V249" s="2">
        <v>44483.67</v>
      </c>
    </row>
    <row r="250" spans="1:22" x14ac:dyDescent="0.3">
      <c r="A250" s="2" t="s">
        <v>476</v>
      </c>
      <c r="B250" s="2" t="s">
        <v>279</v>
      </c>
      <c r="C250" s="2" t="s">
        <v>2</v>
      </c>
      <c r="D250" s="2" t="s">
        <v>72</v>
      </c>
      <c r="E250" s="2" t="s">
        <v>67</v>
      </c>
      <c r="F250" s="2" t="s">
        <v>179</v>
      </c>
      <c r="G250" s="3">
        <v>366</v>
      </c>
      <c r="H250" s="4">
        <v>1631.2</v>
      </c>
      <c r="I250" s="4">
        <v>3847.97</v>
      </c>
      <c r="J250" s="3">
        <v>88</v>
      </c>
      <c r="K250" s="3">
        <f>tblInventory[[#This Row],[Qty_On_Hand]]*tblInventory[[#This Row],[Unit_Cost]]</f>
        <v>143545.60000000001</v>
      </c>
      <c r="L250" s="3">
        <v>53</v>
      </c>
      <c r="M250" s="3">
        <f>IF(tblInventory[[#This Row],[Qty_On_Hand]]&lt;=tblInventory[[#This Row],[Reorder_Level]],1,0)</f>
        <v>0</v>
      </c>
      <c r="N250" s="3">
        <v>285</v>
      </c>
      <c r="O250" s="3" t="s">
        <v>144</v>
      </c>
      <c r="P250" s="2">
        <v>21</v>
      </c>
      <c r="Q250" s="7" t="s">
        <v>1</v>
      </c>
      <c r="R250" s="4">
        <v>80807.37</v>
      </c>
      <c r="S250" s="4">
        <v>34255.199999999997</v>
      </c>
      <c r="T250" s="4">
        <v>46552.17</v>
      </c>
      <c r="U250" s="4">
        <f>IFERROR(tblInventory[[#This Row],[Gross_Profit_30D]]/tblInventory[[#This Row],[Sales_Revenue_30D]],0)</f>
        <v>0.57608817116557565</v>
      </c>
      <c r="V250" s="2">
        <v>143545.60000000001</v>
      </c>
    </row>
    <row r="251" spans="1:22" x14ac:dyDescent="0.3">
      <c r="A251" s="2" t="s">
        <v>477</v>
      </c>
      <c r="B251" s="2" t="s">
        <v>245</v>
      </c>
      <c r="C251" s="2" t="s">
        <v>7</v>
      </c>
      <c r="D251" s="2" t="s">
        <v>81</v>
      </c>
      <c r="E251" s="2" t="s">
        <v>78</v>
      </c>
      <c r="F251" s="2" t="s">
        <v>239</v>
      </c>
      <c r="G251" s="3">
        <v>109</v>
      </c>
      <c r="H251" s="4">
        <v>759.15</v>
      </c>
      <c r="I251" s="4">
        <v>1147.8599999999999</v>
      </c>
      <c r="J251" s="3">
        <v>23</v>
      </c>
      <c r="K251" s="3">
        <f>tblInventory[[#This Row],[Qty_On_Hand]]*tblInventory[[#This Row],[Unit_Cost]]</f>
        <v>17460.45</v>
      </c>
      <c r="L251" s="3">
        <v>64</v>
      </c>
      <c r="M251" s="3">
        <f>IF(tblInventory[[#This Row],[Qty_On_Hand]]&lt;=tblInventory[[#This Row],[Reorder_Level]],1,0)</f>
        <v>1</v>
      </c>
      <c r="N251" s="3">
        <v>157</v>
      </c>
      <c r="O251" s="3" t="s">
        <v>198</v>
      </c>
      <c r="P251" s="2">
        <v>35</v>
      </c>
      <c r="Q251" s="6" t="s">
        <v>3</v>
      </c>
      <c r="R251" s="4">
        <v>40175.1</v>
      </c>
      <c r="S251" s="4">
        <v>26570.25</v>
      </c>
      <c r="T251" s="4">
        <v>13604.85</v>
      </c>
      <c r="U251" s="4">
        <f>IFERROR(tblInventory[[#This Row],[Gross_Profit_30D]]/tblInventory[[#This Row],[Sales_Revenue_30D]],0)</f>
        <v>0.33863885839736557</v>
      </c>
      <c r="V251" s="2">
        <v>17460.45</v>
      </c>
    </row>
    <row r="252" spans="1:22" x14ac:dyDescent="0.3">
      <c r="A252" s="2" t="s">
        <v>478</v>
      </c>
      <c r="B252" s="2" t="s">
        <v>279</v>
      </c>
      <c r="C252" s="2" t="s">
        <v>2</v>
      </c>
      <c r="D252" s="2" t="s">
        <v>128</v>
      </c>
      <c r="E252" s="2" t="s">
        <v>73</v>
      </c>
      <c r="F252" s="2" t="s">
        <v>479</v>
      </c>
      <c r="G252" s="3">
        <v>325</v>
      </c>
      <c r="H252" s="4">
        <v>1118.73</v>
      </c>
      <c r="I252" s="4">
        <v>2276.0100000000002</v>
      </c>
      <c r="J252" s="3">
        <v>88</v>
      </c>
      <c r="K252" s="3">
        <f>tblInventory[[#This Row],[Qty_On_Hand]]*tblInventory[[#This Row],[Unit_Cost]]</f>
        <v>98448.24</v>
      </c>
      <c r="L252" s="3">
        <v>32</v>
      </c>
      <c r="M252" s="3">
        <f>IF(tblInventory[[#This Row],[Qty_On_Hand]]&lt;=tblInventory[[#This Row],[Reorder_Level]],1,0)</f>
        <v>0</v>
      </c>
      <c r="N252" s="3">
        <v>97</v>
      </c>
      <c r="O252" s="3" t="s">
        <v>118</v>
      </c>
      <c r="P252" s="2">
        <v>80</v>
      </c>
      <c r="Q252" s="7" t="s">
        <v>1</v>
      </c>
      <c r="R252" s="4">
        <v>182080.8</v>
      </c>
      <c r="S252" s="4">
        <v>89498.4</v>
      </c>
      <c r="T252" s="4">
        <v>92582.399999999994</v>
      </c>
      <c r="U252" s="4">
        <f>IFERROR(tblInventory[[#This Row],[Gross_Profit_30D]]/tblInventory[[#This Row],[Sales_Revenue_30D]],0)</f>
        <v>0.50846876771191696</v>
      </c>
      <c r="V252" s="2">
        <v>98448.24</v>
      </c>
    </row>
    <row r="253" spans="1:22" x14ac:dyDescent="0.3">
      <c r="A253" s="2" t="s">
        <v>22</v>
      </c>
      <c r="B253" s="2" t="s">
        <v>23</v>
      </c>
      <c r="C253" s="2" t="s">
        <v>6</v>
      </c>
      <c r="D253" s="2" t="s">
        <v>66</v>
      </c>
      <c r="E253" s="2" t="s">
        <v>67</v>
      </c>
      <c r="F253" s="2" t="s">
        <v>480</v>
      </c>
      <c r="G253" s="3">
        <v>119</v>
      </c>
      <c r="H253" s="4">
        <v>1634.13</v>
      </c>
      <c r="I253" s="4">
        <v>4486.8999999999996</v>
      </c>
      <c r="J253" s="3">
        <v>24</v>
      </c>
      <c r="K253" s="3">
        <f>tblInventory[[#This Row],[Qty_On_Hand]]*tblInventory[[#This Row],[Unit_Cost]]</f>
        <v>39219.120000000003</v>
      </c>
      <c r="L253" s="3">
        <v>79</v>
      </c>
      <c r="M253" s="3">
        <f>IF(tblInventory[[#This Row],[Qty_On_Hand]]&lt;=tblInventory[[#This Row],[Reorder_Level]],1,0)</f>
        <v>1</v>
      </c>
      <c r="N253" s="3">
        <v>217</v>
      </c>
      <c r="O253" s="3" t="s">
        <v>137</v>
      </c>
      <c r="P253" s="2">
        <v>126</v>
      </c>
      <c r="Q253" s="6" t="s">
        <v>3</v>
      </c>
      <c r="R253" s="4">
        <v>565349.4</v>
      </c>
      <c r="S253" s="4">
        <v>205900.38</v>
      </c>
      <c r="T253" s="4">
        <v>359449.02</v>
      </c>
      <c r="U253" s="4">
        <f>IFERROR(tblInventory[[#This Row],[Gross_Profit_30D]]/tblInventory[[#This Row],[Sales_Revenue_30D]],0)</f>
        <v>0.63579977267155496</v>
      </c>
      <c r="V253" s="2">
        <v>39219.120000000003</v>
      </c>
    </row>
    <row r="254" spans="1:22" x14ac:dyDescent="0.3">
      <c r="A254" s="2" t="s">
        <v>481</v>
      </c>
      <c r="B254" s="2" t="s">
        <v>31</v>
      </c>
      <c r="C254" s="2" t="s">
        <v>6</v>
      </c>
      <c r="D254" s="2" t="s">
        <v>128</v>
      </c>
      <c r="E254" s="2" t="s">
        <v>91</v>
      </c>
      <c r="F254" s="2" t="s">
        <v>479</v>
      </c>
      <c r="G254" s="3">
        <v>92</v>
      </c>
      <c r="H254" s="4">
        <v>81.099999999999994</v>
      </c>
      <c r="I254" s="4">
        <v>198.01</v>
      </c>
      <c r="J254" s="3">
        <v>72</v>
      </c>
      <c r="K254" s="3">
        <f>tblInventory[[#This Row],[Qty_On_Hand]]*tblInventory[[#This Row],[Unit_Cost]]</f>
        <v>5839.2</v>
      </c>
      <c r="L254" s="3">
        <v>52</v>
      </c>
      <c r="M254" s="3">
        <f>IF(tblInventory[[#This Row],[Qty_On_Hand]]&lt;=tblInventory[[#This Row],[Reorder_Level]],1,0)</f>
        <v>0</v>
      </c>
      <c r="N254" s="3">
        <v>58</v>
      </c>
      <c r="O254" s="3" t="s">
        <v>80</v>
      </c>
      <c r="P254" s="2">
        <v>70</v>
      </c>
      <c r="Q254" s="7" t="s">
        <v>1</v>
      </c>
      <c r="R254" s="4">
        <v>13860.7</v>
      </c>
      <c r="S254" s="4">
        <v>5677</v>
      </c>
      <c r="T254" s="4">
        <v>8183.7</v>
      </c>
      <c r="U254" s="4">
        <f>IFERROR(tblInventory[[#This Row],[Gross_Profit_30D]]/tblInventory[[#This Row],[Sales_Revenue_30D]],0)</f>
        <v>0.59042472602393814</v>
      </c>
      <c r="V254" s="2">
        <v>5839.2</v>
      </c>
    </row>
    <row r="255" spans="1:22" x14ac:dyDescent="0.3">
      <c r="A255" s="2" t="s">
        <v>482</v>
      </c>
      <c r="B255" s="2" t="s">
        <v>116</v>
      </c>
      <c r="C255" s="2" t="s">
        <v>4</v>
      </c>
      <c r="D255" s="2" t="s">
        <v>77</v>
      </c>
      <c r="E255" s="2" t="s">
        <v>73</v>
      </c>
      <c r="F255" s="2" t="s">
        <v>313</v>
      </c>
      <c r="G255" s="3">
        <v>339</v>
      </c>
      <c r="H255" s="4">
        <v>1108.46</v>
      </c>
      <c r="I255" s="4">
        <v>1629.23</v>
      </c>
      <c r="J255" s="3">
        <v>253</v>
      </c>
      <c r="K255" s="3">
        <f>tblInventory[[#This Row],[Qty_On_Hand]]*tblInventory[[#This Row],[Unit_Cost]]</f>
        <v>280440.38</v>
      </c>
      <c r="L255" s="3">
        <v>29</v>
      </c>
      <c r="M255" s="3">
        <f>IF(tblInventory[[#This Row],[Qty_On_Hand]]&lt;=tblInventory[[#This Row],[Reorder_Level]],1,0)</f>
        <v>0</v>
      </c>
      <c r="N255" s="3">
        <v>118</v>
      </c>
      <c r="O255" s="3" t="s">
        <v>144</v>
      </c>
      <c r="P255" s="2">
        <v>139</v>
      </c>
      <c r="Q255" s="7" t="s">
        <v>1</v>
      </c>
      <c r="R255" s="4">
        <v>226462.97</v>
      </c>
      <c r="S255" s="4">
        <v>154075.94</v>
      </c>
      <c r="T255" s="4">
        <v>72387.03</v>
      </c>
      <c r="U255" s="4">
        <f>IFERROR(tblInventory[[#This Row],[Gross_Profit_30D]]/tblInventory[[#This Row],[Sales_Revenue_30D]],0)</f>
        <v>0.31964179397629555</v>
      </c>
      <c r="V255" s="2">
        <v>280440.38</v>
      </c>
    </row>
    <row r="256" spans="1:22" x14ac:dyDescent="0.3">
      <c r="A256" s="2" t="s">
        <v>483</v>
      </c>
      <c r="B256" s="2" t="s">
        <v>232</v>
      </c>
      <c r="C256" s="2" t="s">
        <v>0</v>
      </c>
      <c r="D256" s="2" t="s">
        <v>66</v>
      </c>
      <c r="E256" s="2" t="s">
        <v>91</v>
      </c>
      <c r="F256" s="2" t="s">
        <v>363</v>
      </c>
      <c r="G256" s="3">
        <v>267</v>
      </c>
      <c r="H256" s="4">
        <v>1477.26</v>
      </c>
      <c r="I256" s="4">
        <v>3368.9</v>
      </c>
      <c r="J256" s="3">
        <v>52</v>
      </c>
      <c r="K256" s="3">
        <f>tblInventory[[#This Row],[Qty_On_Hand]]*tblInventory[[#This Row],[Unit_Cost]]</f>
        <v>76817.52</v>
      </c>
      <c r="L256" s="3">
        <v>46</v>
      </c>
      <c r="M256" s="3">
        <f>IF(tblInventory[[#This Row],[Qty_On_Hand]]&lt;=tblInventory[[#This Row],[Reorder_Level]],1,0)</f>
        <v>0</v>
      </c>
      <c r="N256" s="3">
        <v>126</v>
      </c>
      <c r="O256" s="3" t="s">
        <v>162</v>
      </c>
      <c r="P256" s="2">
        <v>8</v>
      </c>
      <c r="Q256" s="7" t="s">
        <v>1</v>
      </c>
      <c r="R256" s="4">
        <v>26951.200000000001</v>
      </c>
      <c r="S256" s="4">
        <v>11818.08</v>
      </c>
      <c r="T256" s="4">
        <v>15133.12</v>
      </c>
      <c r="U256" s="4">
        <f>IFERROR(tblInventory[[#This Row],[Gross_Profit_30D]]/tblInventory[[#This Row],[Sales_Revenue_30D]],0)</f>
        <v>0.56150078660690439</v>
      </c>
      <c r="V256" s="2">
        <v>76817.52</v>
      </c>
    </row>
    <row r="257" spans="1:22" x14ac:dyDescent="0.3">
      <c r="A257" s="2" t="s">
        <v>484</v>
      </c>
      <c r="B257" s="2" t="s">
        <v>27</v>
      </c>
      <c r="C257" s="2" t="s">
        <v>6</v>
      </c>
      <c r="D257" s="2" t="s">
        <v>81</v>
      </c>
      <c r="E257" s="2" t="s">
        <v>78</v>
      </c>
      <c r="F257" s="2" t="s">
        <v>269</v>
      </c>
      <c r="G257" s="3">
        <v>447</v>
      </c>
      <c r="H257" s="4">
        <v>489.15</v>
      </c>
      <c r="I257" s="4">
        <v>1230.73</v>
      </c>
      <c r="J257" s="3">
        <v>415</v>
      </c>
      <c r="K257" s="3">
        <f>tblInventory[[#This Row],[Qty_On_Hand]]*tblInventory[[#This Row],[Unit_Cost]]</f>
        <v>202997.25</v>
      </c>
      <c r="L257" s="3">
        <v>90</v>
      </c>
      <c r="M257" s="3">
        <f>IF(tblInventory[[#This Row],[Qty_On_Hand]]&lt;=tblInventory[[#This Row],[Reorder_Level]],1,0)</f>
        <v>0</v>
      </c>
      <c r="N257" s="3">
        <v>226</v>
      </c>
      <c r="O257" s="3" t="s">
        <v>122</v>
      </c>
      <c r="P257" s="2">
        <v>89</v>
      </c>
      <c r="Q257" s="7" t="s">
        <v>1</v>
      </c>
      <c r="R257" s="4">
        <v>109534.97</v>
      </c>
      <c r="S257" s="4">
        <v>43534.35</v>
      </c>
      <c r="T257" s="4">
        <v>66000.62</v>
      </c>
      <c r="U257" s="4">
        <f>IFERROR(tblInventory[[#This Row],[Gross_Profit_30D]]/tblInventory[[#This Row],[Sales_Revenue_30D]],0)</f>
        <v>0.60255295637548445</v>
      </c>
      <c r="V257" s="2">
        <v>202997.25</v>
      </c>
    </row>
    <row r="258" spans="1:22" x14ac:dyDescent="0.3">
      <c r="A258" s="2" t="s">
        <v>24</v>
      </c>
      <c r="B258" s="2" t="s">
        <v>25</v>
      </c>
      <c r="C258" s="2" t="s">
        <v>7</v>
      </c>
      <c r="D258" s="2" t="s">
        <v>128</v>
      </c>
      <c r="E258" s="2" t="s">
        <v>73</v>
      </c>
      <c r="F258" s="2" t="s">
        <v>400</v>
      </c>
      <c r="G258" s="3">
        <v>451</v>
      </c>
      <c r="H258" s="4">
        <v>1630.79</v>
      </c>
      <c r="I258" s="4">
        <v>4090.28</v>
      </c>
      <c r="J258" s="3">
        <v>105</v>
      </c>
      <c r="K258" s="3">
        <f>tblInventory[[#This Row],[Qty_On_Hand]]*tblInventory[[#This Row],[Unit_Cost]]</f>
        <v>171232.94999999998</v>
      </c>
      <c r="L258" s="3">
        <v>87</v>
      </c>
      <c r="M258" s="3">
        <f>IF(tblInventory[[#This Row],[Qty_On_Hand]]&lt;=tblInventory[[#This Row],[Reorder_Level]],1,0)</f>
        <v>0</v>
      </c>
      <c r="N258" s="3">
        <v>139</v>
      </c>
      <c r="O258" s="3" t="s">
        <v>168</v>
      </c>
      <c r="P258" s="2">
        <v>136</v>
      </c>
      <c r="Q258" s="7" t="s">
        <v>1</v>
      </c>
      <c r="R258" s="4">
        <v>556278.07999999996</v>
      </c>
      <c r="S258" s="4">
        <v>221787.44</v>
      </c>
      <c r="T258" s="4">
        <v>334490.64</v>
      </c>
      <c r="U258" s="4">
        <f>IFERROR(tblInventory[[#This Row],[Gross_Profit_30D]]/tblInventory[[#This Row],[Sales_Revenue_30D]],0)</f>
        <v>0.60130113341873914</v>
      </c>
      <c r="V258" s="2">
        <v>171232.95</v>
      </c>
    </row>
    <row r="259" spans="1:22" x14ac:dyDescent="0.3">
      <c r="A259" s="2" t="s">
        <v>485</v>
      </c>
      <c r="B259" s="2" t="s">
        <v>85</v>
      </c>
      <c r="C259" s="2" t="s">
        <v>0</v>
      </c>
      <c r="D259" s="2" t="s">
        <v>96</v>
      </c>
      <c r="E259" s="2" t="s">
        <v>67</v>
      </c>
      <c r="F259" s="2" t="s">
        <v>214</v>
      </c>
      <c r="G259" s="3">
        <v>198</v>
      </c>
      <c r="H259" s="4">
        <v>549.34</v>
      </c>
      <c r="I259" s="4">
        <v>1421.16</v>
      </c>
      <c r="J259" s="3">
        <v>146</v>
      </c>
      <c r="K259" s="3">
        <f>tblInventory[[#This Row],[Qty_On_Hand]]*tblInventory[[#This Row],[Unit_Cost]]</f>
        <v>80203.64</v>
      </c>
      <c r="L259" s="3">
        <v>27</v>
      </c>
      <c r="M259" s="3">
        <f>IF(tblInventory[[#This Row],[Qty_On_Hand]]&lt;=tblInventory[[#This Row],[Reorder_Level]],1,0)</f>
        <v>0</v>
      </c>
      <c r="N259" s="3">
        <v>84</v>
      </c>
      <c r="O259" s="3" t="s">
        <v>198</v>
      </c>
      <c r="P259" s="2">
        <v>105</v>
      </c>
      <c r="Q259" s="7" t="s">
        <v>1</v>
      </c>
      <c r="R259" s="4">
        <v>149221.79999999999</v>
      </c>
      <c r="S259" s="4">
        <v>57680.7</v>
      </c>
      <c r="T259" s="4">
        <v>91541.1</v>
      </c>
      <c r="U259" s="4">
        <f>IFERROR(tblInventory[[#This Row],[Gross_Profit_30D]]/tblInventory[[#This Row],[Sales_Revenue_30D]],0)</f>
        <v>0.61345661290776554</v>
      </c>
      <c r="V259" s="2">
        <v>80203.64</v>
      </c>
    </row>
    <row r="260" spans="1:22" x14ac:dyDescent="0.3">
      <c r="A260" s="2" t="s">
        <v>486</v>
      </c>
      <c r="B260" s="2" t="s">
        <v>44</v>
      </c>
      <c r="C260" s="2" t="s">
        <v>8</v>
      </c>
      <c r="D260" s="2" t="s">
        <v>96</v>
      </c>
      <c r="E260" s="2" t="s">
        <v>73</v>
      </c>
      <c r="F260" s="2" t="s">
        <v>68</v>
      </c>
      <c r="G260" s="3">
        <v>414</v>
      </c>
      <c r="H260" s="4">
        <v>1660.39</v>
      </c>
      <c r="I260" s="4">
        <v>4055.02</v>
      </c>
      <c r="J260" s="3">
        <v>164</v>
      </c>
      <c r="K260" s="3">
        <f>tblInventory[[#This Row],[Qty_On_Hand]]*tblInventory[[#This Row],[Unit_Cost]]</f>
        <v>272303.96000000002</v>
      </c>
      <c r="L260" s="3">
        <v>65</v>
      </c>
      <c r="M260" s="3">
        <f>IF(tblInventory[[#This Row],[Qty_On_Hand]]&lt;=tblInventory[[#This Row],[Reorder_Level]],1,0)</f>
        <v>0</v>
      </c>
      <c r="N260" s="3">
        <v>175</v>
      </c>
      <c r="O260" s="3" t="s">
        <v>168</v>
      </c>
      <c r="P260" s="2">
        <v>36</v>
      </c>
      <c r="Q260" s="7" t="s">
        <v>1</v>
      </c>
      <c r="R260" s="4">
        <v>145980.72</v>
      </c>
      <c r="S260" s="4">
        <v>59774.04</v>
      </c>
      <c r="T260" s="4">
        <v>86206.68</v>
      </c>
      <c r="U260" s="4">
        <f>IFERROR(tblInventory[[#This Row],[Gross_Profit_30D]]/tblInventory[[#This Row],[Sales_Revenue_30D]],0)</f>
        <v>0.59053469526660773</v>
      </c>
      <c r="V260" s="2">
        <v>272303.96000000002</v>
      </c>
    </row>
    <row r="261" spans="1:22" x14ac:dyDescent="0.3">
      <c r="A261" s="2" t="s">
        <v>487</v>
      </c>
      <c r="B261" s="2" t="s">
        <v>273</v>
      </c>
      <c r="C261" s="2" t="s">
        <v>2</v>
      </c>
      <c r="D261" s="2" t="s">
        <v>128</v>
      </c>
      <c r="E261" s="2" t="s">
        <v>91</v>
      </c>
      <c r="F261" s="2" t="s">
        <v>355</v>
      </c>
      <c r="G261" s="3">
        <v>374</v>
      </c>
      <c r="H261" s="4">
        <v>817.64</v>
      </c>
      <c r="I261" s="4">
        <v>1982.53</v>
      </c>
      <c r="J261" s="3">
        <v>47</v>
      </c>
      <c r="K261" s="3">
        <f>tblInventory[[#This Row],[Qty_On_Hand]]*tblInventory[[#This Row],[Unit_Cost]]</f>
        <v>38429.08</v>
      </c>
      <c r="L261" s="3">
        <v>62</v>
      </c>
      <c r="M261" s="3">
        <f>IF(tblInventory[[#This Row],[Qty_On_Hand]]&lt;=tblInventory[[#This Row],[Reorder_Level]],1,0)</f>
        <v>1</v>
      </c>
      <c r="N261" s="3">
        <v>166</v>
      </c>
      <c r="O261" s="3" t="s">
        <v>126</v>
      </c>
      <c r="P261" s="2">
        <v>124</v>
      </c>
      <c r="Q261" s="6" t="s">
        <v>3</v>
      </c>
      <c r="R261" s="4">
        <v>245833.72</v>
      </c>
      <c r="S261" s="4">
        <v>101387.36</v>
      </c>
      <c r="T261" s="4">
        <v>144446.35999999999</v>
      </c>
      <c r="U261" s="4">
        <f>IFERROR(tblInventory[[#This Row],[Gross_Profit_30D]]/tblInventory[[#This Row],[Sales_Revenue_30D]],0)</f>
        <v>0.58757748936964382</v>
      </c>
      <c r="V261" s="2">
        <v>38429.08</v>
      </c>
    </row>
    <row r="262" spans="1:22" x14ac:dyDescent="0.3">
      <c r="A262" s="2" t="s">
        <v>488</v>
      </c>
      <c r="B262" s="2" t="s">
        <v>85</v>
      </c>
      <c r="C262" s="2" t="s">
        <v>0</v>
      </c>
      <c r="D262" s="2" t="s">
        <v>66</v>
      </c>
      <c r="E262" s="2" t="s">
        <v>78</v>
      </c>
      <c r="F262" s="2" t="s">
        <v>390</v>
      </c>
      <c r="G262" s="3">
        <v>375</v>
      </c>
      <c r="H262" s="4">
        <v>1400.63</v>
      </c>
      <c r="I262" s="4">
        <v>3606.85</v>
      </c>
      <c r="J262" s="3">
        <v>340</v>
      </c>
      <c r="K262" s="3">
        <f>tblInventory[[#This Row],[Qty_On_Hand]]*tblInventory[[#This Row],[Unit_Cost]]</f>
        <v>476214.2</v>
      </c>
      <c r="L262" s="3">
        <v>83</v>
      </c>
      <c r="M262" s="3">
        <f>IF(tblInventory[[#This Row],[Qty_On_Hand]]&lt;=tblInventory[[#This Row],[Reorder_Level]],1,0)</f>
        <v>0</v>
      </c>
      <c r="N262" s="3">
        <v>151</v>
      </c>
      <c r="O262" s="3" t="s">
        <v>144</v>
      </c>
      <c r="P262" s="2">
        <v>55</v>
      </c>
      <c r="Q262" s="7" t="s">
        <v>1</v>
      </c>
      <c r="R262" s="4">
        <v>198376.75</v>
      </c>
      <c r="S262" s="4">
        <v>77034.649999999994</v>
      </c>
      <c r="T262" s="4">
        <v>121342.1</v>
      </c>
      <c r="U262" s="4">
        <f>IFERROR(tblInventory[[#This Row],[Gross_Profit_30D]]/tblInventory[[#This Row],[Sales_Revenue_30D]],0)</f>
        <v>0.61167500727781865</v>
      </c>
      <c r="V262" s="2">
        <v>476214.2</v>
      </c>
    </row>
    <row r="263" spans="1:22" x14ac:dyDescent="0.3">
      <c r="A263" s="2" t="s">
        <v>489</v>
      </c>
      <c r="B263" s="2" t="s">
        <v>34</v>
      </c>
      <c r="C263" s="2" t="s">
        <v>6</v>
      </c>
      <c r="D263" s="2" t="s">
        <v>108</v>
      </c>
      <c r="E263" s="2" t="s">
        <v>67</v>
      </c>
      <c r="F263" s="2" t="s">
        <v>332</v>
      </c>
      <c r="G263" s="3">
        <v>222</v>
      </c>
      <c r="H263" s="4">
        <v>1164.31</v>
      </c>
      <c r="I263" s="4">
        <v>2502.35</v>
      </c>
      <c r="J263" s="3">
        <v>140</v>
      </c>
      <c r="K263" s="3">
        <f>tblInventory[[#This Row],[Qty_On_Hand]]*tblInventory[[#This Row],[Unit_Cost]]</f>
        <v>163003.4</v>
      </c>
      <c r="L263" s="3">
        <v>77</v>
      </c>
      <c r="M263" s="3">
        <f>IF(tblInventory[[#This Row],[Qty_On_Hand]]&lt;=tblInventory[[#This Row],[Reorder_Level]],1,0)</f>
        <v>0</v>
      </c>
      <c r="N263" s="3">
        <v>251</v>
      </c>
      <c r="O263" s="3" t="s">
        <v>198</v>
      </c>
      <c r="P263" s="2">
        <v>87</v>
      </c>
      <c r="Q263" s="7" t="s">
        <v>1</v>
      </c>
      <c r="R263" s="4">
        <v>217704.45</v>
      </c>
      <c r="S263" s="4">
        <v>101294.97</v>
      </c>
      <c r="T263" s="4">
        <v>116409.48</v>
      </c>
      <c r="U263" s="4">
        <f>IFERROR(tblInventory[[#This Row],[Gross_Profit_30D]]/tblInventory[[#This Row],[Sales_Revenue_30D]],0)</f>
        <v>0.53471336943273318</v>
      </c>
      <c r="V263" s="2">
        <v>163003.4</v>
      </c>
    </row>
    <row r="264" spans="1:22" x14ac:dyDescent="0.3">
      <c r="A264" s="2" t="s">
        <v>490</v>
      </c>
      <c r="B264" s="2" t="s">
        <v>291</v>
      </c>
      <c r="C264" s="2" t="s">
        <v>7</v>
      </c>
      <c r="D264" s="2" t="s">
        <v>66</v>
      </c>
      <c r="E264" s="2" t="s">
        <v>78</v>
      </c>
      <c r="F264" s="2" t="s">
        <v>286</v>
      </c>
      <c r="G264" s="3">
        <v>58</v>
      </c>
      <c r="H264" s="4">
        <v>1860.28</v>
      </c>
      <c r="I264" s="4">
        <v>2859.2</v>
      </c>
      <c r="J264" s="3">
        <v>7</v>
      </c>
      <c r="K264" s="3">
        <f>tblInventory[[#This Row],[Qty_On_Hand]]*tblInventory[[#This Row],[Unit_Cost]]</f>
        <v>13021.96</v>
      </c>
      <c r="L264" s="3">
        <v>73</v>
      </c>
      <c r="M264" s="3">
        <f>IF(tblInventory[[#This Row],[Qty_On_Hand]]&lt;=tblInventory[[#This Row],[Reorder_Level]],1,0)</f>
        <v>1</v>
      </c>
      <c r="N264" s="3">
        <v>50</v>
      </c>
      <c r="O264" s="3" t="s">
        <v>144</v>
      </c>
      <c r="P264" s="2">
        <v>109</v>
      </c>
      <c r="Q264" s="6" t="s">
        <v>3</v>
      </c>
      <c r="R264" s="4">
        <v>311652.8</v>
      </c>
      <c r="S264" s="4">
        <v>202770.52</v>
      </c>
      <c r="T264" s="4">
        <v>108882.28</v>
      </c>
      <c r="U264" s="4">
        <f>IFERROR(tblInventory[[#This Row],[Gross_Profit_30D]]/tblInventory[[#This Row],[Sales_Revenue_30D]],0)</f>
        <v>0.34937045327364297</v>
      </c>
      <c r="V264" s="2">
        <v>13021.96</v>
      </c>
    </row>
    <row r="265" spans="1:22" x14ac:dyDescent="0.3">
      <c r="A265" s="2" t="s">
        <v>491</v>
      </c>
      <c r="B265" s="2" t="s">
        <v>107</v>
      </c>
      <c r="C265" s="2" t="s">
        <v>4</v>
      </c>
      <c r="D265" s="2" t="s">
        <v>77</v>
      </c>
      <c r="E265" s="2" t="s">
        <v>73</v>
      </c>
      <c r="F265" s="2" t="s">
        <v>246</v>
      </c>
      <c r="G265" s="3">
        <v>97</v>
      </c>
      <c r="H265" s="4">
        <v>733.66</v>
      </c>
      <c r="I265" s="4">
        <v>1044.46</v>
      </c>
      <c r="J265" s="3">
        <v>83</v>
      </c>
      <c r="K265" s="3">
        <f>tblInventory[[#This Row],[Qty_On_Hand]]*tblInventory[[#This Row],[Unit_Cost]]</f>
        <v>60893.78</v>
      </c>
      <c r="L265" s="3">
        <v>100</v>
      </c>
      <c r="M265" s="3">
        <f>IF(tblInventory[[#This Row],[Qty_On_Hand]]&lt;=tblInventory[[#This Row],[Reorder_Level]],1,0)</f>
        <v>1</v>
      </c>
      <c r="N265" s="3">
        <v>281</v>
      </c>
      <c r="O265" s="3" t="s">
        <v>83</v>
      </c>
      <c r="P265" s="2">
        <v>42</v>
      </c>
      <c r="Q265" s="6" t="s">
        <v>3</v>
      </c>
      <c r="R265" s="4">
        <v>43867.32</v>
      </c>
      <c r="S265" s="4">
        <v>30813.72</v>
      </c>
      <c r="T265" s="4">
        <v>13053.6</v>
      </c>
      <c r="U265" s="4">
        <f>IFERROR(tblInventory[[#This Row],[Gross_Profit_30D]]/tblInventory[[#This Row],[Sales_Revenue_30D]],0)</f>
        <v>0.29757003619095035</v>
      </c>
      <c r="V265" s="2">
        <v>60893.78</v>
      </c>
    </row>
    <row r="266" spans="1:22" x14ac:dyDescent="0.3">
      <c r="A266" s="2" t="s">
        <v>492</v>
      </c>
      <c r="B266" s="2" t="s">
        <v>90</v>
      </c>
      <c r="C266" s="2" t="s">
        <v>8</v>
      </c>
      <c r="D266" s="2" t="s">
        <v>77</v>
      </c>
      <c r="E266" s="2" t="s">
        <v>73</v>
      </c>
      <c r="F266" s="2" t="s">
        <v>428</v>
      </c>
      <c r="G266" s="3">
        <v>96</v>
      </c>
      <c r="H266" s="4">
        <v>208.46</v>
      </c>
      <c r="I266" s="4">
        <v>337.73</v>
      </c>
      <c r="J266" s="3">
        <v>90</v>
      </c>
      <c r="K266" s="3">
        <f>tblInventory[[#This Row],[Qty_On_Hand]]*tblInventory[[#This Row],[Unit_Cost]]</f>
        <v>18761.400000000001</v>
      </c>
      <c r="L266" s="3">
        <v>24</v>
      </c>
      <c r="M266" s="3">
        <f>IF(tblInventory[[#This Row],[Qty_On_Hand]]&lt;=tblInventory[[#This Row],[Reorder_Level]],1,0)</f>
        <v>0</v>
      </c>
      <c r="N266" s="3">
        <v>83</v>
      </c>
      <c r="O266" s="3" t="s">
        <v>118</v>
      </c>
      <c r="P266" s="2">
        <v>57</v>
      </c>
      <c r="Q266" s="7" t="s">
        <v>1</v>
      </c>
      <c r="R266" s="4">
        <v>19250.61</v>
      </c>
      <c r="S266" s="4">
        <v>11882.22</v>
      </c>
      <c r="T266" s="4">
        <v>7368.39</v>
      </c>
      <c r="U266" s="4">
        <f>IFERROR(tblInventory[[#This Row],[Gross_Profit_30D]]/tblInventory[[#This Row],[Sales_Revenue_30D]],0)</f>
        <v>0.38276137743167621</v>
      </c>
      <c r="V266" s="2">
        <v>18761.400000000001</v>
      </c>
    </row>
    <row r="267" spans="1:22" x14ac:dyDescent="0.3">
      <c r="A267" s="2" t="s">
        <v>493</v>
      </c>
      <c r="B267" s="2" t="s">
        <v>16</v>
      </c>
      <c r="C267" s="2" t="s">
        <v>2</v>
      </c>
      <c r="D267" s="2" t="s">
        <v>66</v>
      </c>
      <c r="E267" s="2" t="s">
        <v>78</v>
      </c>
      <c r="F267" s="2" t="s">
        <v>197</v>
      </c>
      <c r="G267" s="3">
        <v>468</v>
      </c>
      <c r="H267" s="4">
        <v>1976.55</v>
      </c>
      <c r="I267" s="4">
        <v>3821.6</v>
      </c>
      <c r="J267" s="3">
        <v>61</v>
      </c>
      <c r="K267" s="3">
        <f>tblInventory[[#This Row],[Qty_On_Hand]]*tblInventory[[#This Row],[Unit_Cost]]</f>
        <v>120569.55</v>
      </c>
      <c r="L267" s="3">
        <v>31</v>
      </c>
      <c r="M267" s="3">
        <f>IF(tblInventory[[#This Row],[Qty_On_Hand]]&lt;=tblInventory[[#This Row],[Reorder_Level]],1,0)</f>
        <v>0</v>
      </c>
      <c r="N267" s="3">
        <v>172</v>
      </c>
      <c r="O267" s="3" t="s">
        <v>182</v>
      </c>
      <c r="P267" s="2">
        <v>18</v>
      </c>
      <c r="Q267" s="7" t="s">
        <v>1</v>
      </c>
      <c r="R267" s="4">
        <v>68788.800000000003</v>
      </c>
      <c r="S267" s="4">
        <v>35577.9</v>
      </c>
      <c r="T267" s="4">
        <v>33210.9</v>
      </c>
      <c r="U267" s="4">
        <f>IFERROR(tblInventory[[#This Row],[Gross_Profit_30D]]/tblInventory[[#This Row],[Sales_Revenue_30D]],0)</f>
        <v>0.48279516432907682</v>
      </c>
      <c r="V267" s="2">
        <v>120569.55</v>
      </c>
    </row>
    <row r="268" spans="1:22" x14ac:dyDescent="0.3">
      <c r="A268" s="2" t="s">
        <v>494</v>
      </c>
      <c r="B268" s="2" t="s">
        <v>148</v>
      </c>
      <c r="C268" s="2" t="s">
        <v>4</v>
      </c>
      <c r="D268" s="2" t="s">
        <v>72</v>
      </c>
      <c r="E268" s="2" t="s">
        <v>78</v>
      </c>
      <c r="F268" s="2" t="s">
        <v>411</v>
      </c>
      <c r="G268" s="3">
        <v>238</v>
      </c>
      <c r="H268" s="4">
        <v>612.53</v>
      </c>
      <c r="I268" s="4">
        <v>1147.93</v>
      </c>
      <c r="J268" s="3">
        <v>225</v>
      </c>
      <c r="K268" s="3">
        <f>tblInventory[[#This Row],[Qty_On_Hand]]*tblInventory[[#This Row],[Unit_Cost]]</f>
        <v>137819.25</v>
      </c>
      <c r="L268" s="3">
        <v>32</v>
      </c>
      <c r="M268" s="3">
        <f>IF(tblInventory[[#This Row],[Qty_On_Hand]]&lt;=tblInventory[[#This Row],[Reorder_Level]],1,0)</f>
        <v>0</v>
      </c>
      <c r="N268" s="3">
        <v>214</v>
      </c>
      <c r="O268" s="3" t="s">
        <v>182</v>
      </c>
      <c r="P268" s="2">
        <v>36</v>
      </c>
      <c r="Q268" s="7" t="s">
        <v>1</v>
      </c>
      <c r="R268" s="4">
        <v>41325.480000000003</v>
      </c>
      <c r="S268" s="4">
        <v>22051.08</v>
      </c>
      <c r="T268" s="4">
        <v>19274.400000000001</v>
      </c>
      <c r="U268" s="4">
        <f>IFERROR(tblInventory[[#This Row],[Gross_Profit_30D]]/tblInventory[[#This Row],[Sales_Revenue_30D]],0)</f>
        <v>0.46640474593398551</v>
      </c>
      <c r="V268" s="2">
        <v>137819.25</v>
      </c>
    </row>
    <row r="269" spans="1:22" x14ac:dyDescent="0.3">
      <c r="A269" s="2" t="s">
        <v>495</v>
      </c>
      <c r="B269" s="2" t="s">
        <v>496</v>
      </c>
      <c r="C269" s="2" t="s">
        <v>8</v>
      </c>
      <c r="D269" s="2" t="s">
        <v>66</v>
      </c>
      <c r="E269" s="2" t="s">
        <v>86</v>
      </c>
      <c r="F269" s="2" t="s">
        <v>421</v>
      </c>
      <c r="G269" s="3">
        <v>275</v>
      </c>
      <c r="H269" s="4">
        <v>1450.42</v>
      </c>
      <c r="I269" s="4">
        <v>3252.02</v>
      </c>
      <c r="J269" s="3">
        <v>179</v>
      </c>
      <c r="K269" s="3">
        <f>tblInventory[[#This Row],[Qty_On_Hand]]*tblInventory[[#This Row],[Unit_Cost]]</f>
        <v>259625.18000000002</v>
      </c>
      <c r="L269" s="3">
        <v>34</v>
      </c>
      <c r="M269" s="3">
        <f>IF(tblInventory[[#This Row],[Qty_On_Hand]]&lt;=tblInventory[[#This Row],[Reorder_Level]],1,0)</f>
        <v>0</v>
      </c>
      <c r="N269" s="3">
        <v>285</v>
      </c>
      <c r="O269" s="3" t="s">
        <v>80</v>
      </c>
      <c r="P269" s="2">
        <v>105</v>
      </c>
      <c r="Q269" s="7" t="s">
        <v>1</v>
      </c>
      <c r="R269" s="4">
        <v>341462.1</v>
      </c>
      <c r="S269" s="4">
        <v>152294.1</v>
      </c>
      <c r="T269" s="4">
        <v>189168</v>
      </c>
      <c r="U269" s="4">
        <f>IFERROR(tblInventory[[#This Row],[Gross_Profit_30D]]/tblInventory[[#This Row],[Sales_Revenue_30D]],0)</f>
        <v>0.55399413287741162</v>
      </c>
      <c r="V269" s="2">
        <v>259625.18</v>
      </c>
    </row>
    <row r="270" spans="1:22" x14ac:dyDescent="0.3">
      <c r="A270" s="2" t="s">
        <v>497</v>
      </c>
      <c r="B270" s="2" t="s">
        <v>16</v>
      </c>
      <c r="C270" s="2" t="s">
        <v>2</v>
      </c>
      <c r="D270" s="2" t="s">
        <v>132</v>
      </c>
      <c r="E270" s="2" t="s">
        <v>78</v>
      </c>
      <c r="F270" s="2" t="s">
        <v>498</v>
      </c>
      <c r="G270" s="3">
        <v>121</v>
      </c>
      <c r="H270" s="4">
        <v>263.85000000000002</v>
      </c>
      <c r="I270" s="4">
        <v>631.91999999999996</v>
      </c>
      <c r="J270" s="3">
        <v>96</v>
      </c>
      <c r="K270" s="3">
        <f>tblInventory[[#This Row],[Qty_On_Hand]]*tblInventory[[#This Row],[Unit_Cost]]</f>
        <v>25329.600000000002</v>
      </c>
      <c r="L270" s="3">
        <v>59</v>
      </c>
      <c r="M270" s="3">
        <f>IF(tblInventory[[#This Row],[Qty_On_Hand]]&lt;=tblInventory[[#This Row],[Reorder_Level]],1,0)</f>
        <v>0</v>
      </c>
      <c r="N270" s="3">
        <v>296</v>
      </c>
      <c r="O270" s="3" t="s">
        <v>122</v>
      </c>
      <c r="P270" s="2">
        <v>109</v>
      </c>
      <c r="Q270" s="7" t="s">
        <v>1</v>
      </c>
      <c r="R270" s="4">
        <v>68879.28</v>
      </c>
      <c r="S270" s="4">
        <v>28759.65</v>
      </c>
      <c r="T270" s="4">
        <v>40119.629999999997</v>
      </c>
      <c r="U270" s="4">
        <f>IFERROR(tblInventory[[#This Row],[Gross_Profit_30D]]/tblInventory[[#This Row],[Sales_Revenue_30D]],0)</f>
        <v>0.58246296999620206</v>
      </c>
      <c r="V270" s="2">
        <v>25329.599999999999</v>
      </c>
    </row>
    <row r="271" spans="1:22" x14ac:dyDescent="0.3">
      <c r="A271" s="2" t="s">
        <v>499</v>
      </c>
      <c r="B271" s="2" t="s">
        <v>310</v>
      </c>
      <c r="C271" s="2" t="s">
        <v>0</v>
      </c>
      <c r="D271" s="2" t="s">
        <v>132</v>
      </c>
      <c r="E271" s="2" t="s">
        <v>67</v>
      </c>
      <c r="F271" s="2" t="s">
        <v>339</v>
      </c>
      <c r="G271" s="3">
        <v>177</v>
      </c>
      <c r="H271" s="4">
        <v>1209.98</v>
      </c>
      <c r="I271" s="4">
        <v>2881.89</v>
      </c>
      <c r="J271" s="3">
        <v>141</v>
      </c>
      <c r="K271" s="3">
        <f>tblInventory[[#This Row],[Qty_On_Hand]]*tblInventory[[#This Row],[Unit_Cost]]</f>
        <v>170607.18</v>
      </c>
      <c r="L271" s="3">
        <v>51</v>
      </c>
      <c r="M271" s="3">
        <f>IF(tblInventory[[#This Row],[Qty_On_Hand]]&lt;=tblInventory[[#This Row],[Reorder_Level]],1,0)</f>
        <v>0</v>
      </c>
      <c r="N271" s="3">
        <v>249</v>
      </c>
      <c r="O271" s="3" t="s">
        <v>126</v>
      </c>
      <c r="P271" s="2">
        <v>6</v>
      </c>
      <c r="Q271" s="7" t="s">
        <v>1</v>
      </c>
      <c r="R271" s="4">
        <v>17291.34</v>
      </c>
      <c r="S271" s="4">
        <v>7259.88</v>
      </c>
      <c r="T271" s="4">
        <v>10031.459999999999</v>
      </c>
      <c r="U271" s="4">
        <f>IFERROR(tblInventory[[#This Row],[Gross_Profit_30D]]/tblInventory[[#This Row],[Sales_Revenue_30D]],0)</f>
        <v>0.58014358632702834</v>
      </c>
      <c r="V271" s="2">
        <v>170607.18</v>
      </c>
    </row>
    <row r="272" spans="1:22" x14ac:dyDescent="0.3">
      <c r="A272" s="2" t="s">
        <v>500</v>
      </c>
      <c r="B272" s="2" t="s">
        <v>261</v>
      </c>
      <c r="C272" s="2" t="s">
        <v>7</v>
      </c>
      <c r="D272" s="2" t="s">
        <v>132</v>
      </c>
      <c r="E272" s="2" t="s">
        <v>86</v>
      </c>
      <c r="F272" s="2" t="s">
        <v>82</v>
      </c>
      <c r="G272" s="3">
        <v>146</v>
      </c>
      <c r="H272" s="4">
        <v>605.16999999999996</v>
      </c>
      <c r="I272" s="4">
        <v>836.26</v>
      </c>
      <c r="J272" s="3">
        <v>100</v>
      </c>
      <c r="K272" s="3">
        <f>tblInventory[[#This Row],[Qty_On_Hand]]*tblInventory[[#This Row],[Unit_Cost]]</f>
        <v>60516.999999999993</v>
      </c>
      <c r="L272" s="3">
        <v>45</v>
      </c>
      <c r="M272" s="3">
        <f>IF(tblInventory[[#This Row],[Qty_On_Hand]]&lt;=tblInventory[[#This Row],[Reorder_Level]],1,0)</f>
        <v>0</v>
      </c>
      <c r="N272" s="3">
        <v>176</v>
      </c>
      <c r="O272" s="3" t="s">
        <v>75</v>
      </c>
      <c r="P272" s="2">
        <v>98</v>
      </c>
      <c r="Q272" s="7" t="s">
        <v>1</v>
      </c>
      <c r="R272" s="4">
        <v>81953.48</v>
      </c>
      <c r="S272" s="4">
        <v>59306.66</v>
      </c>
      <c r="T272" s="4">
        <v>22646.82</v>
      </c>
      <c r="U272" s="4">
        <f>IFERROR(tblInventory[[#This Row],[Gross_Profit_30D]]/tblInventory[[#This Row],[Sales_Revenue_30D]],0)</f>
        <v>0.2763375026905508</v>
      </c>
      <c r="V272" s="2">
        <v>60517</v>
      </c>
    </row>
    <row r="273" spans="1:22" x14ac:dyDescent="0.3">
      <c r="A273" s="2" t="s">
        <v>501</v>
      </c>
      <c r="B273" s="2" t="s">
        <v>204</v>
      </c>
      <c r="C273" s="2" t="s">
        <v>8</v>
      </c>
      <c r="D273" s="2" t="s">
        <v>108</v>
      </c>
      <c r="E273" s="2" t="s">
        <v>86</v>
      </c>
      <c r="F273" s="2" t="s">
        <v>284</v>
      </c>
      <c r="G273" s="3">
        <v>56</v>
      </c>
      <c r="H273" s="4">
        <v>1869.17</v>
      </c>
      <c r="I273" s="4">
        <v>2799.97</v>
      </c>
      <c r="J273" s="3">
        <v>23</v>
      </c>
      <c r="K273" s="3">
        <f>tblInventory[[#This Row],[Qty_On_Hand]]*tblInventory[[#This Row],[Unit_Cost]]</f>
        <v>42990.91</v>
      </c>
      <c r="L273" s="3">
        <v>87</v>
      </c>
      <c r="M273" s="3">
        <f>IF(tblInventory[[#This Row],[Qty_On_Hand]]&lt;=tblInventory[[#This Row],[Reorder_Level]],1,0)</f>
        <v>1</v>
      </c>
      <c r="N273" s="3">
        <v>157</v>
      </c>
      <c r="O273" s="3" t="s">
        <v>75</v>
      </c>
      <c r="P273" s="2">
        <v>93</v>
      </c>
      <c r="Q273" s="6" t="s">
        <v>3</v>
      </c>
      <c r="R273" s="4">
        <v>260397.21</v>
      </c>
      <c r="S273" s="4">
        <v>173832.81</v>
      </c>
      <c r="T273" s="4">
        <v>86564.4</v>
      </c>
      <c r="U273" s="4">
        <f>IFERROR(tblInventory[[#This Row],[Gross_Profit_30D]]/tblInventory[[#This Row],[Sales_Revenue_30D]],0)</f>
        <v>0.33243213320142717</v>
      </c>
      <c r="V273" s="2">
        <v>42990.91</v>
      </c>
    </row>
    <row r="274" spans="1:22" x14ac:dyDescent="0.3">
      <c r="A274" s="2" t="s">
        <v>502</v>
      </c>
      <c r="B274" s="2" t="s">
        <v>135</v>
      </c>
      <c r="C274" s="2" t="s">
        <v>2</v>
      </c>
      <c r="D274" s="2" t="s">
        <v>108</v>
      </c>
      <c r="E274" s="2" t="s">
        <v>78</v>
      </c>
      <c r="F274" s="2" t="s">
        <v>121</v>
      </c>
      <c r="G274" s="3">
        <v>84</v>
      </c>
      <c r="H274" s="4">
        <v>539.13</v>
      </c>
      <c r="I274" s="4">
        <v>733.08</v>
      </c>
      <c r="J274" s="3">
        <v>1</v>
      </c>
      <c r="K274" s="3">
        <f>tblInventory[[#This Row],[Qty_On_Hand]]*tblInventory[[#This Row],[Unit_Cost]]</f>
        <v>539.13</v>
      </c>
      <c r="L274" s="3">
        <v>22</v>
      </c>
      <c r="M274" s="3">
        <f>IF(tblInventory[[#This Row],[Qty_On_Hand]]&lt;=tblInventory[[#This Row],[Reorder_Level]],1,0)</f>
        <v>1</v>
      </c>
      <c r="N274" s="3">
        <v>292</v>
      </c>
      <c r="O274" s="3" t="s">
        <v>101</v>
      </c>
      <c r="P274" s="2">
        <v>101</v>
      </c>
      <c r="Q274" s="6" t="s">
        <v>3</v>
      </c>
      <c r="R274" s="4">
        <v>74041.08</v>
      </c>
      <c r="S274" s="4">
        <v>54452.13</v>
      </c>
      <c r="T274" s="4">
        <v>19588.95</v>
      </c>
      <c r="U274" s="4">
        <f>IFERROR(tblInventory[[#This Row],[Gross_Profit_30D]]/tblInventory[[#This Row],[Sales_Revenue_30D]],0)</f>
        <v>0.26456866917662464</v>
      </c>
      <c r="V274" s="2">
        <v>539.13</v>
      </c>
    </row>
    <row r="275" spans="1:22" x14ac:dyDescent="0.3">
      <c r="A275" s="2" t="s">
        <v>503</v>
      </c>
      <c r="B275" s="2" t="s">
        <v>273</v>
      </c>
      <c r="C275" s="2" t="s">
        <v>2</v>
      </c>
      <c r="D275" s="2" t="s">
        <v>128</v>
      </c>
      <c r="E275" s="2" t="s">
        <v>91</v>
      </c>
      <c r="F275" s="2" t="s">
        <v>197</v>
      </c>
      <c r="G275" s="3">
        <v>92</v>
      </c>
      <c r="H275" s="4">
        <v>1082.4000000000001</v>
      </c>
      <c r="I275" s="4">
        <v>2407.33</v>
      </c>
      <c r="J275" s="3">
        <v>81</v>
      </c>
      <c r="K275" s="3">
        <f>tblInventory[[#This Row],[Qty_On_Hand]]*tblInventory[[#This Row],[Unit_Cost]]</f>
        <v>87674.400000000009</v>
      </c>
      <c r="L275" s="3">
        <v>50</v>
      </c>
      <c r="M275" s="3">
        <f>IF(tblInventory[[#This Row],[Qty_On_Hand]]&lt;=tblInventory[[#This Row],[Reorder_Level]],1,0)</f>
        <v>0</v>
      </c>
      <c r="N275" s="3">
        <v>71</v>
      </c>
      <c r="O275" s="3" t="s">
        <v>140</v>
      </c>
      <c r="P275" s="2">
        <v>79</v>
      </c>
      <c r="Q275" s="7" t="s">
        <v>1</v>
      </c>
      <c r="R275" s="4">
        <v>190179.07</v>
      </c>
      <c r="S275" s="4">
        <v>85509.6</v>
      </c>
      <c r="T275" s="4">
        <v>104669.47</v>
      </c>
      <c r="U275" s="4">
        <f>IFERROR(tblInventory[[#This Row],[Gross_Profit_30D]]/tblInventory[[#This Row],[Sales_Revenue_30D]],0)</f>
        <v>0.55037323507786629</v>
      </c>
      <c r="V275" s="2">
        <v>87674.4</v>
      </c>
    </row>
    <row r="276" spans="1:22" x14ac:dyDescent="0.3">
      <c r="A276" s="2" t="s">
        <v>504</v>
      </c>
      <c r="B276" s="2" t="s">
        <v>496</v>
      </c>
      <c r="C276" s="2" t="s">
        <v>8</v>
      </c>
      <c r="D276" s="2" t="s">
        <v>132</v>
      </c>
      <c r="E276" s="2" t="s">
        <v>73</v>
      </c>
      <c r="F276" s="2" t="s">
        <v>161</v>
      </c>
      <c r="G276" s="3">
        <v>250</v>
      </c>
      <c r="H276" s="4">
        <v>1275.9000000000001</v>
      </c>
      <c r="I276" s="4">
        <v>3255.83</v>
      </c>
      <c r="J276" s="3">
        <v>150</v>
      </c>
      <c r="K276" s="3">
        <f>tblInventory[[#This Row],[Qty_On_Hand]]*tblInventory[[#This Row],[Unit_Cost]]</f>
        <v>191385</v>
      </c>
      <c r="L276" s="3">
        <v>97</v>
      </c>
      <c r="M276" s="3">
        <f>IF(tblInventory[[#This Row],[Qty_On_Hand]]&lt;=tblInventory[[#This Row],[Reorder_Level]],1,0)</f>
        <v>0</v>
      </c>
      <c r="N276" s="3">
        <v>66</v>
      </c>
      <c r="O276" s="3" t="s">
        <v>182</v>
      </c>
      <c r="P276" s="2">
        <v>79</v>
      </c>
      <c r="Q276" s="7" t="s">
        <v>1</v>
      </c>
      <c r="R276" s="4">
        <v>257210.57</v>
      </c>
      <c r="S276" s="4">
        <v>100796.1</v>
      </c>
      <c r="T276" s="4">
        <v>156414.47</v>
      </c>
      <c r="U276" s="4">
        <f>IFERROR(tblInventory[[#This Row],[Gross_Profit_30D]]/tblInventory[[#This Row],[Sales_Revenue_30D]],0)</f>
        <v>0.60811835998808295</v>
      </c>
      <c r="V276" s="2">
        <v>191385</v>
      </c>
    </row>
    <row r="277" spans="1:22" x14ac:dyDescent="0.3">
      <c r="A277" s="2" t="s">
        <v>505</v>
      </c>
      <c r="B277" s="2" t="s">
        <v>196</v>
      </c>
      <c r="C277" s="2" t="s">
        <v>7</v>
      </c>
      <c r="D277" s="2" t="s">
        <v>132</v>
      </c>
      <c r="E277" s="2" t="s">
        <v>78</v>
      </c>
      <c r="F277" s="2" t="s">
        <v>68</v>
      </c>
      <c r="G277" s="3">
        <v>272</v>
      </c>
      <c r="H277" s="4">
        <v>917.68</v>
      </c>
      <c r="I277" s="4">
        <v>2031.05</v>
      </c>
      <c r="J277" s="3">
        <v>59</v>
      </c>
      <c r="K277" s="3">
        <f>tblInventory[[#This Row],[Qty_On_Hand]]*tblInventory[[#This Row],[Unit_Cost]]</f>
        <v>54143.119999999995</v>
      </c>
      <c r="L277" s="3">
        <v>54</v>
      </c>
      <c r="M277" s="3">
        <f>IF(tblInventory[[#This Row],[Qty_On_Hand]]&lt;=tblInventory[[#This Row],[Reorder_Level]],1,0)</f>
        <v>0</v>
      </c>
      <c r="N277" s="3">
        <v>220</v>
      </c>
      <c r="O277" s="3" t="s">
        <v>126</v>
      </c>
      <c r="P277" s="2">
        <v>44</v>
      </c>
      <c r="Q277" s="7" t="s">
        <v>1</v>
      </c>
      <c r="R277" s="4">
        <v>89366.2</v>
      </c>
      <c r="S277" s="4">
        <v>40377.919999999998</v>
      </c>
      <c r="T277" s="4">
        <v>48988.28</v>
      </c>
      <c r="U277" s="4">
        <f>IFERROR(tblInventory[[#This Row],[Gross_Profit_30D]]/tblInventory[[#This Row],[Sales_Revenue_30D]],0)</f>
        <v>0.54817458949804287</v>
      </c>
      <c r="V277" s="2">
        <v>54143.12</v>
      </c>
    </row>
    <row r="278" spans="1:22" x14ac:dyDescent="0.3">
      <c r="A278" s="2" t="s">
        <v>506</v>
      </c>
      <c r="B278" s="2" t="s">
        <v>71</v>
      </c>
      <c r="C278" s="2" t="s">
        <v>8</v>
      </c>
      <c r="D278" s="2" t="s">
        <v>96</v>
      </c>
      <c r="E278" s="2" t="s">
        <v>78</v>
      </c>
      <c r="F278" s="2" t="s">
        <v>507</v>
      </c>
      <c r="G278" s="3">
        <v>227</v>
      </c>
      <c r="H278" s="4">
        <v>1044.0999999999999</v>
      </c>
      <c r="I278" s="4">
        <v>2645.5</v>
      </c>
      <c r="J278" s="3">
        <v>133</v>
      </c>
      <c r="K278" s="3">
        <f>tblInventory[[#This Row],[Qty_On_Hand]]*tblInventory[[#This Row],[Unit_Cost]]</f>
        <v>138865.29999999999</v>
      </c>
      <c r="L278" s="3">
        <v>48</v>
      </c>
      <c r="M278" s="3">
        <f>IF(tblInventory[[#This Row],[Qty_On_Hand]]&lt;=tblInventory[[#This Row],[Reorder_Level]],1,0)</f>
        <v>0</v>
      </c>
      <c r="N278" s="3">
        <v>92</v>
      </c>
      <c r="O278" s="3" t="s">
        <v>137</v>
      </c>
      <c r="P278" s="2">
        <v>95</v>
      </c>
      <c r="Q278" s="7" t="s">
        <v>1</v>
      </c>
      <c r="R278" s="4">
        <v>251322.5</v>
      </c>
      <c r="S278" s="4">
        <v>99189.5</v>
      </c>
      <c r="T278" s="4">
        <v>152133</v>
      </c>
      <c r="U278" s="4">
        <f>IFERROR(tblInventory[[#This Row],[Gross_Profit_30D]]/tblInventory[[#This Row],[Sales_Revenue_30D]],0)</f>
        <v>0.60532980532980529</v>
      </c>
      <c r="V278" s="2">
        <v>138865.29999999999</v>
      </c>
    </row>
    <row r="279" spans="1:22" x14ac:dyDescent="0.3">
      <c r="A279" s="2" t="s">
        <v>508</v>
      </c>
      <c r="B279" s="2" t="s">
        <v>103</v>
      </c>
      <c r="C279" s="2" t="s">
        <v>4</v>
      </c>
      <c r="D279" s="2" t="s">
        <v>72</v>
      </c>
      <c r="E279" s="2" t="s">
        <v>78</v>
      </c>
      <c r="F279" s="2" t="s">
        <v>187</v>
      </c>
      <c r="G279" s="3">
        <v>189</v>
      </c>
      <c r="H279" s="4">
        <v>146.47</v>
      </c>
      <c r="I279" s="4">
        <v>346.91</v>
      </c>
      <c r="J279" s="3">
        <v>134</v>
      </c>
      <c r="K279" s="3">
        <f>tblInventory[[#This Row],[Qty_On_Hand]]*tblInventory[[#This Row],[Unit_Cost]]</f>
        <v>19626.98</v>
      </c>
      <c r="L279" s="3">
        <v>88</v>
      </c>
      <c r="M279" s="3">
        <f>IF(tblInventory[[#This Row],[Qty_On_Hand]]&lt;=tblInventory[[#This Row],[Reorder_Level]],1,0)</f>
        <v>0</v>
      </c>
      <c r="N279" s="3">
        <v>210</v>
      </c>
      <c r="O279" s="3" t="s">
        <v>156</v>
      </c>
      <c r="P279" s="2">
        <v>19</v>
      </c>
      <c r="Q279" s="7" t="s">
        <v>1</v>
      </c>
      <c r="R279" s="4">
        <v>6591.29</v>
      </c>
      <c r="S279" s="4">
        <v>2782.93</v>
      </c>
      <c r="T279" s="4">
        <v>3808.36</v>
      </c>
      <c r="U279" s="4">
        <f>IFERROR(tblInventory[[#This Row],[Gross_Profit_30D]]/tblInventory[[#This Row],[Sales_Revenue_30D]],0)</f>
        <v>0.57778674584186107</v>
      </c>
      <c r="V279" s="2">
        <v>19626.98</v>
      </c>
    </row>
    <row r="280" spans="1:22" x14ac:dyDescent="0.3">
      <c r="A280" s="2" t="s">
        <v>509</v>
      </c>
      <c r="B280" s="2" t="s">
        <v>31</v>
      </c>
      <c r="C280" s="2" t="s">
        <v>6</v>
      </c>
      <c r="D280" s="2" t="s">
        <v>81</v>
      </c>
      <c r="E280" s="2" t="s">
        <v>78</v>
      </c>
      <c r="F280" s="2" t="s">
        <v>207</v>
      </c>
      <c r="G280" s="3">
        <v>135</v>
      </c>
      <c r="H280" s="4">
        <v>331.47</v>
      </c>
      <c r="I280" s="4">
        <v>815.41</v>
      </c>
      <c r="J280" s="3">
        <v>94</v>
      </c>
      <c r="K280" s="3">
        <f>tblInventory[[#This Row],[Qty_On_Hand]]*tblInventory[[#This Row],[Unit_Cost]]</f>
        <v>31158.180000000004</v>
      </c>
      <c r="L280" s="3">
        <v>88</v>
      </c>
      <c r="M280" s="3">
        <f>IF(tblInventory[[#This Row],[Qty_On_Hand]]&lt;=tblInventory[[#This Row],[Reorder_Level]],1,0)</f>
        <v>0</v>
      </c>
      <c r="N280" s="3">
        <v>222</v>
      </c>
      <c r="O280" s="3" t="s">
        <v>101</v>
      </c>
      <c r="P280" s="2">
        <v>29</v>
      </c>
      <c r="Q280" s="7" t="s">
        <v>1</v>
      </c>
      <c r="R280" s="4">
        <v>23646.89</v>
      </c>
      <c r="S280" s="4">
        <v>9612.6299999999992</v>
      </c>
      <c r="T280" s="4">
        <v>14034.26</v>
      </c>
      <c r="U280" s="4">
        <f>IFERROR(tblInventory[[#This Row],[Gross_Profit_30D]]/tblInventory[[#This Row],[Sales_Revenue_30D]],0)</f>
        <v>0.59349284409070291</v>
      </c>
      <c r="V280" s="2">
        <v>31158.18</v>
      </c>
    </row>
    <row r="281" spans="1:22" x14ac:dyDescent="0.3">
      <c r="A281" s="2" t="s">
        <v>510</v>
      </c>
      <c r="B281" s="2" t="s">
        <v>116</v>
      </c>
      <c r="C281" s="2" t="s">
        <v>4</v>
      </c>
      <c r="D281" s="2" t="s">
        <v>66</v>
      </c>
      <c r="E281" s="2" t="s">
        <v>78</v>
      </c>
      <c r="F281" s="2" t="s">
        <v>184</v>
      </c>
      <c r="G281" s="3">
        <v>175</v>
      </c>
      <c r="H281" s="4">
        <v>954.09</v>
      </c>
      <c r="I281" s="4">
        <v>1788.41</v>
      </c>
      <c r="J281" s="3">
        <v>11</v>
      </c>
      <c r="K281" s="3">
        <f>tblInventory[[#This Row],[Qty_On_Hand]]*tblInventory[[#This Row],[Unit_Cost]]</f>
        <v>10494.99</v>
      </c>
      <c r="L281" s="3">
        <v>34</v>
      </c>
      <c r="M281" s="3">
        <f>IF(tblInventory[[#This Row],[Qty_On_Hand]]&lt;=tblInventory[[#This Row],[Reorder_Level]],1,0)</f>
        <v>1</v>
      </c>
      <c r="N281" s="3">
        <v>95</v>
      </c>
      <c r="O281" s="3" t="s">
        <v>201</v>
      </c>
      <c r="P281" s="2">
        <v>9</v>
      </c>
      <c r="Q281" s="6" t="s">
        <v>3</v>
      </c>
      <c r="R281" s="4">
        <v>16095.69</v>
      </c>
      <c r="S281" s="4">
        <v>8586.81</v>
      </c>
      <c r="T281" s="4">
        <v>7508.88</v>
      </c>
      <c r="U281" s="4">
        <f>IFERROR(tblInventory[[#This Row],[Gross_Profit_30D]]/tblInventory[[#This Row],[Sales_Revenue_30D]],0)</f>
        <v>0.46651494903293989</v>
      </c>
      <c r="V281" s="2">
        <v>10494.99</v>
      </c>
    </row>
    <row r="282" spans="1:22" x14ac:dyDescent="0.3">
      <c r="A282" s="2" t="s">
        <v>511</v>
      </c>
      <c r="B282" s="2" t="s">
        <v>279</v>
      </c>
      <c r="C282" s="2" t="s">
        <v>2</v>
      </c>
      <c r="D282" s="2" t="s">
        <v>132</v>
      </c>
      <c r="E282" s="2" t="s">
        <v>67</v>
      </c>
      <c r="F282" s="2" t="s">
        <v>68</v>
      </c>
      <c r="G282" s="3">
        <v>418</v>
      </c>
      <c r="H282" s="4">
        <v>557.09</v>
      </c>
      <c r="I282" s="4">
        <v>789.3</v>
      </c>
      <c r="J282" s="3">
        <v>163</v>
      </c>
      <c r="K282" s="3">
        <f>tblInventory[[#This Row],[Qty_On_Hand]]*tblInventory[[#This Row],[Unit_Cost]]</f>
        <v>90805.67</v>
      </c>
      <c r="L282" s="3">
        <v>62</v>
      </c>
      <c r="M282" s="3">
        <f>IF(tblInventory[[#This Row],[Qty_On_Hand]]&lt;=tblInventory[[#This Row],[Reorder_Level]],1,0)</f>
        <v>0</v>
      </c>
      <c r="N282" s="3">
        <v>80</v>
      </c>
      <c r="O282" s="3" t="s">
        <v>156</v>
      </c>
      <c r="P282" s="2">
        <v>128</v>
      </c>
      <c r="Q282" s="7" t="s">
        <v>1</v>
      </c>
      <c r="R282" s="4">
        <v>101030.39999999999</v>
      </c>
      <c r="S282" s="4">
        <v>71307.520000000004</v>
      </c>
      <c r="T282" s="4">
        <v>29722.880000000001</v>
      </c>
      <c r="U282" s="4">
        <f>IFERROR(tblInventory[[#This Row],[Gross_Profit_30D]]/tblInventory[[#This Row],[Sales_Revenue_30D]],0)</f>
        <v>0.29419739009248702</v>
      </c>
      <c r="V282" s="2">
        <v>90805.67</v>
      </c>
    </row>
    <row r="283" spans="1:22" x14ac:dyDescent="0.3">
      <c r="A283" s="2" t="s">
        <v>512</v>
      </c>
      <c r="B283" s="2" t="s">
        <v>291</v>
      </c>
      <c r="C283" s="2" t="s">
        <v>7</v>
      </c>
      <c r="D283" s="2" t="s">
        <v>96</v>
      </c>
      <c r="E283" s="2" t="s">
        <v>73</v>
      </c>
      <c r="F283" s="2" t="s">
        <v>464</v>
      </c>
      <c r="G283" s="3">
        <v>73</v>
      </c>
      <c r="H283" s="4">
        <v>156.47</v>
      </c>
      <c r="I283" s="4">
        <v>312.57</v>
      </c>
      <c r="J283" s="3">
        <v>51</v>
      </c>
      <c r="K283" s="3">
        <f>tblInventory[[#This Row],[Qty_On_Hand]]*tblInventory[[#This Row],[Unit_Cost]]</f>
        <v>7979.97</v>
      </c>
      <c r="L283" s="3">
        <v>51</v>
      </c>
      <c r="M283" s="3">
        <f>IF(tblInventory[[#This Row],[Qty_On_Hand]]&lt;=tblInventory[[#This Row],[Reorder_Level]],1,0)</f>
        <v>1</v>
      </c>
      <c r="N283" s="3">
        <v>248</v>
      </c>
      <c r="O283" s="3" t="s">
        <v>75</v>
      </c>
      <c r="P283" s="2">
        <v>79</v>
      </c>
      <c r="Q283" s="6" t="s">
        <v>3</v>
      </c>
      <c r="R283" s="4">
        <v>24693.03</v>
      </c>
      <c r="S283" s="4">
        <v>12361.13</v>
      </c>
      <c r="T283" s="4">
        <v>12331.9</v>
      </c>
      <c r="U283" s="4">
        <f>IFERROR(tblInventory[[#This Row],[Gross_Profit_30D]]/tblInventory[[#This Row],[Sales_Revenue_30D]],0)</f>
        <v>0.49940813257830247</v>
      </c>
      <c r="V283" s="2">
        <v>7979.97</v>
      </c>
    </row>
    <row r="284" spans="1:22" x14ac:dyDescent="0.3">
      <c r="A284" s="2" t="s">
        <v>513</v>
      </c>
      <c r="B284" s="2" t="s">
        <v>12</v>
      </c>
      <c r="C284" s="2" t="s">
        <v>0</v>
      </c>
      <c r="D284" s="2" t="s">
        <v>108</v>
      </c>
      <c r="E284" s="2" t="s">
        <v>78</v>
      </c>
      <c r="F284" s="2" t="s">
        <v>514</v>
      </c>
      <c r="G284" s="3">
        <v>199</v>
      </c>
      <c r="H284" s="4">
        <v>1573.32</v>
      </c>
      <c r="I284" s="4">
        <v>3790.7</v>
      </c>
      <c r="J284" s="3">
        <v>144</v>
      </c>
      <c r="K284" s="3">
        <f>tblInventory[[#This Row],[Qty_On_Hand]]*tblInventory[[#This Row],[Unit_Cost]]</f>
        <v>226558.07999999999</v>
      </c>
      <c r="L284" s="3">
        <v>46</v>
      </c>
      <c r="M284" s="3">
        <f>IF(tblInventory[[#This Row],[Qty_On_Hand]]&lt;=tblInventory[[#This Row],[Reorder_Level]],1,0)</f>
        <v>0</v>
      </c>
      <c r="N284" s="3">
        <v>168</v>
      </c>
      <c r="O284" s="3" t="s">
        <v>162</v>
      </c>
      <c r="P284" s="2">
        <v>94</v>
      </c>
      <c r="Q284" s="7" t="s">
        <v>1</v>
      </c>
      <c r="R284" s="4">
        <v>356325.8</v>
      </c>
      <c r="S284" s="4">
        <v>147892.07999999999</v>
      </c>
      <c r="T284" s="4">
        <v>208433.72</v>
      </c>
      <c r="U284" s="4">
        <f>IFERROR(tblInventory[[#This Row],[Gross_Profit_30D]]/tblInventory[[#This Row],[Sales_Revenue_30D]],0)</f>
        <v>0.58495264726831453</v>
      </c>
      <c r="V284" s="2">
        <v>226558.07999999999</v>
      </c>
    </row>
    <row r="285" spans="1:22" x14ac:dyDescent="0.3">
      <c r="A285" s="2" t="s">
        <v>515</v>
      </c>
      <c r="B285" s="2" t="s">
        <v>16</v>
      </c>
      <c r="C285" s="2" t="s">
        <v>2</v>
      </c>
      <c r="D285" s="2" t="s">
        <v>132</v>
      </c>
      <c r="E285" s="2" t="s">
        <v>86</v>
      </c>
      <c r="F285" s="2" t="s">
        <v>79</v>
      </c>
      <c r="G285" s="3">
        <v>127</v>
      </c>
      <c r="H285" s="4">
        <v>1866.15</v>
      </c>
      <c r="I285" s="4">
        <v>2492.9299999999998</v>
      </c>
      <c r="J285" s="3">
        <v>1</v>
      </c>
      <c r="K285" s="3">
        <f>tblInventory[[#This Row],[Qty_On_Hand]]*tblInventory[[#This Row],[Unit_Cost]]</f>
        <v>1866.15</v>
      </c>
      <c r="L285" s="3">
        <v>84</v>
      </c>
      <c r="M285" s="3">
        <f>IF(tblInventory[[#This Row],[Qty_On_Hand]]&lt;=tblInventory[[#This Row],[Reorder_Level]],1,0)</f>
        <v>1</v>
      </c>
      <c r="N285" s="3">
        <v>138</v>
      </c>
      <c r="O285" s="3" t="s">
        <v>69</v>
      </c>
      <c r="P285" s="2">
        <v>2</v>
      </c>
      <c r="Q285" s="6" t="s">
        <v>3</v>
      </c>
      <c r="R285" s="4">
        <v>4985.8599999999997</v>
      </c>
      <c r="S285" s="4">
        <v>3732.3</v>
      </c>
      <c r="T285" s="4">
        <v>1253.56</v>
      </c>
      <c r="U285" s="4">
        <f>IFERROR(tblInventory[[#This Row],[Gross_Profit_30D]]/tblInventory[[#This Row],[Sales_Revenue_30D]],0)</f>
        <v>0.25142302431275648</v>
      </c>
      <c r="V285" s="2">
        <v>1866.15</v>
      </c>
    </row>
    <row r="286" spans="1:22" x14ac:dyDescent="0.3">
      <c r="A286" s="2" t="s">
        <v>516</v>
      </c>
      <c r="B286" s="2" t="s">
        <v>172</v>
      </c>
      <c r="C286" s="2" t="s">
        <v>0</v>
      </c>
      <c r="D286" s="2" t="s">
        <v>128</v>
      </c>
      <c r="E286" s="2" t="s">
        <v>67</v>
      </c>
      <c r="F286" s="2" t="s">
        <v>411</v>
      </c>
      <c r="G286" s="3">
        <v>321</v>
      </c>
      <c r="H286" s="4">
        <v>851.24</v>
      </c>
      <c r="I286" s="4">
        <v>2333.91</v>
      </c>
      <c r="J286" s="3">
        <v>121</v>
      </c>
      <c r="K286" s="3">
        <f>tblInventory[[#This Row],[Qty_On_Hand]]*tblInventory[[#This Row],[Unit_Cost]]</f>
        <v>103000.04000000001</v>
      </c>
      <c r="L286" s="3">
        <v>33</v>
      </c>
      <c r="M286" s="3">
        <f>IF(tblInventory[[#This Row],[Qty_On_Hand]]&lt;=tblInventory[[#This Row],[Reorder_Level]],1,0)</f>
        <v>0</v>
      </c>
      <c r="N286" s="3">
        <v>232</v>
      </c>
      <c r="O286" s="3" t="s">
        <v>162</v>
      </c>
      <c r="P286" s="2">
        <v>71</v>
      </c>
      <c r="Q286" s="7" t="s">
        <v>1</v>
      </c>
      <c r="R286" s="4">
        <v>165707.60999999999</v>
      </c>
      <c r="S286" s="4">
        <v>60438.04</v>
      </c>
      <c r="T286" s="4">
        <v>105269.57</v>
      </c>
      <c r="U286" s="4">
        <f>IFERROR(tblInventory[[#This Row],[Gross_Profit_30D]]/tblInventory[[#This Row],[Sales_Revenue_30D]],0)</f>
        <v>0.63527299681650118</v>
      </c>
      <c r="V286" s="2">
        <v>103000.04</v>
      </c>
    </row>
    <row r="287" spans="1:22" x14ac:dyDescent="0.3">
      <c r="A287" s="2" t="s">
        <v>517</v>
      </c>
      <c r="B287" s="2" t="s">
        <v>71</v>
      </c>
      <c r="C287" s="2" t="s">
        <v>8</v>
      </c>
      <c r="D287" s="2" t="s">
        <v>132</v>
      </c>
      <c r="E287" s="2" t="s">
        <v>86</v>
      </c>
      <c r="F287" s="2" t="s">
        <v>271</v>
      </c>
      <c r="G287" s="3">
        <v>240</v>
      </c>
      <c r="H287" s="4">
        <v>1949.62</v>
      </c>
      <c r="I287" s="4">
        <v>2782.8</v>
      </c>
      <c r="J287" s="3">
        <v>117</v>
      </c>
      <c r="K287" s="3">
        <f>tblInventory[[#This Row],[Qty_On_Hand]]*tblInventory[[#This Row],[Unit_Cost]]</f>
        <v>228105.53999999998</v>
      </c>
      <c r="L287" s="3">
        <v>27</v>
      </c>
      <c r="M287" s="3">
        <f>IF(tblInventory[[#This Row],[Qty_On_Hand]]&lt;=tblInventory[[#This Row],[Reorder_Level]],1,0)</f>
        <v>0</v>
      </c>
      <c r="N287" s="3">
        <v>179</v>
      </c>
      <c r="O287" s="3" t="s">
        <v>88</v>
      </c>
      <c r="P287" s="2">
        <v>34</v>
      </c>
      <c r="Q287" s="7" t="s">
        <v>1</v>
      </c>
      <c r="R287" s="4">
        <v>94615.2</v>
      </c>
      <c r="S287" s="4">
        <v>66287.08</v>
      </c>
      <c r="T287" s="4">
        <v>28328.12</v>
      </c>
      <c r="U287" s="4">
        <f>IFERROR(tblInventory[[#This Row],[Gross_Profit_30D]]/tblInventory[[#This Row],[Sales_Revenue_30D]],0)</f>
        <v>0.29940347851085236</v>
      </c>
      <c r="V287" s="2">
        <v>228105.54</v>
      </c>
    </row>
    <row r="288" spans="1:22" x14ac:dyDescent="0.3">
      <c r="A288" s="2" t="s">
        <v>518</v>
      </c>
      <c r="B288" s="2" t="s">
        <v>196</v>
      </c>
      <c r="C288" s="2" t="s">
        <v>7</v>
      </c>
      <c r="D288" s="2" t="s">
        <v>72</v>
      </c>
      <c r="E288" s="2" t="s">
        <v>86</v>
      </c>
      <c r="F288" s="2" t="s">
        <v>251</v>
      </c>
      <c r="G288" s="3">
        <v>272</v>
      </c>
      <c r="H288" s="4">
        <v>488.81</v>
      </c>
      <c r="I288" s="4">
        <v>826.82</v>
      </c>
      <c r="J288" s="3">
        <v>66</v>
      </c>
      <c r="K288" s="3">
        <f>tblInventory[[#This Row],[Qty_On_Hand]]*tblInventory[[#This Row],[Unit_Cost]]</f>
        <v>32261.46</v>
      </c>
      <c r="L288" s="3">
        <v>55</v>
      </c>
      <c r="M288" s="3">
        <f>IF(tblInventory[[#This Row],[Qty_On_Hand]]&lt;=tblInventory[[#This Row],[Reorder_Level]],1,0)</f>
        <v>0</v>
      </c>
      <c r="N288" s="3">
        <v>287</v>
      </c>
      <c r="O288" s="3" t="s">
        <v>110</v>
      </c>
      <c r="P288" s="2">
        <v>100</v>
      </c>
      <c r="Q288" s="7" t="s">
        <v>1</v>
      </c>
      <c r="R288" s="4">
        <v>82682</v>
      </c>
      <c r="S288" s="4">
        <v>48881</v>
      </c>
      <c r="T288" s="4">
        <v>33801</v>
      </c>
      <c r="U288" s="4">
        <f>IFERROR(tblInventory[[#This Row],[Gross_Profit_30D]]/tblInventory[[#This Row],[Sales_Revenue_30D]],0)</f>
        <v>0.40880723736726254</v>
      </c>
      <c r="V288" s="2">
        <v>32261.46</v>
      </c>
    </row>
    <row r="289" spans="1:22" x14ac:dyDescent="0.3">
      <c r="A289" s="2" t="s">
        <v>519</v>
      </c>
      <c r="B289" s="2" t="s">
        <v>14</v>
      </c>
      <c r="C289" s="2" t="s">
        <v>7</v>
      </c>
      <c r="D289" s="2" t="s">
        <v>81</v>
      </c>
      <c r="E289" s="2" t="s">
        <v>91</v>
      </c>
      <c r="F289" s="2" t="s">
        <v>217</v>
      </c>
      <c r="G289" s="3">
        <v>88</v>
      </c>
      <c r="H289" s="4">
        <v>289.5</v>
      </c>
      <c r="I289" s="4">
        <v>710.79</v>
      </c>
      <c r="J289" s="3">
        <v>25</v>
      </c>
      <c r="K289" s="3">
        <f>tblInventory[[#This Row],[Qty_On_Hand]]*tblInventory[[#This Row],[Unit_Cost]]</f>
        <v>7237.5</v>
      </c>
      <c r="L289" s="3">
        <v>28</v>
      </c>
      <c r="M289" s="3">
        <f>IF(tblInventory[[#This Row],[Qty_On_Hand]]&lt;=tblInventory[[#This Row],[Reorder_Level]],1,0)</f>
        <v>1</v>
      </c>
      <c r="N289" s="3">
        <v>89</v>
      </c>
      <c r="O289" s="3" t="s">
        <v>69</v>
      </c>
      <c r="P289" s="2">
        <v>27</v>
      </c>
      <c r="Q289" s="6" t="s">
        <v>3</v>
      </c>
      <c r="R289" s="4">
        <v>19191.330000000002</v>
      </c>
      <c r="S289" s="4">
        <v>7816.5</v>
      </c>
      <c r="T289" s="4">
        <v>11374.83</v>
      </c>
      <c r="U289" s="4">
        <f>IFERROR(tblInventory[[#This Row],[Gross_Profit_30D]]/tblInventory[[#This Row],[Sales_Revenue_30D]],0)</f>
        <v>0.59270670662220903</v>
      </c>
      <c r="V289" s="2">
        <v>7237.5</v>
      </c>
    </row>
    <row r="290" spans="1:22" x14ac:dyDescent="0.3">
      <c r="A290" s="2" t="s">
        <v>520</v>
      </c>
      <c r="B290" s="2" t="s">
        <v>277</v>
      </c>
      <c r="C290" s="2" t="s">
        <v>4</v>
      </c>
      <c r="D290" s="2" t="s">
        <v>108</v>
      </c>
      <c r="E290" s="2" t="s">
        <v>67</v>
      </c>
      <c r="F290" s="2" t="s">
        <v>271</v>
      </c>
      <c r="G290" s="3">
        <v>324</v>
      </c>
      <c r="H290" s="4">
        <v>1929.98</v>
      </c>
      <c r="I290" s="4">
        <v>3110.07</v>
      </c>
      <c r="J290" s="3">
        <v>183</v>
      </c>
      <c r="K290" s="3">
        <f>tblInventory[[#This Row],[Qty_On_Hand]]*tblInventory[[#This Row],[Unit_Cost]]</f>
        <v>353186.34</v>
      </c>
      <c r="L290" s="3">
        <v>54</v>
      </c>
      <c r="M290" s="3">
        <f>IF(tblInventory[[#This Row],[Qty_On_Hand]]&lt;=tblInventory[[#This Row],[Reorder_Level]],1,0)</f>
        <v>0</v>
      </c>
      <c r="N290" s="3">
        <v>168</v>
      </c>
      <c r="O290" s="3" t="s">
        <v>122</v>
      </c>
      <c r="P290" s="2">
        <v>67</v>
      </c>
      <c r="Q290" s="7" t="s">
        <v>1</v>
      </c>
      <c r="R290" s="4">
        <v>208374.69</v>
      </c>
      <c r="S290" s="4">
        <v>129308.66</v>
      </c>
      <c r="T290" s="4">
        <v>79066.03</v>
      </c>
      <c r="U290" s="4">
        <f>IFERROR(tblInventory[[#This Row],[Gross_Profit_30D]]/tblInventory[[#This Row],[Sales_Revenue_30D]],0)</f>
        <v>0.37944162028507394</v>
      </c>
      <c r="V290" s="2">
        <v>353186.34</v>
      </c>
    </row>
    <row r="291" spans="1:22" x14ac:dyDescent="0.3">
      <c r="A291" s="2" t="s">
        <v>521</v>
      </c>
      <c r="B291" s="2" t="s">
        <v>175</v>
      </c>
      <c r="C291" s="2" t="s">
        <v>8</v>
      </c>
      <c r="D291" s="2" t="s">
        <v>96</v>
      </c>
      <c r="E291" s="2" t="s">
        <v>67</v>
      </c>
      <c r="F291" s="2" t="s">
        <v>522</v>
      </c>
      <c r="G291" s="3">
        <v>406</v>
      </c>
      <c r="H291" s="4">
        <v>99.85</v>
      </c>
      <c r="I291" s="4">
        <v>255.01</v>
      </c>
      <c r="J291" s="3">
        <v>308</v>
      </c>
      <c r="K291" s="3">
        <f>tblInventory[[#This Row],[Qty_On_Hand]]*tblInventory[[#This Row],[Unit_Cost]]</f>
        <v>30753.8</v>
      </c>
      <c r="L291" s="3">
        <v>56</v>
      </c>
      <c r="M291" s="3">
        <f>IF(tblInventory[[#This Row],[Qty_On_Hand]]&lt;=tblInventory[[#This Row],[Reorder_Level]],1,0)</f>
        <v>0</v>
      </c>
      <c r="N291" s="3">
        <v>87</v>
      </c>
      <c r="O291" s="3" t="s">
        <v>88</v>
      </c>
      <c r="P291" s="2">
        <v>23</v>
      </c>
      <c r="Q291" s="7" t="s">
        <v>1</v>
      </c>
      <c r="R291" s="4">
        <v>5865.23</v>
      </c>
      <c r="S291" s="4">
        <v>2296.5500000000002</v>
      </c>
      <c r="T291" s="4">
        <v>3568.68</v>
      </c>
      <c r="U291" s="4">
        <f>IFERROR(tblInventory[[#This Row],[Gross_Profit_30D]]/tblInventory[[#This Row],[Sales_Revenue_30D]],0)</f>
        <v>0.60844672757931062</v>
      </c>
      <c r="V291" s="2">
        <v>30753.8</v>
      </c>
    </row>
    <row r="292" spans="1:22" x14ac:dyDescent="0.3">
      <c r="A292" s="2" t="s">
        <v>523</v>
      </c>
      <c r="B292" s="2" t="s">
        <v>192</v>
      </c>
      <c r="C292" s="2" t="s">
        <v>7</v>
      </c>
      <c r="D292" s="2" t="s">
        <v>81</v>
      </c>
      <c r="E292" s="2" t="s">
        <v>91</v>
      </c>
      <c r="F292" s="2" t="s">
        <v>153</v>
      </c>
      <c r="G292" s="3">
        <v>396</v>
      </c>
      <c r="H292" s="4">
        <v>535.13</v>
      </c>
      <c r="I292" s="4">
        <v>1490.88</v>
      </c>
      <c r="J292" s="3">
        <v>153</v>
      </c>
      <c r="K292" s="3">
        <f>tblInventory[[#This Row],[Qty_On_Hand]]*tblInventory[[#This Row],[Unit_Cost]]</f>
        <v>81874.89</v>
      </c>
      <c r="L292" s="3">
        <v>18</v>
      </c>
      <c r="M292" s="3">
        <f>IF(tblInventory[[#This Row],[Qty_On_Hand]]&lt;=tblInventory[[#This Row],[Reorder_Level]],1,0)</f>
        <v>0</v>
      </c>
      <c r="N292" s="3">
        <v>293</v>
      </c>
      <c r="O292" s="3" t="s">
        <v>110</v>
      </c>
      <c r="P292" s="2">
        <v>103</v>
      </c>
      <c r="Q292" s="7" t="s">
        <v>1</v>
      </c>
      <c r="R292" s="4">
        <v>153560.64000000001</v>
      </c>
      <c r="S292" s="4">
        <v>55118.39</v>
      </c>
      <c r="T292" s="4">
        <v>98442.25</v>
      </c>
      <c r="U292" s="4">
        <f>IFERROR(tblInventory[[#This Row],[Gross_Profit_30D]]/tblInventory[[#This Row],[Sales_Revenue_30D]],0)</f>
        <v>0.64106433784073835</v>
      </c>
      <c r="V292" s="2">
        <v>81874.89</v>
      </c>
    </row>
    <row r="293" spans="1:22" x14ac:dyDescent="0.3">
      <c r="A293" s="2" t="s">
        <v>524</v>
      </c>
      <c r="B293" s="2" t="s">
        <v>29</v>
      </c>
      <c r="C293" s="2" t="s">
        <v>6</v>
      </c>
      <c r="D293" s="2" t="s">
        <v>132</v>
      </c>
      <c r="E293" s="2" t="s">
        <v>78</v>
      </c>
      <c r="F293" s="2" t="s">
        <v>525</v>
      </c>
      <c r="G293" s="3">
        <v>461</v>
      </c>
      <c r="H293" s="4">
        <v>296.79000000000002</v>
      </c>
      <c r="I293" s="4">
        <v>391.15</v>
      </c>
      <c r="J293" s="3">
        <v>406</v>
      </c>
      <c r="K293" s="3">
        <f>tblInventory[[#This Row],[Qty_On_Hand]]*tblInventory[[#This Row],[Unit_Cost]]</f>
        <v>120496.74</v>
      </c>
      <c r="L293" s="3">
        <v>43</v>
      </c>
      <c r="M293" s="3">
        <f>IF(tblInventory[[#This Row],[Qty_On_Hand]]&lt;=tblInventory[[#This Row],[Reorder_Level]],1,0)</f>
        <v>0</v>
      </c>
      <c r="N293" s="3">
        <v>83</v>
      </c>
      <c r="O293" s="3" t="s">
        <v>122</v>
      </c>
      <c r="P293" s="2">
        <v>50</v>
      </c>
      <c r="Q293" s="7" t="s">
        <v>1</v>
      </c>
      <c r="R293" s="4">
        <v>19557.5</v>
      </c>
      <c r="S293" s="4">
        <v>14839.5</v>
      </c>
      <c r="T293" s="4">
        <v>4718</v>
      </c>
      <c r="U293" s="4">
        <f>IFERROR(tblInventory[[#This Row],[Gross_Profit_30D]]/tblInventory[[#This Row],[Sales_Revenue_30D]],0)</f>
        <v>0.24123737696535855</v>
      </c>
      <c r="V293" s="2">
        <v>120496.74</v>
      </c>
    </row>
    <row r="294" spans="1:22" x14ac:dyDescent="0.3">
      <c r="A294" s="2" t="s">
        <v>526</v>
      </c>
      <c r="B294" s="2" t="s">
        <v>527</v>
      </c>
      <c r="C294" s="2" t="s">
        <v>6</v>
      </c>
      <c r="D294" s="2" t="s">
        <v>72</v>
      </c>
      <c r="E294" s="2" t="s">
        <v>86</v>
      </c>
      <c r="F294" s="2" t="s">
        <v>219</v>
      </c>
      <c r="G294" s="3">
        <v>466</v>
      </c>
      <c r="H294" s="4">
        <v>63.16</v>
      </c>
      <c r="I294" s="4">
        <v>88.22</v>
      </c>
      <c r="J294" s="3">
        <v>38</v>
      </c>
      <c r="K294" s="3">
        <f>tblInventory[[#This Row],[Qty_On_Hand]]*tblInventory[[#This Row],[Unit_Cost]]</f>
        <v>2400.08</v>
      </c>
      <c r="L294" s="3">
        <v>97</v>
      </c>
      <c r="M294" s="3">
        <f>IF(tblInventory[[#This Row],[Qty_On_Hand]]&lt;=tblInventory[[#This Row],[Reorder_Level]],1,0)</f>
        <v>1</v>
      </c>
      <c r="N294" s="3">
        <v>163</v>
      </c>
      <c r="O294" s="3" t="s">
        <v>83</v>
      </c>
      <c r="P294" s="2">
        <v>32</v>
      </c>
      <c r="Q294" s="6" t="s">
        <v>3</v>
      </c>
      <c r="R294" s="4">
        <v>2823.04</v>
      </c>
      <c r="S294" s="4">
        <v>2021.12</v>
      </c>
      <c r="T294" s="4">
        <v>801.92</v>
      </c>
      <c r="U294" s="4">
        <f>IFERROR(tblInventory[[#This Row],[Gross_Profit_30D]]/tblInventory[[#This Row],[Sales_Revenue_30D]],0)</f>
        <v>0.2840625708456132</v>
      </c>
      <c r="V294" s="2">
        <v>2400.08</v>
      </c>
    </row>
    <row r="295" spans="1:22" x14ac:dyDescent="0.3">
      <c r="A295" s="2" t="s">
        <v>528</v>
      </c>
      <c r="B295" s="2" t="s">
        <v>308</v>
      </c>
      <c r="C295" s="2" t="s">
        <v>8</v>
      </c>
      <c r="D295" s="2" t="s">
        <v>72</v>
      </c>
      <c r="E295" s="2" t="s">
        <v>78</v>
      </c>
      <c r="F295" s="2" t="s">
        <v>167</v>
      </c>
      <c r="G295" s="3">
        <v>75</v>
      </c>
      <c r="H295" s="4">
        <v>1849.78</v>
      </c>
      <c r="I295" s="4">
        <v>3606.58</v>
      </c>
      <c r="J295" s="3">
        <v>21</v>
      </c>
      <c r="K295" s="3">
        <f>tblInventory[[#This Row],[Qty_On_Hand]]*tblInventory[[#This Row],[Unit_Cost]]</f>
        <v>38845.379999999997</v>
      </c>
      <c r="L295" s="3">
        <v>65</v>
      </c>
      <c r="M295" s="3">
        <f>IF(tblInventory[[#This Row],[Qty_On_Hand]]&lt;=tblInventory[[#This Row],[Reorder_Level]],1,0)</f>
        <v>1</v>
      </c>
      <c r="N295" s="3">
        <v>177</v>
      </c>
      <c r="O295" s="3" t="s">
        <v>144</v>
      </c>
      <c r="P295" s="2">
        <v>7</v>
      </c>
      <c r="Q295" s="6" t="s">
        <v>3</v>
      </c>
      <c r="R295" s="4">
        <v>25246.06</v>
      </c>
      <c r="S295" s="4">
        <v>12948.46</v>
      </c>
      <c r="T295" s="4">
        <v>12297.6</v>
      </c>
      <c r="U295" s="4">
        <f>IFERROR(tblInventory[[#This Row],[Gross_Profit_30D]]/tblInventory[[#This Row],[Sales_Revenue_30D]],0)</f>
        <v>0.48710967176660436</v>
      </c>
      <c r="V295" s="2">
        <v>38845.379999999997</v>
      </c>
    </row>
    <row r="296" spans="1:22" x14ac:dyDescent="0.3">
      <c r="A296" s="2" t="s">
        <v>529</v>
      </c>
      <c r="B296" s="2" t="s">
        <v>112</v>
      </c>
      <c r="C296" s="2" t="s">
        <v>6</v>
      </c>
      <c r="D296" s="2" t="s">
        <v>96</v>
      </c>
      <c r="E296" s="2" t="s">
        <v>67</v>
      </c>
      <c r="F296" s="2" t="s">
        <v>100</v>
      </c>
      <c r="G296" s="3">
        <v>190</v>
      </c>
      <c r="H296" s="4">
        <v>903.1</v>
      </c>
      <c r="I296" s="4">
        <v>1375.37</v>
      </c>
      <c r="J296" s="3">
        <v>71</v>
      </c>
      <c r="K296" s="3">
        <f>tblInventory[[#This Row],[Qty_On_Hand]]*tblInventory[[#This Row],[Unit_Cost]]</f>
        <v>64120.1</v>
      </c>
      <c r="L296" s="3">
        <v>93</v>
      </c>
      <c r="M296" s="3">
        <f>IF(tblInventory[[#This Row],[Qty_On_Hand]]&lt;=tblInventory[[#This Row],[Reorder_Level]],1,0)</f>
        <v>1</v>
      </c>
      <c r="N296" s="3">
        <v>208</v>
      </c>
      <c r="O296" s="3" t="s">
        <v>80</v>
      </c>
      <c r="P296" s="2">
        <v>62</v>
      </c>
      <c r="Q296" s="6" t="s">
        <v>3</v>
      </c>
      <c r="R296" s="4">
        <v>85272.94</v>
      </c>
      <c r="S296" s="4">
        <v>55992.2</v>
      </c>
      <c r="T296" s="4">
        <v>29280.74</v>
      </c>
      <c r="U296" s="4">
        <f>IFERROR(tblInventory[[#This Row],[Gross_Profit_30D]]/tblInventory[[#This Row],[Sales_Revenue_30D]],0)</f>
        <v>0.34337669136305143</v>
      </c>
      <c r="V296" s="2">
        <v>64120.1</v>
      </c>
    </row>
    <row r="297" spans="1:22" x14ac:dyDescent="0.3">
      <c r="A297" s="2" t="s">
        <v>530</v>
      </c>
      <c r="B297" s="2" t="s">
        <v>261</v>
      </c>
      <c r="C297" s="2" t="s">
        <v>7</v>
      </c>
      <c r="D297" s="2" t="s">
        <v>108</v>
      </c>
      <c r="E297" s="2" t="s">
        <v>91</v>
      </c>
      <c r="F297" s="2" t="s">
        <v>299</v>
      </c>
      <c r="G297" s="3">
        <v>295</v>
      </c>
      <c r="H297" s="4">
        <v>193.69</v>
      </c>
      <c r="I297" s="4">
        <v>363.08</v>
      </c>
      <c r="J297" s="3">
        <v>31</v>
      </c>
      <c r="K297" s="3">
        <f>tblInventory[[#This Row],[Qty_On_Hand]]*tblInventory[[#This Row],[Unit_Cost]]</f>
        <v>6004.39</v>
      </c>
      <c r="L297" s="3">
        <v>68</v>
      </c>
      <c r="M297" s="3">
        <f>IF(tblInventory[[#This Row],[Qty_On_Hand]]&lt;=tblInventory[[#This Row],[Reorder_Level]],1,0)</f>
        <v>1</v>
      </c>
      <c r="N297" s="3">
        <v>101</v>
      </c>
      <c r="O297" s="3" t="s">
        <v>105</v>
      </c>
      <c r="P297" s="2">
        <v>134</v>
      </c>
      <c r="Q297" s="6" t="s">
        <v>3</v>
      </c>
      <c r="R297" s="4">
        <v>48652.72</v>
      </c>
      <c r="S297" s="4">
        <v>25954.46</v>
      </c>
      <c r="T297" s="4">
        <v>22698.26</v>
      </c>
      <c r="U297" s="4">
        <f>IFERROR(tblInventory[[#This Row],[Gross_Profit_30D]]/tblInventory[[#This Row],[Sales_Revenue_30D]],0)</f>
        <v>0.46653630053982587</v>
      </c>
      <c r="V297" s="2">
        <v>6004.39</v>
      </c>
    </row>
    <row r="298" spans="1:22" x14ac:dyDescent="0.3">
      <c r="A298" s="2" t="s">
        <v>531</v>
      </c>
      <c r="B298" s="2" t="s">
        <v>116</v>
      </c>
      <c r="C298" s="2" t="s">
        <v>4</v>
      </c>
      <c r="D298" s="2" t="s">
        <v>66</v>
      </c>
      <c r="E298" s="2" t="s">
        <v>91</v>
      </c>
      <c r="F298" s="2" t="s">
        <v>136</v>
      </c>
      <c r="G298" s="3">
        <v>233</v>
      </c>
      <c r="H298" s="4">
        <v>1098.1500000000001</v>
      </c>
      <c r="I298" s="4">
        <v>2225.9699999999998</v>
      </c>
      <c r="J298" s="3">
        <v>122</v>
      </c>
      <c r="K298" s="3">
        <f>tblInventory[[#This Row],[Qty_On_Hand]]*tblInventory[[#This Row],[Unit_Cost]]</f>
        <v>133974.30000000002</v>
      </c>
      <c r="L298" s="3">
        <v>87</v>
      </c>
      <c r="M298" s="3">
        <f>IF(tblInventory[[#This Row],[Qty_On_Hand]]&lt;=tblInventory[[#This Row],[Reorder_Level]],1,0)</f>
        <v>0</v>
      </c>
      <c r="N298" s="3">
        <v>178</v>
      </c>
      <c r="O298" s="3" t="s">
        <v>88</v>
      </c>
      <c r="P298" s="2">
        <v>82</v>
      </c>
      <c r="Q298" s="7" t="s">
        <v>1</v>
      </c>
      <c r="R298" s="4">
        <v>182529.54</v>
      </c>
      <c r="S298" s="4">
        <v>90048.3</v>
      </c>
      <c r="T298" s="4">
        <v>92481.24</v>
      </c>
      <c r="U298" s="4">
        <f>IFERROR(tblInventory[[#This Row],[Gross_Profit_30D]]/tblInventory[[#This Row],[Sales_Revenue_30D]],0)</f>
        <v>0.50666451030337334</v>
      </c>
      <c r="V298" s="2">
        <v>133974.29999999999</v>
      </c>
    </row>
    <row r="299" spans="1:22" x14ac:dyDescent="0.3">
      <c r="A299" s="2" t="s">
        <v>26</v>
      </c>
      <c r="B299" s="2" t="s">
        <v>27</v>
      </c>
      <c r="C299" s="2" t="s">
        <v>6</v>
      </c>
      <c r="D299" s="2" t="s">
        <v>96</v>
      </c>
      <c r="E299" s="2" t="s">
        <v>78</v>
      </c>
      <c r="F299" s="2" t="s">
        <v>265</v>
      </c>
      <c r="G299" s="3">
        <v>162</v>
      </c>
      <c r="H299" s="4">
        <v>1793.61</v>
      </c>
      <c r="I299" s="4">
        <v>4426.28</v>
      </c>
      <c r="J299" s="3">
        <v>7</v>
      </c>
      <c r="K299" s="3">
        <f>tblInventory[[#This Row],[Qty_On_Hand]]*tblInventory[[#This Row],[Unit_Cost]]</f>
        <v>12555.269999999999</v>
      </c>
      <c r="L299" s="3">
        <v>22</v>
      </c>
      <c r="M299" s="3">
        <f>IF(tblInventory[[#This Row],[Qty_On_Hand]]&lt;=tblInventory[[#This Row],[Reorder_Level]],1,0)</f>
        <v>1</v>
      </c>
      <c r="N299" s="3">
        <v>257</v>
      </c>
      <c r="O299" s="3" t="s">
        <v>252</v>
      </c>
      <c r="P299" s="2">
        <v>120</v>
      </c>
      <c r="Q299" s="6" t="s">
        <v>3</v>
      </c>
      <c r="R299" s="4">
        <v>531153.6</v>
      </c>
      <c r="S299" s="4">
        <v>215233.2</v>
      </c>
      <c r="T299" s="4">
        <v>315920.40000000002</v>
      </c>
      <c r="U299" s="4">
        <f>IFERROR(tblInventory[[#This Row],[Gross_Profit_30D]]/tblInventory[[#This Row],[Sales_Revenue_30D]],0)</f>
        <v>0.59478162249112132</v>
      </c>
      <c r="V299" s="2">
        <v>12555.27</v>
      </c>
    </row>
    <row r="300" spans="1:22" x14ac:dyDescent="0.3">
      <c r="A300" s="2" t="s">
        <v>532</v>
      </c>
      <c r="B300" s="2" t="s">
        <v>211</v>
      </c>
      <c r="C300" s="2" t="s">
        <v>2</v>
      </c>
      <c r="D300" s="2" t="s">
        <v>132</v>
      </c>
      <c r="E300" s="2" t="s">
        <v>73</v>
      </c>
      <c r="F300" s="2" t="s">
        <v>533</v>
      </c>
      <c r="G300" s="3">
        <v>386</v>
      </c>
      <c r="H300" s="4">
        <v>547.72</v>
      </c>
      <c r="I300" s="4">
        <v>1382.68</v>
      </c>
      <c r="J300" s="3">
        <v>123</v>
      </c>
      <c r="K300" s="3">
        <f>tblInventory[[#This Row],[Qty_On_Hand]]*tblInventory[[#This Row],[Unit_Cost]]</f>
        <v>67369.56</v>
      </c>
      <c r="L300" s="3">
        <v>22</v>
      </c>
      <c r="M300" s="3">
        <f>IF(tblInventory[[#This Row],[Qty_On_Hand]]&lt;=tblInventory[[#This Row],[Reorder_Level]],1,0)</f>
        <v>0</v>
      </c>
      <c r="N300" s="3">
        <v>245</v>
      </c>
      <c r="O300" s="3" t="s">
        <v>69</v>
      </c>
      <c r="P300" s="2">
        <v>56</v>
      </c>
      <c r="Q300" s="7" t="s">
        <v>1</v>
      </c>
      <c r="R300" s="4">
        <v>77430.080000000002</v>
      </c>
      <c r="S300" s="4">
        <v>30672.32</v>
      </c>
      <c r="T300" s="4">
        <v>46757.760000000002</v>
      </c>
      <c r="U300" s="4">
        <f>IFERROR(tblInventory[[#This Row],[Gross_Profit_30D]]/tblInventory[[#This Row],[Sales_Revenue_30D]],0)</f>
        <v>0.60387074377296268</v>
      </c>
      <c r="V300" s="2">
        <v>67369.56</v>
      </c>
    </row>
    <row r="301" spans="1:22" x14ac:dyDescent="0.3">
      <c r="A301" s="2" t="s">
        <v>534</v>
      </c>
      <c r="B301" s="2" t="s">
        <v>279</v>
      </c>
      <c r="C301" s="2" t="s">
        <v>2</v>
      </c>
      <c r="D301" s="2" t="s">
        <v>81</v>
      </c>
      <c r="E301" s="2" t="s">
        <v>73</v>
      </c>
      <c r="F301" s="2" t="s">
        <v>235</v>
      </c>
      <c r="G301" s="3">
        <v>353</v>
      </c>
      <c r="H301" s="4">
        <v>1616.3</v>
      </c>
      <c r="I301" s="4">
        <v>3792.55</v>
      </c>
      <c r="J301" s="3">
        <v>162</v>
      </c>
      <c r="K301" s="3">
        <f>tblInventory[[#This Row],[Qty_On_Hand]]*tblInventory[[#This Row],[Unit_Cost]]</f>
        <v>261840.6</v>
      </c>
      <c r="L301" s="3">
        <v>90</v>
      </c>
      <c r="M301" s="3">
        <f>IF(tblInventory[[#This Row],[Qty_On_Hand]]&lt;=tblInventory[[#This Row],[Reorder_Level]],1,0)</f>
        <v>0</v>
      </c>
      <c r="N301" s="3">
        <v>57</v>
      </c>
      <c r="O301" s="3" t="s">
        <v>69</v>
      </c>
      <c r="P301" s="2">
        <v>90</v>
      </c>
      <c r="Q301" s="7" t="s">
        <v>1</v>
      </c>
      <c r="R301" s="4">
        <v>341329.5</v>
      </c>
      <c r="S301" s="4">
        <v>145467</v>
      </c>
      <c r="T301" s="4">
        <v>195862.5</v>
      </c>
      <c r="U301" s="4">
        <f>IFERROR(tblInventory[[#This Row],[Gross_Profit_30D]]/tblInventory[[#This Row],[Sales_Revenue_30D]],0)</f>
        <v>0.57382236226285743</v>
      </c>
      <c r="V301" s="2">
        <v>261840.6</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2CD-98B9-4AD1-8A7E-9003B902390A}">
  <sheetPr>
    <tabColor theme="8"/>
  </sheetPr>
  <dimension ref="A2:O3"/>
  <sheetViews>
    <sheetView workbookViewId="0">
      <selection activeCell="E24" sqref="E24"/>
    </sheetView>
  </sheetViews>
  <sheetFormatPr defaultRowHeight="14.4" x14ac:dyDescent="0.3"/>
  <cols>
    <col min="1" max="1" width="13.21875" bestFit="1" customWidth="1"/>
    <col min="2" max="2" width="2.6640625" customWidth="1"/>
    <col min="3" max="3" width="12.5546875" bestFit="1" customWidth="1"/>
    <col min="4" max="4" width="16.33203125" bestFit="1" customWidth="1"/>
    <col min="5" max="5" width="2.44140625" customWidth="1"/>
    <col min="6" max="6" width="12.5546875" bestFit="1" customWidth="1"/>
    <col min="7" max="7" width="12.21875" bestFit="1" customWidth="1"/>
    <col min="8" max="8" width="3.33203125" customWidth="1"/>
    <col min="9" max="9" width="10.88671875" bestFit="1" customWidth="1"/>
    <col min="10" max="10" width="2.6640625" customWidth="1"/>
    <col min="11" max="11" width="13.109375" bestFit="1" customWidth="1"/>
    <col min="12" max="12" width="2" customWidth="1"/>
    <col min="13" max="13" width="15.21875" bestFit="1" customWidth="1"/>
    <col min="14" max="14" width="2.77734375" customWidth="1"/>
    <col min="15" max="15" width="13.88671875" bestFit="1" customWidth="1"/>
    <col min="16" max="182" width="15.5546875" bestFit="1" customWidth="1"/>
    <col min="183" max="183" width="10.77734375" bestFit="1" customWidth="1"/>
  </cols>
  <sheetData>
    <row r="2" spans="1:15" x14ac:dyDescent="0.3">
      <c r="A2" t="s">
        <v>539</v>
      </c>
      <c r="C2" s="10" t="s">
        <v>541</v>
      </c>
      <c r="D2" t="s">
        <v>546</v>
      </c>
      <c r="F2" s="10" t="s">
        <v>541</v>
      </c>
      <c r="G2" t="s">
        <v>538</v>
      </c>
      <c r="I2" t="s">
        <v>545</v>
      </c>
      <c r="K2" t="s">
        <v>544</v>
      </c>
      <c r="M2" t="s">
        <v>543</v>
      </c>
      <c r="O2" t="s">
        <v>542</v>
      </c>
    </row>
    <row r="3" spans="1:15" x14ac:dyDescent="0.3">
      <c r="A3">
        <v>300</v>
      </c>
      <c r="C3" s="12" t="s">
        <v>3</v>
      </c>
      <c r="D3">
        <v>121</v>
      </c>
      <c r="F3" s="12" t="s">
        <v>5</v>
      </c>
      <c r="G3">
        <v>16</v>
      </c>
      <c r="I3" s="1">
        <v>22938155.339999992</v>
      </c>
      <c r="K3" s="1">
        <v>46441015.199999988</v>
      </c>
      <c r="M3" s="14">
        <v>35126958.749999985</v>
      </c>
      <c r="O3" s="11">
        <v>34580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58606-730B-4DBD-8E5C-F8FB67556E51}">
  <sheetPr>
    <tabColor rgb="FFFFC000"/>
  </sheetPr>
  <dimension ref="A1:Q12"/>
  <sheetViews>
    <sheetView zoomScaleNormal="100" workbookViewId="0">
      <selection activeCell="J16" sqref="J16"/>
    </sheetView>
  </sheetViews>
  <sheetFormatPr defaultRowHeight="14.4" x14ac:dyDescent="0.3"/>
  <cols>
    <col min="1" max="1" width="14.21875" bestFit="1" customWidth="1"/>
    <col min="2" max="2" width="20" bestFit="1" customWidth="1"/>
    <col min="3" max="3" width="7.6640625" customWidth="1"/>
    <col min="4" max="4" width="12.5546875" bestFit="1" customWidth="1"/>
    <col min="5" max="5" width="21.5546875" bestFit="1" customWidth="1"/>
    <col min="6" max="6" width="3.77734375" customWidth="1"/>
    <col min="7" max="7" width="15.109375" bestFit="1" customWidth="1"/>
    <col min="8" max="8" width="22.21875" bestFit="1" customWidth="1"/>
    <col min="9" max="9" width="3.33203125" customWidth="1"/>
    <col min="10" max="10" width="14.21875" bestFit="1" customWidth="1"/>
    <col min="11" max="11" width="16.33203125" bestFit="1" customWidth="1"/>
    <col min="12" max="12" width="5.77734375" customWidth="1"/>
    <col min="13" max="13" width="13.33203125" bestFit="1" customWidth="1"/>
    <col min="14" max="14" width="15.88671875" bestFit="1" customWidth="1"/>
    <col min="15" max="15" width="9.5546875" customWidth="1"/>
    <col min="16" max="16" width="13.33203125" bestFit="1" customWidth="1"/>
    <col min="17" max="17" width="15" bestFit="1" customWidth="1"/>
  </cols>
  <sheetData>
    <row r="1" spans="1:17" x14ac:dyDescent="0.3">
      <c r="P1" s="10" t="s">
        <v>59</v>
      </c>
      <c r="Q1" t="s">
        <v>552</v>
      </c>
    </row>
    <row r="2" spans="1:17" x14ac:dyDescent="0.3">
      <c r="A2" s="10" t="s">
        <v>541</v>
      </c>
      <c r="B2" t="s">
        <v>547</v>
      </c>
      <c r="D2" s="10" t="s">
        <v>541</v>
      </c>
      <c r="E2" t="s">
        <v>548</v>
      </c>
      <c r="G2" s="10" t="s">
        <v>541</v>
      </c>
      <c r="H2" t="s">
        <v>549</v>
      </c>
      <c r="J2" s="10" t="s">
        <v>541</v>
      </c>
      <c r="K2" t="s">
        <v>550</v>
      </c>
      <c r="M2" s="10" t="s">
        <v>541</v>
      </c>
      <c r="N2" t="s">
        <v>553</v>
      </c>
    </row>
    <row r="3" spans="1:17" x14ac:dyDescent="0.3">
      <c r="A3" s="12" t="s">
        <v>7</v>
      </c>
      <c r="B3" s="11">
        <v>4789</v>
      </c>
      <c r="D3" s="12" t="s">
        <v>1</v>
      </c>
      <c r="E3">
        <v>163</v>
      </c>
      <c r="G3" s="12" t="s">
        <v>211</v>
      </c>
      <c r="H3" s="15">
        <v>1295099.17</v>
      </c>
      <c r="J3" s="12" t="s">
        <v>7</v>
      </c>
      <c r="K3" s="15">
        <v>3230942.1199999996</v>
      </c>
      <c r="M3" s="12" t="s">
        <v>67</v>
      </c>
      <c r="N3" s="11">
        <v>7557814.049999998</v>
      </c>
      <c r="P3" s="10" t="s">
        <v>541</v>
      </c>
      <c r="Q3" t="s">
        <v>551</v>
      </c>
    </row>
    <row r="4" spans="1:17" x14ac:dyDescent="0.3">
      <c r="A4" s="12" t="s">
        <v>8</v>
      </c>
      <c r="B4" s="11">
        <v>6631</v>
      </c>
      <c r="D4" s="12" t="s">
        <v>3</v>
      </c>
      <c r="E4">
        <v>121</v>
      </c>
      <c r="G4" s="12" t="s">
        <v>14</v>
      </c>
      <c r="H4" s="15">
        <v>1333197.0900000001</v>
      </c>
      <c r="J4" s="12" t="s">
        <v>8</v>
      </c>
      <c r="K4" s="15">
        <v>2850230.6900000009</v>
      </c>
      <c r="M4" s="12" t="s">
        <v>73</v>
      </c>
      <c r="N4" s="11">
        <v>7684295.0999999996</v>
      </c>
      <c r="P4" s="12" t="s">
        <v>67</v>
      </c>
      <c r="Q4" s="11">
        <v>27</v>
      </c>
    </row>
    <row r="5" spans="1:17" x14ac:dyDescent="0.3">
      <c r="A5" s="12" t="s">
        <v>2</v>
      </c>
      <c r="B5" s="11">
        <v>6661</v>
      </c>
      <c r="D5" s="12" t="s">
        <v>5</v>
      </c>
      <c r="E5">
        <v>16</v>
      </c>
      <c r="G5" s="12" t="s">
        <v>135</v>
      </c>
      <c r="H5" s="15">
        <v>1338832.22</v>
      </c>
      <c r="J5" s="12" t="s">
        <v>2</v>
      </c>
      <c r="K5" s="15">
        <v>4416296.3400000008</v>
      </c>
      <c r="M5" s="12" t="s">
        <v>86</v>
      </c>
      <c r="N5" s="11">
        <v>5974986.8599999994</v>
      </c>
      <c r="P5" s="12" t="s">
        <v>73</v>
      </c>
      <c r="Q5" s="11">
        <v>32</v>
      </c>
    </row>
    <row r="6" spans="1:17" x14ac:dyDescent="0.3">
      <c r="A6" s="12" t="s">
        <v>4</v>
      </c>
      <c r="B6" s="11">
        <v>4815</v>
      </c>
      <c r="G6" s="12" t="s">
        <v>16</v>
      </c>
      <c r="H6" s="15">
        <v>1345588.53</v>
      </c>
      <c r="J6" s="12" t="s">
        <v>4</v>
      </c>
      <c r="K6" s="15">
        <v>3536246.9099999997</v>
      </c>
      <c r="M6" s="12" t="s">
        <v>78</v>
      </c>
      <c r="N6" s="11">
        <v>8054665.46</v>
      </c>
      <c r="P6" s="12" t="s">
        <v>86</v>
      </c>
      <c r="Q6" s="11">
        <v>14</v>
      </c>
    </row>
    <row r="7" spans="1:17" x14ac:dyDescent="0.3">
      <c r="A7" s="12" t="s">
        <v>6</v>
      </c>
      <c r="B7" s="11">
        <v>4852</v>
      </c>
      <c r="G7" s="12" t="s">
        <v>85</v>
      </c>
      <c r="H7" s="15">
        <v>1398080.1400000001</v>
      </c>
      <c r="J7" s="12" t="s">
        <v>6</v>
      </c>
      <c r="K7" s="15">
        <v>3757108.52</v>
      </c>
      <c r="M7" s="12" t="s">
        <v>91</v>
      </c>
      <c r="N7" s="11">
        <v>5855197.2799999984</v>
      </c>
      <c r="P7" s="12" t="s">
        <v>78</v>
      </c>
      <c r="Q7" s="11">
        <v>31</v>
      </c>
    </row>
    <row r="8" spans="1:17" x14ac:dyDescent="0.3">
      <c r="A8" s="12" t="s">
        <v>0</v>
      </c>
      <c r="B8" s="11">
        <v>6832</v>
      </c>
      <c r="G8" s="12" t="s">
        <v>44</v>
      </c>
      <c r="H8" s="15">
        <v>1485868.07</v>
      </c>
      <c r="J8" s="12" t="s">
        <v>0</v>
      </c>
      <c r="K8" s="15">
        <v>5147330.7599999988</v>
      </c>
      <c r="P8" s="12" t="s">
        <v>91</v>
      </c>
      <c r="Q8" s="11">
        <v>22</v>
      </c>
    </row>
    <row r="9" spans="1:17" x14ac:dyDescent="0.3">
      <c r="G9" s="12" t="s">
        <v>234</v>
      </c>
      <c r="H9" s="15">
        <v>1511006.4899999998</v>
      </c>
      <c r="P9" s="12" t="s">
        <v>540</v>
      </c>
      <c r="Q9" s="11">
        <v>126</v>
      </c>
    </row>
    <row r="10" spans="1:17" x14ac:dyDescent="0.3">
      <c r="G10" s="12" t="s">
        <v>279</v>
      </c>
      <c r="H10" s="15">
        <v>1520482.8099999998</v>
      </c>
    </row>
    <row r="11" spans="1:17" x14ac:dyDescent="0.3">
      <c r="G11" s="12" t="s">
        <v>31</v>
      </c>
      <c r="H11" s="15">
        <v>1752441.7999999998</v>
      </c>
    </row>
    <row r="12" spans="1:17" x14ac:dyDescent="0.3">
      <c r="G12" s="12" t="s">
        <v>12</v>
      </c>
      <c r="H12" s="15">
        <v>2819512.42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3CEC55-46D4-433E-AA3A-89E430016282}">
  <sheetPr>
    <tabColor rgb="FF00B050"/>
  </sheetPr>
  <dimension ref="D36:Z1539"/>
  <sheetViews>
    <sheetView showGridLines="0" tabSelected="1" zoomScale="70" zoomScaleNormal="70" workbookViewId="0">
      <selection activeCell="AC14" sqref="AC14"/>
    </sheetView>
  </sheetViews>
  <sheetFormatPr defaultRowHeight="16.8" x14ac:dyDescent="0.4"/>
  <cols>
    <col min="1" max="4" width="8.88671875" style="13"/>
    <col min="5" max="5" width="10.6640625" style="13" customWidth="1"/>
    <col min="6" max="6" width="16.5546875" style="13" customWidth="1"/>
    <col min="7" max="7" width="15.77734375" style="13" bestFit="1" customWidth="1"/>
    <col min="8" max="8" width="11.77734375" style="13" customWidth="1"/>
    <col min="9" max="9" width="6.6640625" style="13" customWidth="1"/>
    <col min="10" max="10" width="15.6640625" style="13" bestFit="1" customWidth="1"/>
    <col min="11" max="11" width="12" style="13" bestFit="1" customWidth="1"/>
    <col min="12" max="12" width="15.77734375" style="13" bestFit="1" customWidth="1"/>
    <col min="13" max="13" width="13.44140625" style="13" bestFit="1" customWidth="1"/>
    <col min="14" max="14" width="10.5546875" style="13" bestFit="1" customWidth="1"/>
    <col min="15" max="26" width="12.33203125" style="13" customWidth="1"/>
    <col min="27" max="16384" width="8.88671875" style="13"/>
  </cols>
  <sheetData>
    <row r="36" spans="4:26" ht="16.8" customHeight="1" x14ac:dyDescent="0.4">
      <c r="D36" s="25" t="s">
        <v>554</v>
      </c>
      <c r="E36" s="26"/>
      <c r="F36" s="26"/>
      <c r="G36" s="26"/>
      <c r="H36" s="26"/>
      <c r="I36" s="26"/>
      <c r="J36" s="26"/>
      <c r="K36" s="26"/>
      <c r="L36" s="26"/>
      <c r="M36" s="26"/>
      <c r="N36" s="26"/>
      <c r="O36" s="26"/>
      <c r="P36" s="19"/>
      <c r="Q36" s="19"/>
      <c r="R36" s="19"/>
      <c r="S36" s="19"/>
      <c r="T36" s="19"/>
      <c r="U36" s="19"/>
      <c r="V36" s="19"/>
      <c r="W36" s="19"/>
      <c r="X36" s="19"/>
      <c r="Y36" s="19"/>
      <c r="Z36" s="19"/>
    </row>
    <row r="37" spans="4:26" x14ac:dyDescent="0.4">
      <c r="D37" s="26"/>
      <c r="E37" s="26"/>
      <c r="F37" s="26"/>
      <c r="G37" s="26"/>
      <c r="H37" s="26"/>
      <c r="I37" s="26"/>
      <c r="J37" s="26"/>
      <c r="K37" s="26"/>
      <c r="L37" s="26"/>
      <c r="M37" s="26"/>
      <c r="N37" s="26"/>
      <c r="O37" s="26"/>
      <c r="P37" s="19"/>
      <c r="Q37" s="19"/>
      <c r="R37" s="19"/>
      <c r="S37" s="19"/>
      <c r="T37" s="19"/>
      <c r="U37" s="19"/>
      <c r="V37" s="19"/>
      <c r="W37" s="19"/>
      <c r="X37" s="19"/>
      <c r="Y37" s="19"/>
      <c r="Z37" s="19"/>
    </row>
    <row r="38" spans="4:26" x14ac:dyDescent="0.4">
      <c r="D38" s="18"/>
      <c r="E38" s="20" t="s">
        <v>9</v>
      </c>
      <c r="F38" s="20" t="s">
        <v>47</v>
      </c>
      <c r="G38" s="20" t="s">
        <v>10</v>
      </c>
      <c r="H38" s="20" t="s">
        <v>48</v>
      </c>
      <c r="I38" s="20" t="s">
        <v>49</v>
      </c>
      <c r="J38" s="20" t="s">
        <v>59</v>
      </c>
      <c r="K38" s="20" t="s">
        <v>555</v>
      </c>
      <c r="L38" s="20" t="s">
        <v>556</v>
      </c>
      <c r="M38" s="20" t="s">
        <v>557</v>
      </c>
      <c r="N38" s="20" t="s">
        <v>558</v>
      </c>
      <c r="O38" s="18"/>
      <c r="P38" s="18"/>
      <c r="Q38" s="18"/>
      <c r="R38" s="18"/>
      <c r="S38" s="18"/>
      <c r="T38" s="18"/>
      <c r="U38" s="18"/>
      <c r="V38" s="18"/>
      <c r="W38" s="18"/>
      <c r="X38" s="18"/>
      <c r="Y38" s="18"/>
      <c r="Z38" s="18"/>
    </row>
    <row r="39" spans="4:26" x14ac:dyDescent="0.4">
      <c r="D39" s="18"/>
      <c r="E39" s="21" t="s">
        <v>260</v>
      </c>
      <c r="F39" s="21" t="s">
        <v>261</v>
      </c>
      <c r="G39" s="21" t="s">
        <v>7</v>
      </c>
      <c r="H39" s="21" t="s">
        <v>66</v>
      </c>
      <c r="I39" s="21" t="s">
        <v>73</v>
      </c>
      <c r="J39" s="21" t="s">
        <v>1</v>
      </c>
      <c r="K39" s="22">
        <v>226</v>
      </c>
      <c r="L39" s="23">
        <v>414443.32</v>
      </c>
      <c r="M39" s="24">
        <v>360398.75</v>
      </c>
      <c r="N39" s="24">
        <v>131171.25</v>
      </c>
      <c r="O39" s="18"/>
      <c r="P39" s="18"/>
      <c r="Q39" s="18"/>
      <c r="R39" s="18"/>
      <c r="S39" s="18"/>
      <c r="T39" s="18"/>
      <c r="U39" s="18"/>
      <c r="V39" s="18"/>
      <c r="W39" s="18"/>
      <c r="X39" s="18"/>
      <c r="Y39" s="18"/>
      <c r="Z39" s="18"/>
    </row>
    <row r="40" spans="4:26" x14ac:dyDescent="0.4">
      <c r="D40" s="18"/>
      <c r="E40" s="21" t="s">
        <v>266</v>
      </c>
      <c r="F40" s="21" t="s">
        <v>146</v>
      </c>
      <c r="G40" s="21" t="s">
        <v>7</v>
      </c>
      <c r="H40" s="21" t="s">
        <v>108</v>
      </c>
      <c r="I40" s="21" t="s">
        <v>91</v>
      </c>
      <c r="J40" s="21" t="s">
        <v>1</v>
      </c>
      <c r="K40" s="22">
        <v>185</v>
      </c>
      <c r="L40" s="23">
        <v>231771.69999999998</v>
      </c>
      <c r="M40" s="24">
        <v>33350.85</v>
      </c>
      <c r="N40" s="24">
        <v>17064.189999999999</v>
      </c>
      <c r="O40" s="18"/>
      <c r="P40" s="18"/>
      <c r="Q40" s="18"/>
      <c r="R40" s="18"/>
      <c r="S40" s="18"/>
      <c r="T40" s="18"/>
      <c r="U40" s="18"/>
      <c r="V40" s="18"/>
      <c r="W40" s="18"/>
      <c r="X40" s="18"/>
      <c r="Y40" s="18"/>
      <c r="Z40" s="18"/>
    </row>
    <row r="41" spans="4:26" x14ac:dyDescent="0.4">
      <c r="D41" s="18"/>
      <c r="E41" s="21" t="s">
        <v>268</v>
      </c>
      <c r="F41" s="21" t="s">
        <v>103</v>
      </c>
      <c r="G41" s="21" t="s">
        <v>4</v>
      </c>
      <c r="H41" s="21" t="s">
        <v>96</v>
      </c>
      <c r="I41" s="21" t="s">
        <v>67</v>
      </c>
      <c r="J41" s="21" t="s">
        <v>1</v>
      </c>
      <c r="K41" s="22">
        <v>62</v>
      </c>
      <c r="L41" s="23">
        <v>4783.92</v>
      </c>
      <c r="M41" s="24">
        <v>6929.2</v>
      </c>
      <c r="N41" s="24">
        <v>3842.8</v>
      </c>
      <c r="O41" s="18"/>
      <c r="P41" s="18"/>
      <c r="Q41" s="18"/>
      <c r="R41" s="18"/>
      <c r="S41" s="18"/>
      <c r="T41" s="18"/>
      <c r="U41" s="18"/>
      <c r="V41" s="18"/>
      <c r="W41" s="18"/>
      <c r="X41" s="18"/>
      <c r="Y41" s="18"/>
      <c r="Z41" s="18"/>
    </row>
    <row r="42" spans="4:26" x14ac:dyDescent="0.4">
      <c r="D42" s="18"/>
      <c r="E42" s="21" t="s">
        <v>272</v>
      </c>
      <c r="F42" s="21" t="s">
        <v>273</v>
      </c>
      <c r="G42" s="21" t="s">
        <v>2</v>
      </c>
      <c r="H42" s="21" t="s">
        <v>128</v>
      </c>
      <c r="I42" s="21" t="s">
        <v>91</v>
      </c>
      <c r="J42" s="21" t="s">
        <v>1</v>
      </c>
      <c r="K42" s="22">
        <v>282</v>
      </c>
      <c r="L42" s="23">
        <v>86401.98</v>
      </c>
      <c r="M42" s="24">
        <v>16520.939999999999</v>
      </c>
      <c r="N42" s="24">
        <v>6103.68</v>
      </c>
      <c r="O42" s="18"/>
      <c r="P42" s="18"/>
      <c r="Q42" s="18"/>
      <c r="R42" s="18"/>
      <c r="S42" s="18"/>
      <c r="T42" s="18"/>
      <c r="U42" s="18"/>
      <c r="V42" s="18"/>
      <c r="W42" s="18"/>
      <c r="X42" s="18"/>
      <c r="Y42" s="18"/>
      <c r="Z42" s="18"/>
    </row>
    <row r="43" spans="4:26" x14ac:dyDescent="0.4">
      <c r="D43" s="18"/>
      <c r="E43" s="21" t="s">
        <v>276</v>
      </c>
      <c r="F43" s="21" t="s">
        <v>277</v>
      </c>
      <c r="G43" s="21" t="s">
        <v>4</v>
      </c>
      <c r="H43" s="21" t="s">
        <v>108</v>
      </c>
      <c r="I43" s="21" t="s">
        <v>67</v>
      </c>
      <c r="J43" s="21" t="s">
        <v>1</v>
      </c>
      <c r="K43" s="22">
        <v>278</v>
      </c>
      <c r="L43" s="23">
        <v>213192.63999999998</v>
      </c>
      <c r="M43" s="24">
        <v>126271.22</v>
      </c>
      <c r="N43" s="24">
        <v>79491.539999999994</v>
      </c>
      <c r="O43" s="18"/>
      <c r="P43" s="18"/>
      <c r="Q43" s="18"/>
      <c r="R43" s="18"/>
      <c r="S43" s="18"/>
      <c r="T43" s="18"/>
      <c r="U43" s="18"/>
      <c r="V43" s="18"/>
      <c r="W43" s="18"/>
      <c r="X43" s="18"/>
      <c r="Y43" s="18"/>
      <c r="Z43" s="18"/>
    </row>
    <row r="44" spans="4:26" x14ac:dyDescent="0.4">
      <c r="D44" s="18"/>
      <c r="E44" s="21" t="s">
        <v>278</v>
      </c>
      <c r="F44" s="21" t="s">
        <v>279</v>
      </c>
      <c r="G44" s="21" t="s">
        <v>2</v>
      </c>
      <c r="H44" s="21" t="s">
        <v>132</v>
      </c>
      <c r="I44" s="21" t="s">
        <v>91</v>
      </c>
      <c r="J44" s="21" t="s">
        <v>1</v>
      </c>
      <c r="K44" s="22">
        <v>242</v>
      </c>
      <c r="L44" s="23">
        <v>342756.69999999995</v>
      </c>
      <c r="M44" s="24">
        <v>135474.18</v>
      </c>
      <c r="N44" s="24">
        <v>81652.88</v>
      </c>
      <c r="O44" s="18"/>
      <c r="P44" s="18"/>
      <c r="Q44" s="18"/>
      <c r="R44" s="18"/>
      <c r="S44" s="18"/>
      <c r="T44" s="18"/>
      <c r="U44" s="18"/>
      <c r="V44" s="18"/>
      <c r="W44" s="18"/>
      <c r="X44" s="18"/>
      <c r="Y44" s="18"/>
      <c r="Z44" s="18"/>
    </row>
    <row r="45" spans="4:26" x14ac:dyDescent="0.4">
      <c r="D45" s="18"/>
      <c r="E45" s="21" t="s">
        <v>282</v>
      </c>
      <c r="F45" s="21" t="s">
        <v>283</v>
      </c>
      <c r="G45" s="21" t="s">
        <v>8</v>
      </c>
      <c r="H45" s="21" t="s">
        <v>128</v>
      </c>
      <c r="I45" s="21" t="s">
        <v>73</v>
      </c>
      <c r="J45" s="21" t="s">
        <v>1</v>
      </c>
      <c r="K45" s="22">
        <v>135</v>
      </c>
      <c r="L45" s="23">
        <v>93197.25</v>
      </c>
      <c r="M45" s="24">
        <v>135640.68</v>
      </c>
      <c r="N45" s="24">
        <v>77651.28</v>
      </c>
      <c r="O45" s="18"/>
      <c r="P45" s="18"/>
      <c r="Q45" s="18"/>
      <c r="R45" s="18"/>
      <c r="S45" s="18"/>
      <c r="T45" s="18"/>
      <c r="U45" s="18"/>
      <c r="V45" s="18"/>
      <c r="W45" s="18"/>
      <c r="X45" s="18"/>
      <c r="Y45" s="18"/>
      <c r="Z45" s="18"/>
    </row>
    <row r="46" spans="4:26" x14ac:dyDescent="0.4">
      <c r="D46" s="18"/>
      <c r="E46" s="21" t="s">
        <v>285</v>
      </c>
      <c r="F46" s="21" t="s">
        <v>146</v>
      </c>
      <c r="G46" s="21" t="s">
        <v>7</v>
      </c>
      <c r="H46" s="21" t="s">
        <v>128</v>
      </c>
      <c r="I46" s="21" t="s">
        <v>67</v>
      </c>
      <c r="J46" s="21" t="s">
        <v>1</v>
      </c>
      <c r="K46" s="22">
        <v>249</v>
      </c>
      <c r="L46" s="23">
        <v>435082.68</v>
      </c>
      <c r="M46" s="24">
        <v>172689.53</v>
      </c>
      <c r="N46" s="24">
        <v>45135.17</v>
      </c>
      <c r="O46" s="18"/>
      <c r="P46" s="18"/>
      <c r="Q46" s="18"/>
      <c r="R46" s="18"/>
      <c r="S46" s="18"/>
      <c r="T46" s="18"/>
      <c r="U46" s="18"/>
      <c r="V46" s="18"/>
      <c r="W46" s="18"/>
      <c r="X46" s="18"/>
      <c r="Y46" s="18"/>
      <c r="Z46" s="18"/>
    </row>
    <row r="47" spans="4:26" x14ac:dyDescent="0.4">
      <c r="D47" s="18"/>
      <c r="E47" s="21" t="s">
        <v>287</v>
      </c>
      <c r="F47" s="21" t="s">
        <v>40</v>
      </c>
      <c r="G47" s="21" t="s">
        <v>4</v>
      </c>
      <c r="H47" s="21" t="s">
        <v>128</v>
      </c>
      <c r="I47" s="21" t="s">
        <v>78</v>
      </c>
      <c r="J47" s="21" t="s">
        <v>1</v>
      </c>
      <c r="K47" s="22">
        <v>51</v>
      </c>
      <c r="L47" s="23">
        <v>45822.48</v>
      </c>
      <c r="M47" s="24">
        <v>174577.22</v>
      </c>
      <c r="N47" s="24">
        <v>100003.38</v>
      </c>
      <c r="O47" s="18"/>
      <c r="P47" s="18"/>
      <c r="Q47" s="18"/>
      <c r="R47" s="18"/>
      <c r="S47" s="18"/>
      <c r="T47" s="18"/>
      <c r="U47" s="18"/>
      <c r="V47" s="18"/>
      <c r="W47" s="18"/>
      <c r="X47" s="18"/>
      <c r="Y47" s="18"/>
      <c r="Z47" s="18"/>
    </row>
    <row r="48" spans="4:26" x14ac:dyDescent="0.4">
      <c r="D48" s="18"/>
      <c r="E48" s="21" t="s">
        <v>288</v>
      </c>
      <c r="F48" s="21" t="s">
        <v>44</v>
      </c>
      <c r="G48" s="21" t="s">
        <v>8</v>
      </c>
      <c r="H48" s="21" t="s">
        <v>81</v>
      </c>
      <c r="I48" s="21" t="s">
        <v>67</v>
      </c>
      <c r="J48" s="21" t="s">
        <v>1</v>
      </c>
      <c r="K48" s="22">
        <v>135</v>
      </c>
      <c r="L48" s="23">
        <v>112841.1</v>
      </c>
      <c r="M48" s="24">
        <v>85423.8</v>
      </c>
      <c r="N48" s="24">
        <v>48645.96</v>
      </c>
      <c r="O48" s="18"/>
      <c r="P48" s="18"/>
      <c r="Q48" s="18"/>
      <c r="R48" s="18"/>
      <c r="S48" s="18"/>
      <c r="T48" s="18"/>
      <c r="U48" s="18"/>
      <c r="V48" s="18"/>
      <c r="W48" s="18"/>
      <c r="X48" s="18"/>
      <c r="Y48" s="18"/>
      <c r="Z48" s="18"/>
    </row>
    <row r="49" spans="4:26" x14ac:dyDescent="0.4">
      <c r="D49" s="18"/>
      <c r="E49" s="21" t="s">
        <v>289</v>
      </c>
      <c r="F49" s="21" t="s">
        <v>120</v>
      </c>
      <c r="G49" s="21" t="s">
        <v>8</v>
      </c>
      <c r="H49" s="21" t="s">
        <v>128</v>
      </c>
      <c r="I49" s="21" t="s">
        <v>86</v>
      </c>
      <c r="J49" s="21" t="s">
        <v>1</v>
      </c>
      <c r="K49" s="22">
        <v>298</v>
      </c>
      <c r="L49" s="23">
        <v>90404.26</v>
      </c>
      <c r="M49" s="24">
        <v>39274.949999999997</v>
      </c>
      <c r="N49" s="24">
        <v>19555.900000000001</v>
      </c>
      <c r="O49" s="18"/>
      <c r="P49" s="18"/>
      <c r="Q49" s="18"/>
      <c r="R49" s="18"/>
      <c r="S49" s="18"/>
      <c r="T49" s="18"/>
      <c r="U49" s="18"/>
      <c r="V49" s="18"/>
      <c r="W49" s="18"/>
      <c r="X49" s="18"/>
      <c r="Y49" s="18"/>
      <c r="Z49" s="18"/>
    </row>
    <row r="50" spans="4:26" x14ac:dyDescent="0.4">
      <c r="D50" s="18"/>
      <c r="E50" s="21" t="s">
        <v>293</v>
      </c>
      <c r="F50" s="21" t="s">
        <v>261</v>
      </c>
      <c r="G50" s="21" t="s">
        <v>7</v>
      </c>
      <c r="H50" s="21" t="s">
        <v>108</v>
      </c>
      <c r="I50" s="21" t="s">
        <v>67</v>
      </c>
      <c r="J50" s="21" t="s">
        <v>1</v>
      </c>
      <c r="K50" s="22">
        <v>247</v>
      </c>
      <c r="L50" s="23">
        <v>57098.99</v>
      </c>
      <c r="M50" s="24">
        <v>32457</v>
      </c>
      <c r="N50" s="24">
        <v>15119.25</v>
      </c>
      <c r="O50" s="18"/>
      <c r="P50" s="18"/>
      <c r="Q50" s="18"/>
      <c r="R50" s="18"/>
      <c r="S50" s="18"/>
      <c r="T50" s="18"/>
      <c r="U50" s="18"/>
      <c r="V50" s="18"/>
      <c r="W50" s="18"/>
      <c r="X50" s="18"/>
      <c r="Y50" s="18"/>
      <c r="Z50" s="18"/>
    </row>
    <row r="51" spans="4:26" x14ac:dyDescent="0.4">
      <c r="D51" s="18"/>
      <c r="E51" s="21" t="s">
        <v>296</v>
      </c>
      <c r="F51" s="21" t="s">
        <v>211</v>
      </c>
      <c r="G51" s="21" t="s">
        <v>2</v>
      </c>
      <c r="H51" s="21" t="s">
        <v>132</v>
      </c>
      <c r="I51" s="21" t="s">
        <v>73</v>
      </c>
      <c r="J51" s="21" t="s">
        <v>1</v>
      </c>
      <c r="K51" s="22">
        <v>386</v>
      </c>
      <c r="L51" s="23">
        <v>558711.84</v>
      </c>
      <c r="M51" s="24">
        <v>79508.639999999999</v>
      </c>
      <c r="N51" s="24">
        <v>44770.080000000002</v>
      </c>
      <c r="O51" s="18"/>
      <c r="P51" s="18"/>
      <c r="Q51" s="18"/>
      <c r="R51" s="18"/>
      <c r="S51" s="18"/>
      <c r="T51" s="18"/>
      <c r="U51" s="18"/>
      <c r="V51" s="18"/>
      <c r="W51" s="18"/>
      <c r="X51" s="18"/>
      <c r="Y51" s="18"/>
      <c r="Z51" s="18"/>
    </row>
    <row r="52" spans="4:26" x14ac:dyDescent="0.4">
      <c r="D52" s="18"/>
      <c r="E52" s="21" t="s">
        <v>298</v>
      </c>
      <c r="F52" s="21" t="s">
        <v>291</v>
      </c>
      <c r="G52" s="21" t="s">
        <v>7</v>
      </c>
      <c r="H52" s="21" t="s">
        <v>77</v>
      </c>
      <c r="I52" s="21" t="s">
        <v>91</v>
      </c>
      <c r="J52" s="21" t="s">
        <v>1</v>
      </c>
      <c r="K52" s="22">
        <v>187</v>
      </c>
      <c r="L52" s="23">
        <v>52397.4</v>
      </c>
      <c r="M52" s="24">
        <v>79137.48</v>
      </c>
      <c r="N52" s="24">
        <v>49436.28</v>
      </c>
      <c r="O52" s="18"/>
      <c r="P52" s="18"/>
      <c r="Q52" s="18"/>
      <c r="R52" s="18"/>
      <c r="S52" s="18"/>
      <c r="T52" s="18"/>
      <c r="U52" s="18"/>
      <c r="V52" s="18"/>
      <c r="W52" s="18"/>
      <c r="X52" s="18"/>
      <c r="Y52" s="18"/>
      <c r="Z52" s="18"/>
    </row>
    <row r="53" spans="4:26" x14ac:dyDescent="0.4">
      <c r="D53" s="18"/>
      <c r="E53" s="21" t="s">
        <v>19</v>
      </c>
      <c r="F53" s="21" t="s">
        <v>20</v>
      </c>
      <c r="G53" s="21" t="s">
        <v>4</v>
      </c>
      <c r="H53" s="21" t="s">
        <v>96</v>
      </c>
      <c r="I53" s="21" t="s">
        <v>86</v>
      </c>
      <c r="J53" s="21" t="s">
        <v>1</v>
      </c>
      <c r="K53" s="22">
        <v>256</v>
      </c>
      <c r="L53" s="23">
        <v>468147.20000000001</v>
      </c>
      <c r="M53" s="24">
        <v>572606.81999999995</v>
      </c>
      <c r="N53" s="24">
        <v>347676.72</v>
      </c>
      <c r="O53" s="18"/>
      <c r="P53" s="18"/>
      <c r="Q53" s="18"/>
      <c r="R53" s="18"/>
      <c r="S53" s="18"/>
      <c r="T53" s="18"/>
      <c r="U53" s="18"/>
      <c r="V53" s="18"/>
      <c r="W53" s="18"/>
      <c r="X53" s="18"/>
      <c r="Y53" s="18"/>
      <c r="Z53" s="18"/>
    </row>
    <row r="54" spans="4:26" x14ac:dyDescent="0.4">
      <c r="D54" s="18"/>
      <c r="E54" s="21" t="s">
        <v>17</v>
      </c>
      <c r="F54" s="21" t="s">
        <v>18</v>
      </c>
      <c r="G54" s="21" t="s">
        <v>0</v>
      </c>
      <c r="H54" s="21" t="s">
        <v>72</v>
      </c>
      <c r="I54" s="21" t="s">
        <v>91</v>
      </c>
      <c r="J54" s="21" t="s">
        <v>1</v>
      </c>
      <c r="K54" s="22">
        <v>115</v>
      </c>
      <c r="L54" s="23">
        <v>198154.19999999998</v>
      </c>
      <c r="M54" s="24">
        <v>583879.86</v>
      </c>
      <c r="N54" s="24">
        <v>339202.5</v>
      </c>
      <c r="O54" s="18"/>
      <c r="P54" s="18"/>
      <c r="Q54" s="18"/>
      <c r="R54" s="18"/>
      <c r="S54" s="18"/>
      <c r="T54" s="18"/>
      <c r="U54" s="18"/>
      <c r="V54" s="18"/>
      <c r="W54" s="18"/>
      <c r="X54" s="18"/>
      <c r="Y54" s="18"/>
      <c r="Z54" s="18"/>
    </row>
    <row r="55" spans="4:26" x14ac:dyDescent="0.4">
      <c r="D55" s="18"/>
      <c r="E55" s="21" t="s">
        <v>300</v>
      </c>
      <c r="F55" s="21" t="s">
        <v>12</v>
      </c>
      <c r="G55" s="21" t="s">
        <v>0</v>
      </c>
      <c r="H55" s="21" t="s">
        <v>128</v>
      </c>
      <c r="I55" s="21" t="s">
        <v>78</v>
      </c>
      <c r="J55" s="21" t="s">
        <v>1</v>
      </c>
      <c r="K55" s="22">
        <v>58</v>
      </c>
      <c r="L55" s="23">
        <v>43488.399999999994</v>
      </c>
      <c r="M55" s="24">
        <v>176263.55</v>
      </c>
      <c r="N55" s="24">
        <v>103532.95</v>
      </c>
      <c r="O55" s="18"/>
      <c r="P55" s="18"/>
      <c r="Q55" s="18"/>
      <c r="R55" s="18"/>
      <c r="S55" s="18"/>
      <c r="T55" s="18"/>
      <c r="U55" s="18"/>
      <c r="V55" s="18"/>
      <c r="W55" s="18"/>
      <c r="X55" s="18"/>
      <c r="Y55" s="18"/>
      <c r="Z55" s="18"/>
    </row>
    <row r="56" spans="4:26" x14ac:dyDescent="0.4">
      <c r="D56" s="18"/>
      <c r="E56" s="21" t="s">
        <v>301</v>
      </c>
      <c r="F56" s="21" t="s">
        <v>14</v>
      </c>
      <c r="G56" s="21" t="s">
        <v>7</v>
      </c>
      <c r="H56" s="21" t="s">
        <v>72</v>
      </c>
      <c r="I56" s="21" t="s">
        <v>73</v>
      </c>
      <c r="J56" s="21" t="s">
        <v>1</v>
      </c>
      <c r="K56" s="22">
        <v>287</v>
      </c>
      <c r="L56" s="23">
        <v>192132.15000000002</v>
      </c>
      <c r="M56" s="24">
        <v>174983.38</v>
      </c>
      <c r="N56" s="24">
        <v>95988.28</v>
      </c>
      <c r="O56" s="18"/>
      <c r="P56" s="18"/>
      <c r="Q56" s="18"/>
      <c r="R56" s="18"/>
      <c r="S56" s="18"/>
      <c r="T56" s="18"/>
      <c r="U56" s="18"/>
      <c r="V56" s="18"/>
      <c r="W56" s="18"/>
      <c r="X56" s="18"/>
      <c r="Y56" s="18"/>
      <c r="Z56" s="18"/>
    </row>
    <row r="57" spans="4:26" x14ac:dyDescent="0.4">
      <c r="D57" s="18"/>
      <c r="E57" s="21" t="s">
        <v>304</v>
      </c>
      <c r="F57" s="21" t="s">
        <v>148</v>
      </c>
      <c r="G57" s="21" t="s">
        <v>4</v>
      </c>
      <c r="H57" s="21" t="s">
        <v>108</v>
      </c>
      <c r="I57" s="21" t="s">
        <v>67</v>
      </c>
      <c r="J57" s="21" t="s">
        <v>1</v>
      </c>
      <c r="K57" s="22">
        <v>214</v>
      </c>
      <c r="L57" s="23">
        <v>253147.02000000002</v>
      </c>
      <c r="M57" s="24">
        <v>70677</v>
      </c>
      <c r="N57" s="24">
        <v>41103.75</v>
      </c>
      <c r="O57" s="18"/>
      <c r="P57" s="18"/>
      <c r="Q57" s="18"/>
      <c r="R57" s="18"/>
      <c r="S57" s="18"/>
      <c r="T57" s="18"/>
      <c r="U57" s="18"/>
      <c r="V57" s="18"/>
      <c r="W57" s="18"/>
      <c r="X57" s="18"/>
      <c r="Y57" s="18"/>
      <c r="Z57" s="18"/>
    </row>
    <row r="58" spans="4:26" x14ac:dyDescent="0.4">
      <c r="D58" s="18"/>
      <c r="E58" s="21" t="s">
        <v>306</v>
      </c>
      <c r="F58" s="21" t="s">
        <v>211</v>
      </c>
      <c r="G58" s="21" t="s">
        <v>2</v>
      </c>
      <c r="H58" s="21" t="s">
        <v>66</v>
      </c>
      <c r="I58" s="21" t="s">
        <v>91</v>
      </c>
      <c r="J58" s="21" t="s">
        <v>1</v>
      </c>
      <c r="K58" s="22">
        <v>108</v>
      </c>
      <c r="L58" s="23">
        <v>178405.2</v>
      </c>
      <c r="M58" s="24">
        <v>11873.1</v>
      </c>
      <c r="N58" s="24">
        <v>3613.6</v>
      </c>
      <c r="O58" s="18"/>
      <c r="P58" s="18"/>
      <c r="Q58" s="18"/>
      <c r="R58" s="18"/>
      <c r="S58" s="18"/>
      <c r="T58" s="18"/>
      <c r="U58" s="18"/>
      <c r="V58" s="18"/>
      <c r="W58" s="18"/>
      <c r="X58" s="18"/>
      <c r="Y58" s="18"/>
      <c r="Z58" s="18"/>
    </row>
    <row r="59" spans="4:26" x14ac:dyDescent="0.4">
      <c r="D59" s="18"/>
      <c r="E59" s="21" t="s">
        <v>312</v>
      </c>
      <c r="F59" s="21" t="s">
        <v>65</v>
      </c>
      <c r="G59" s="21" t="s">
        <v>7</v>
      </c>
      <c r="H59" s="21" t="s">
        <v>108</v>
      </c>
      <c r="I59" s="21" t="s">
        <v>91</v>
      </c>
      <c r="J59" s="21" t="s">
        <v>1</v>
      </c>
      <c r="K59" s="22">
        <v>303</v>
      </c>
      <c r="L59" s="23">
        <v>71486.790000000008</v>
      </c>
      <c r="M59" s="24">
        <v>64506.33</v>
      </c>
      <c r="N59" s="24">
        <v>33127.64</v>
      </c>
      <c r="O59" s="18"/>
      <c r="P59" s="18"/>
      <c r="Q59" s="18"/>
      <c r="R59" s="18"/>
      <c r="S59" s="18"/>
      <c r="T59" s="18"/>
      <c r="U59" s="18"/>
      <c r="V59" s="18"/>
      <c r="W59" s="18"/>
      <c r="X59" s="18"/>
      <c r="Y59" s="18"/>
      <c r="Z59" s="18"/>
    </row>
    <row r="60" spans="4:26" x14ac:dyDescent="0.4">
      <c r="D60" s="18"/>
      <c r="E60" s="21" t="s">
        <v>314</v>
      </c>
      <c r="F60" s="21" t="s">
        <v>234</v>
      </c>
      <c r="G60" s="21" t="s">
        <v>0</v>
      </c>
      <c r="H60" s="21" t="s">
        <v>66</v>
      </c>
      <c r="I60" s="21" t="s">
        <v>78</v>
      </c>
      <c r="J60" s="21" t="s">
        <v>1</v>
      </c>
      <c r="K60" s="22">
        <v>55</v>
      </c>
      <c r="L60" s="23">
        <v>54490.15</v>
      </c>
      <c r="M60" s="24">
        <v>52797</v>
      </c>
      <c r="N60" s="24">
        <v>32982.400000000001</v>
      </c>
      <c r="O60" s="18"/>
      <c r="P60" s="18"/>
      <c r="Q60" s="18"/>
      <c r="R60" s="18"/>
      <c r="S60" s="18"/>
      <c r="T60" s="18"/>
      <c r="U60" s="18"/>
      <c r="V60" s="18"/>
      <c r="W60" s="18"/>
      <c r="X60" s="18"/>
      <c r="Y60" s="18"/>
      <c r="Z60" s="18"/>
    </row>
    <row r="61" spans="4:26" x14ac:dyDescent="0.4">
      <c r="D61" s="18"/>
      <c r="E61" s="21" t="s">
        <v>316</v>
      </c>
      <c r="F61" s="21" t="s">
        <v>85</v>
      </c>
      <c r="G61" s="21" t="s">
        <v>0</v>
      </c>
      <c r="H61" s="21" t="s">
        <v>96</v>
      </c>
      <c r="I61" s="21" t="s">
        <v>78</v>
      </c>
      <c r="J61" s="21" t="s">
        <v>1</v>
      </c>
      <c r="K61" s="22">
        <v>324</v>
      </c>
      <c r="L61" s="23">
        <v>382002.48</v>
      </c>
      <c r="M61" s="24">
        <v>376945.65</v>
      </c>
      <c r="N61" s="24">
        <v>217777.95</v>
      </c>
      <c r="O61" s="18"/>
      <c r="P61" s="18"/>
      <c r="Q61" s="18"/>
      <c r="R61" s="18"/>
      <c r="S61" s="18"/>
      <c r="T61" s="18"/>
      <c r="U61" s="18"/>
      <c r="V61" s="18"/>
      <c r="W61" s="18"/>
      <c r="X61" s="18"/>
      <c r="Y61" s="18"/>
      <c r="Z61" s="18"/>
    </row>
    <row r="62" spans="4:26" x14ac:dyDescent="0.4">
      <c r="D62" s="18"/>
      <c r="E62" s="21" t="s">
        <v>318</v>
      </c>
      <c r="F62" s="21" t="s">
        <v>234</v>
      </c>
      <c r="G62" s="21" t="s">
        <v>0</v>
      </c>
      <c r="H62" s="21" t="s">
        <v>128</v>
      </c>
      <c r="I62" s="21" t="s">
        <v>78</v>
      </c>
      <c r="J62" s="21" t="s">
        <v>1</v>
      </c>
      <c r="K62" s="22">
        <v>83</v>
      </c>
      <c r="L62" s="23">
        <v>108631.23</v>
      </c>
      <c r="M62" s="24">
        <v>369275.35</v>
      </c>
      <c r="N62" s="24">
        <v>218762.2</v>
      </c>
      <c r="O62" s="18"/>
      <c r="P62" s="18"/>
      <c r="Q62" s="18"/>
      <c r="R62" s="18"/>
      <c r="S62" s="18"/>
      <c r="T62" s="18"/>
      <c r="U62" s="18"/>
      <c r="V62" s="18"/>
      <c r="W62" s="18"/>
      <c r="X62" s="18"/>
      <c r="Y62" s="18"/>
      <c r="Z62" s="18"/>
    </row>
    <row r="63" spans="4:26" x14ac:dyDescent="0.4">
      <c r="D63" s="18"/>
      <c r="E63" s="21" t="s">
        <v>320</v>
      </c>
      <c r="F63" s="21" t="s">
        <v>148</v>
      </c>
      <c r="G63" s="21" t="s">
        <v>4</v>
      </c>
      <c r="H63" s="21" t="s">
        <v>81</v>
      </c>
      <c r="I63" s="21" t="s">
        <v>91</v>
      </c>
      <c r="J63" s="21" t="s">
        <v>1</v>
      </c>
      <c r="K63" s="22">
        <v>48</v>
      </c>
      <c r="L63" s="23">
        <v>30664.800000000003</v>
      </c>
      <c r="M63" s="24">
        <v>44069.61</v>
      </c>
      <c r="N63" s="24">
        <v>19154.46</v>
      </c>
      <c r="O63" s="18"/>
      <c r="P63" s="18"/>
      <c r="Q63" s="18"/>
      <c r="R63" s="18"/>
      <c r="S63" s="18"/>
      <c r="T63" s="18"/>
      <c r="U63" s="18"/>
      <c r="V63" s="18"/>
      <c r="W63" s="18"/>
      <c r="X63" s="18"/>
      <c r="Y63" s="18"/>
      <c r="Z63" s="18"/>
    </row>
    <row r="64" spans="4:26" x14ac:dyDescent="0.4">
      <c r="D64" s="18"/>
      <c r="E64" s="21" t="s">
        <v>321</v>
      </c>
      <c r="F64" s="21" t="s">
        <v>322</v>
      </c>
      <c r="G64" s="21" t="s">
        <v>7</v>
      </c>
      <c r="H64" s="21" t="s">
        <v>72</v>
      </c>
      <c r="I64" s="21" t="s">
        <v>78</v>
      </c>
      <c r="J64" s="21" t="s">
        <v>1</v>
      </c>
      <c r="K64" s="22">
        <v>55</v>
      </c>
      <c r="L64" s="23">
        <v>11616</v>
      </c>
      <c r="M64" s="24">
        <v>7629.15</v>
      </c>
      <c r="N64" s="24">
        <v>4461.1499999999996</v>
      </c>
      <c r="O64" s="18"/>
      <c r="P64" s="18"/>
      <c r="Q64" s="18"/>
      <c r="R64" s="18"/>
      <c r="S64" s="18"/>
      <c r="T64" s="18"/>
      <c r="U64" s="18"/>
      <c r="V64" s="18"/>
      <c r="W64" s="18"/>
      <c r="X64" s="18"/>
      <c r="Y64" s="18"/>
      <c r="Z64" s="18"/>
    </row>
    <row r="65" spans="4:26" x14ac:dyDescent="0.4">
      <c r="D65" s="18"/>
      <c r="E65" s="21" t="s">
        <v>323</v>
      </c>
      <c r="F65" s="21" t="s">
        <v>152</v>
      </c>
      <c r="G65" s="21" t="s">
        <v>2</v>
      </c>
      <c r="H65" s="21" t="s">
        <v>81</v>
      </c>
      <c r="I65" s="21" t="s">
        <v>78</v>
      </c>
      <c r="J65" s="21" t="s">
        <v>1</v>
      </c>
      <c r="K65" s="22">
        <v>340</v>
      </c>
      <c r="L65" s="23">
        <v>640369.6</v>
      </c>
      <c r="M65" s="24">
        <v>265963.82</v>
      </c>
      <c r="N65" s="24">
        <v>128472.7</v>
      </c>
      <c r="O65" s="18"/>
      <c r="P65" s="18"/>
      <c r="Q65" s="18"/>
      <c r="R65" s="18"/>
      <c r="S65" s="18"/>
      <c r="T65" s="18"/>
      <c r="U65" s="18"/>
      <c r="V65" s="18"/>
      <c r="W65" s="18"/>
      <c r="X65" s="18"/>
      <c r="Y65" s="18"/>
      <c r="Z65" s="18"/>
    </row>
    <row r="66" spans="4:26" x14ac:dyDescent="0.4">
      <c r="D66" s="18"/>
      <c r="E66" s="21" t="s">
        <v>324</v>
      </c>
      <c r="F66" s="21" t="s">
        <v>273</v>
      </c>
      <c r="G66" s="21" t="s">
        <v>2</v>
      </c>
      <c r="H66" s="21" t="s">
        <v>81</v>
      </c>
      <c r="I66" s="21" t="s">
        <v>78</v>
      </c>
      <c r="J66" s="21" t="s">
        <v>1</v>
      </c>
      <c r="K66" s="22">
        <v>39</v>
      </c>
      <c r="L66" s="23">
        <v>51493.259999999995</v>
      </c>
      <c r="M66" s="24">
        <v>306799.52</v>
      </c>
      <c r="N66" s="24">
        <v>119311.24</v>
      </c>
      <c r="O66" s="18"/>
      <c r="P66" s="18"/>
      <c r="Q66" s="18"/>
      <c r="R66" s="18"/>
      <c r="S66" s="18"/>
      <c r="T66" s="18"/>
      <c r="U66" s="18"/>
      <c r="V66" s="18"/>
      <c r="W66" s="18"/>
      <c r="X66" s="18"/>
      <c r="Y66" s="18"/>
      <c r="Z66" s="18"/>
    </row>
    <row r="67" spans="4:26" x14ac:dyDescent="0.4">
      <c r="D67" s="18"/>
      <c r="E67" s="21" t="s">
        <v>11</v>
      </c>
      <c r="F67" s="21" t="s">
        <v>12</v>
      </c>
      <c r="G67" s="21" t="s">
        <v>0</v>
      </c>
      <c r="H67" s="21" t="s">
        <v>77</v>
      </c>
      <c r="I67" s="21" t="s">
        <v>86</v>
      </c>
      <c r="J67" s="21" t="s">
        <v>1</v>
      </c>
      <c r="K67" s="22">
        <v>287</v>
      </c>
      <c r="L67" s="23">
        <v>559535.19999999995</v>
      </c>
      <c r="M67" s="24">
        <v>699760.38</v>
      </c>
      <c r="N67" s="24">
        <v>422917.18</v>
      </c>
      <c r="O67" s="18"/>
      <c r="P67" s="18"/>
      <c r="Q67" s="18"/>
      <c r="R67" s="18"/>
      <c r="S67" s="18"/>
      <c r="T67" s="18"/>
      <c r="U67" s="18"/>
      <c r="V67" s="18"/>
      <c r="W67" s="18"/>
      <c r="X67" s="18"/>
      <c r="Y67" s="18"/>
      <c r="Z67" s="18"/>
    </row>
    <row r="68" spans="4:26" x14ac:dyDescent="0.4">
      <c r="D68" s="18"/>
      <c r="E68" s="21" t="s">
        <v>326</v>
      </c>
      <c r="F68" s="21" t="s">
        <v>120</v>
      </c>
      <c r="G68" s="21" t="s">
        <v>8</v>
      </c>
      <c r="H68" s="21" t="s">
        <v>77</v>
      </c>
      <c r="I68" s="21" t="s">
        <v>78</v>
      </c>
      <c r="J68" s="21" t="s">
        <v>1</v>
      </c>
      <c r="K68" s="22">
        <v>390</v>
      </c>
      <c r="L68" s="23">
        <v>246398.09999999998</v>
      </c>
      <c r="M68" s="24">
        <v>41161.32</v>
      </c>
      <c r="N68" s="24">
        <v>18416.88</v>
      </c>
      <c r="O68" s="18"/>
      <c r="P68" s="18"/>
      <c r="Q68" s="18"/>
      <c r="R68" s="18"/>
      <c r="S68" s="18"/>
      <c r="T68" s="18"/>
      <c r="U68" s="18"/>
      <c r="V68" s="18"/>
      <c r="W68" s="18"/>
      <c r="X68" s="18"/>
      <c r="Y68" s="18"/>
      <c r="Z68" s="18"/>
    </row>
    <row r="69" spans="4:26" x14ac:dyDescent="0.4">
      <c r="D69" s="18"/>
      <c r="E69" s="21" t="s">
        <v>329</v>
      </c>
      <c r="F69" s="21" t="s">
        <v>234</v>
      </c>
      <c r="G69" s="21" t="s">
        <v>0</v>
      </c>
      <c r="H69" s="21" t="s">
        <v>128</v>
      </c>
      <c r="I69" s="21" t="s">
        <v>91</v>
      </c>
      <c r="J69" s="21" t="s">
        <v>1</v>
      </c>
      <c r="K69" s="22">
        <v>139</v>
      </c>
      <c r="L69" s="23">
        <v>62109.369999999995</v>
      </c>
      <c r="M69" s="24">
        <v>25879.84</v>
      </c>
      <c r="N69" s="24">
        <v>13368.6</v>
      </c>
      <c r="O69" s="18"/>
      <c r="P69" s="18"/>
      <c r="Q69" s="18"/>
      <c r="R69" s="18"/>
      <c r="S69" s="18"/>
      <c r="T69" s="18"/>
      <c r="U69" s="18"/>
      <c r="V69" s="18"/>
      <c r="W69" s="18"/>
      <c r="X69" s="18"/>
      <c r="Y69" s="18"/>
      <c r="Z69" s="18"/>
    </row>
    <row r="70" spans="4:26" x14ac:dyDescent="0.4">
      <c r="D70" s="18"/>
      <c r="E70" s="21" t="s">
        <v>330</v>
      </c>
      <c r="F70" s="21" t="s">
        <v>85</v>
      </c>
      <c r="G70" s="21" t="s">
        <v>0</v>
      </c>
      <c r="H70" s="21" t="s">
        <v>108</v>
      </c>
      <c r="I70" s="21" t="s">
        <v>86</v>
      </c>
      <c r="J70" s="21" t="s">
        <v>1</v>
      </c>
      <c r="K70" s="22">
        <v>28</v>
      </c>
      <c r="L70" s="23">
        <v>22473.360000000001</v>
      </c>
      <c r="M70" s="24">
        <v>135901.15</v>
      </c>
      <c r="N70" s="24">
        <v>74099.41</v>
      </c>
      <c r="O70" s="18"/>
      <c r="P70" s="18"/>
      <c r="Q70" s="18"/>
      <c r="R70" s="18"/>
      <c r="S70" s="18"/>
      <c r="T70" s="18"/>
      <c r="U70" s="18"/>
      <c r="V70" s="18"/>
      <c r="W70" s="18"/>
      <c r="X70" s="18"/>
      <c r="Y70" s="18"/>
      <c r="Z70" s="18"/>
    </row>
    <row r="71" spans="4:26" x14ac:dyDescent="0.4">
      <c r="D71" s="18"/>
      <c r="E71" s="21" t="s">
        <v>337</v>
      </c>
      <c r="F71" s="21" t="s">
        <v>40</v>
      </c>
      <c r="G71" s="21" t="s">
        <v>4</v>
      </c>
      <c r="H71" s="21" t="s">
        <v>72</v>
      </c>
      <c r="I71" s="21" t="s">
        <v>86</v>
      </c>
      <c r="J71" s="21" t="s">
        <v>1</v>
      </c>
      <c r="K71" s="22">
        <v>178</v>
      </c>
      <c r="L71" s="23">
        <v>127302.04</v>
      </c>
      <c r="M71" s="24">
        <v>72434.53</v>
      </c>
      <c r="N71" s="24">
        <v>45972.87</v>
      </c>
      <c r="O71" s="18"/>
      <c r="P71" s="18"/>
      <c r="Q71" s="18"/>
      <c r="R71" s="18"/>
      <c r="S71" s="18"/>
      <c r="T71" s="18"/>
      <c r="U71" s="18"/>
      <c r="V71" s="18"/>
      <c r="W71" s="18"/>
      <c r="X71" s="18"/>
      <c r="Y71" s="18"/>
      <c r="Z71" s="18"/>
    </row>
    <row r="72" spans="4:26" x14ac:dyDescent="0.4">
      <c r="D72" s="18"/>
      <c r="E72" s="21" t="s">
        <v>39</v>
      </c>
      <c r="F72" s="21" t="s">
        <v>40</v>
      </c>
      <c r="G72" s="21" t="s">
        <v>4</v>
      </c>
      <c r="H72" s="21" t="s">
        <v>96</v>
      </c>
      <c r="I72" s="21" t="s">
        <v>67</v>
      </c>
      <c r="J72" s="21" t="s">
        <v>1</v>
      </c>
      <c r="K72" s="22">
        <v>78</v>
      </c>
      <c r="L72" s="23">
        <v>118967.94</v>
      </c>
      <c r="M72" s="24">
        <v>438795</v>
      </c>
      <c r="N72" s="24">
        <v>246616.02</v>
      </c>
      <c r="O72" s="18"/>
      <c r="P72" s="18"/>
      <c r="Q72" s="18"/>
      <c r="R72" s="18"/>
      <c r="S72" s="18"/>
      <c r="T72" s="18"/>
      <c r="U72" s="18"/>
      <c r="V72" s="18"/>
      <c r="W72" s="18"/>
      <c r="X72" s="18"/>
      <c r="Y72" s="18"/>
      <c r="Z72" s="18"/>
    </row>
    <row r="73" spans="4:26" x14ac:dyDescent="0.4">
      <c r="D73" s="18"/>
      <c r="E73" s="21" t="s">
        <v>338</v>
      </c>
      <c r="F73" s="21" t="s">
        <v>23</v>
      </c>
      <c r="G73" s="21" t="s">
        <v>6</v>
      </c>
      <c r="H73" s="21" t="s">
        <v>108</v>
      </c>
      <c r="I73" s="21" t="s">
        <v>86</v>
      </c>
      <c r="J73" s="21" t="s">
        <v>1</v>
      </c>
      <c r="K73" s="22">
        <v>165</v>
      </c>
      <c r="L73" s="23">
        <v>285649.65000000002</v>
      </c>
      <c r="M73" s="24">
        <v>65948.78</v>
      </c>
      <c r="N73" s="24">
        <v>36518.21</v>
      </c>
      <c r="O73" s="18"/>
      <c r="P73" s="18"/>
      <c r="Q73" s="18"/>
      <c r="R73" s="18"/>
      <c r="S73" s="18"/>
      <c r="T73" s="18"/>
      <c r="U73" s="18"/>
      <c r="V73" s="18"/>
      <c r="W73" s="18"/>
      <c r="X73" s="18"/>
      <c r="Y73" s="18"/>
      <c r="Z73" s="18"/>
    </row>
    <row r="74" spans="4:26" x14ac:dyDescent="0.4">
      <c r="D74" s="18"/>
      <c r="E74" s="21" t="s">
        <v>340</v>
      </c>
      <c r="F74" s="21" t="s">
        <v>31</v>
      </c>
      <c r="G74" s="21" t="s">
        <v>6</v>
      </c>
      <c r="H74" s="21" t="s">
        <v>77</v>
      </c>
      <c r="I74" s="21" t="s">
        <v>67</v>
      </c>
      <c r="J74" s="21" t="s">
        <v>1</v>
      </c>
      <c r="K74" s="22">
        <v>129</v>
      </c>
      <c r="L74" s="23">
        <v>21530.100000000002</v>
      </c>
      <c r="M74" s="24">
        <v>31261.58</v>
      </c>
      <c r="N74" s="24">
        <v>15572.98</v>
      </c>
      <c r="O74" s="18"/>
      <c r="P74" s="18"/>
      <c r="Q74" s="18"/>
      <c r="R74" s="18"/>
      <c r="S74" s="18"/>
      <c r="T74" s="18"/>
      <c r="U74" s="18"/>
      <c r="V74" s="18"/>
      <c r="W74" s="18"/>
      <c r="X74" s="18"/>
      <c r="Y74" s="18"/>
      <c r="Z74" s="18"/>
    </row>
    <row r="75" spans="4:26" x14ac:dyDescent="0.4">
      <c r="D75" s="18"/>
      <c r="E75" s="21" t="s">
        <v>36</v>
      </c>
      <c r="F75" s="21" t="s">
        <v>12</v>
      </c>
      <c r="G75" s="21" t="s">
        <v>0</v>
      </c>
      <c r="H75" s="21" t="s">
        <v>72</v>
      </c>
      <c r="I75" s="21" t="s">
        <v>86</v>
      </c>
      <c r="J75" s="21" t="s">
        <v>1</v>
      </c>
      <c r="K75" s="22">
        <v>118</v>
      </c>
      <c r="L75" s="23">
        <v>137947.9</v>
      </c>
      <c r="M75" s="24">
        <v>466189.68</v>
      </c>
      <c r="N75" s="24">
        <v>295508.38</v>
      </c>
      <c r="O75" s="18"/>
      <c r="P75" s="18"/>
      <c r="Q75" s="18"/>
      <c r="R75" s="18"/>
      <c r="S75" s="18"/>
      <c r="T75" s="18"/>
      <c r="U75" s="18"/>
      <c r="V75" s="18"/>
      <c r="W75" s="18"/>
      <c r="X75" s="18"/>
      <c r="Y75" s="18"/>
      <c r="Z75" s="18"/>
    </row>
    <row r="76" spans="4:26" x14ac:dyDescent="0.4">
      <c r="D76" s="18"/>
      <c r="E76" s="21" t="s">
        <v>343</v>
      </c>
      <c r="F76" s="21" t="s">
        <v>135</v>
      </c>
      <c r="G76" s="21" t="s">
        <v>2</v>
      </c>
      <c r="H76" s="21" t="s">
        <v>66</v>
      </c>
      <c r="I76" s="21" t="s">
        <v>73</v>
      </c>
      <c r="J76" s="21" t="s">
        <v>1</v>
      </c>
      <c r="K76" s="22">
        <v>268</v>
      </c>
      <c r="L76" s="23">
        <v>282750.71999999997</v>
      </c>
      <c r="M76" s="24">
        <v>116840.16</v>
      </c>
      <c r="N76" s="24">
        <v>40877.279999999999</v>
      </c>
      <c r="O76" s="18"/>
      <c r="P76" s="18"/>
      <c r="Q76" s="18"/>
      <c r="R76" s="18"/>
      <c r="S76" s="18"/>
      <c r="T76" s="18"/>
      <c r="U76" s="18"/>
      <c r="V76" s="18"/>
      <c r="W76" s="18"/>
      <c r="X76" s="18"/>
      <c r="Y76" s="18"/>
      <c r="Z76" s="18"/>
    </row>
    <row r="77" spans="4:26" x14ac:dyDescent="0.4">
      <c r="D77" s="18"/>
      <c r="E77" s="21" t="s">
        <v>344</v>
      </c>
      <c r="F77" s="21" t="s">
        <v>112</v>
      </c>
      <c r="G77" s="21" t="s">
        <v>6</v>
      </c>
      <c r="H77" s="21" t="s">
        <v>81</v>
      </c>
      <c r="I77" s="21" t="s">
        <v>86</v>
      </c>
      <c r="J77" s="21" t="s">
        <v>1</v>
      </c>
      <c r="K77" s="22">
        <v>171</v>
      </c>
      <c r="L77" s="23">
        <v>25737.21</v>
      </c>
      <c r="M77" s="24">
        <v>13888</v>
      </c>
      <c r="N77" s="24">
        <v>4255.3599999999997</v>
      </c>
      <c r="O77" s="18"/>
      <c r="P77" s="18"/>
      <c r="Q77" s="18"/>
      <c r="R77" s="18"/>
      <c r="S77" s="18"/>
      <c r="T77" s="18"/>
      <c r="U77" s="18"/>
      <c r="V77" s="18"/>
      <c r="W77" s="18"/>
      <c r="X77" s="18"/>
      <c r="Y77" s="18"/>
      <c r="Z77" s="18"/>
    </row>
    <row r="78" spans="4:26" x14ac:dyDescent="0.4">
      <c r="D78" s="18"/>
      <c r="E78" s="21" t="s">
        <v>346</v>
      </c>
      <c r="F78" s="21" t="s">
        <v>228</v>
      </c>
      <c r="G78" s="21" t="s">
        <v>4</v>
      </c>
      <c r="H78" s="21" t="s">
        <v>72</v>
      </c>
      <c r="I78" s="21" t="s">
        <v>67</v>
      </c>
      <c r="J78" s="21" t="s">
        <v>1</v>
      </c>
      <c r="K78" s="22">
        <v>168</v>
      </c>
      <c r="L78" s="23">
        <v>273858.48</v>
      </c>
      <c r="M78" s="24">
        <v>405830.52</v>
      </c>
      <c r="N78" s="24">
        <v>229778.64</v>
      </c>
      <c r="O78" s="18"/>
      <c r="P78" s="18"/>
      <c r="Q78" s="18"/>
      <c r="R78" s="18"/>
      <c r="S78" s="18"/>
      <c r="T78" s="18"/>
      <c r="U78" s="18"/>
      <c r="V78" s="18"/>
      <c r="W78" s="18"/>
      <c r="X78" s="18"/>
      <c r="Y78" s="18"/>
      <c r="Z78" s="18"/>
    </row>
    <row r="79" spans="4:26" x14ac:dyDescent="0.4">
      <c r="D79" s="18"/>
      <c r="E79" s="21" t="s">
        <v>347</v>
      </c>
      <c r="F79" s="21" t="s">
        <v>211</v>
      </c>
      <c r="G79" s="21" t="s">
        <v>2</v>
      </c>
      <c r="H79" s="21" t="s">
        <v>66</v>
      </c>
      <c r="I79" s="21" t="s">
        <v>67</v>
      </c>
      <c r="J79" s="21" t="s">
        <v>1</v>
      </c>
      <c r="K79" s="22">
        <v>87</v>
      </c>
      <c r="L79" s="23">
        <v>164985.06</v>
      </c>
      <c r="M79" s="24">
        <v>150092.67000000001</v>
      </c>
      <c r="N79" s="24">
        <v>76133.850000000006</v>
      </c>
      <c r="O79" s="18"/>
      <c r="P79" s="18"/>
      <c r="Q79" s="18"/>
      <c r="R79" s="18"/>
      <c r="S79" s="18"/>
      <c r="T79" s="18"/>
      <c r="U79" s="18"/>
      <c r="V79" s="18"/>
      <c r="W79" s="18"/>
      <c r="X79" s="18"/>
      <c r="Y79" s="18"/>
      <c r="Z79" s="18"/>
    </row>
    <row r="80" spans="4:26" x14ac:dyDescent="0.4">
      <c r="D80" s="18"/>
      <c r="E80" s="21" t="s">
        <v>348</v>
      </c>
      <c r="F80" s="21" t="s">
        <v>44</v>
      </c>
      <c r="G80" s="21" t="s">
        <v>8</v>
      </c>
      <c r="H80" s="21" t="s">
        <v>72</v>
      </c>
      <c r="I80" s="21" t="s">
        <v>86</v>
      </c>
      <c r="J80" s="21" t="s">
        <v>1</v>
      </c>
      <c r="K80" s="22">
        <v>378</v>
      </c>
      <c r="L80" s="23">
        <v>668942.82000000007</v>
      </c>
      <c r="M80" s="24">
        <v>79226.399999999994</v>
      </c>
      <c r="N80" s="24">
        <v>20826.63</v>
      </c>
      <c r="O80" s="18"/>
      <c r="P80" s="18"/>
      <c r="Q80" s="18"/>
      <c r="R80" s="18"/>
      <c r="S80" s="18"/>
      <c r="T80" s="18"/>
      <c r="U80" s="18"/>
      <c r="V80" s="18"/>
      <c r="W80" s="18"/>
      <c r="X80" s="18"/>
      <c r="Y80" s="18"/>
      <c r="Z80" s="18"/>
    </row>
    <row r="81" spans="4:26" x14ac:dyDescent="0.4">
      <c r="D81" s="18"/>
      <c r="E81" s="21" t="s">
        <v>349</v>
      </c>
      <c r="F81" s="21" t="s">
        <v>279</v>
      </c>
      <c r="G81" s="21" t="s">
        <v>2</v>
      </c>
      <c r="H81" s="21" t="s">
        <v>96</v>
      </c>
      <c r="I81" s="21" t="s">
        <v>73</v>
      </c>
      <c r="J81" s="21" t="s">
        <v>1</v>
      </c>
      <c r="K81" s="22">
        <v>319</v>
      </c>
      <c r="L81" s="23">
        <v>517389.29000000004</v>
      </c>
      <c r="M81" s="24">
        <v>263678.09999999998</v>
      </c>
      <c r="N81" s="24">
        <v>93377.55</v>
      </c>
      <c r="O81" s="18"/>
      <c r="P81" s="18"/>
      <c r="Q81" s="18"/>
      <c r="R81" s="18"/>
      <c r="S81" s="18"/>
      <c r="T81" s="18"/>
      <c r="U81" s="18"/>
      <c r="V81" s="18"/>
      <c r="W81" s="18"/>
      <c r="X81" s="18"/>
      <c r="Y81" s="18"/>
      <c r="Z81" s="18"/>
    </row>
    <row r="82" spans="4:26" x14ac:dyDescent="0.4">
      <c r="D82" s="18"/>
      <c r="E82" s="21" t="s">
        <v>350</v>
      </c>
      <c r="F82" s="21" t="s">
        <v>178</v>
      </c>
      <c r="G82" s="21" t="s">
        <v>0</v>
      </c>
      <c r="H82" s="21" t="s">
        <v>108</v>
      </c>
      <c r="I82" s="21" t="s">
        <v>86</v>
      </c>
      <c r="J82" s="21" t="s">
        <v>1</v>
      </c>
      <c r="K82" s="22">
        <v>136</v>
      </c>
      <c r="L82" s="23">
        <v>67122.8</v>
      </c>
      <c r="M82" s="24">
        <v>66467.03</v>
      </c>
      <c r="N82" s="24">
        <v>42283.08</v>
      </c>
      <c r="O82" s="18"/>
      <c r="P82" s="18"/>
      <c r="Q82" s="18"/>
      <c r="R82" s="18"/>
      <c r="S82" s="18"/>
      <c r="T82" s="18"/>
      <c r="U82" s="18"/>
      <c r="V82" s="18"/>
      <c r="W82" s="18"/>
      <c r="X82" s="18"/>
      <c r="Y82" s="18"/>
      <c r="Z82" s="18"/>
    </row>
    <row r="83" spans="4:26" x14ac:dyDescent="0.4">
      <c r="D83" s="18"/>
      <c r="E83" s="21" t="s">
        <v>352</v>
      </c>
      <c r="F83" s="21" t="s">
        <v>85</v>
      </c>
      <c r="G83" s="21" t="s">
        <v>0</v>
      </c>
      <c r="H83" s="21" t="s">
        <v>108</v>
      </c>
      <c r="I83" s="21" t="s">
        <v>91</v>
      </c>
      <c r="J83" s="21" t="s">
        <v>1</v>
      </c>
      <c r="K83" s="22">
        <v>195</v>
      </c>
      <c r="L83" s="23">
        <v>198073.2</v>
      </c>
      <c r="M83" s="24">
        <v>99877.38</v>
      </c>
      <c r="N83" s="24">
        <v>48073.62</v>
      </c>
      <c r="O83" s="18"/>
      <c r="P83" s="18"/>
      <c r="Q83" s="18"/>
      <c r="R83" s="18"/>
      <c r="S83" s="18"/>
      <c r="T83" s="18"/>
      <c r="U83" s="18"/>
      <c r="V83" s="18"/>
      <c r="W83" s="18"/>
      <c r="X83" s="18"/>
      <c r="Y83" s="18"/>
      <c r="Z83" s="18"/>
    </row>
    <row r="84" spans="4:26" x14ac:dyDescent="0.4">
      <c r="D84" s="18"/>
      <c r="E84" s="21" t="s">
        <v>353</v>
      </c>
      <c r="F84" s="21" t="s">
        <v>135</v>
      </c>
      <c r="G84" s="21" t="s">
        <v>2</v>
      </c>
      <c r="H84" s="21" t="s">
        <v>77</v>
      </c>
      <c r="I84" s="21" t="s">
        <v>78</v>
      </c>
      <c r="J84" s="21" t="s">
        <v>1</v>
      </c>
      <c r="K84" s="22">
        <v>190</v>
      </c>
      <c r="L84" s="23">
        <v>212418.1</v>
      </c>
      <c r="M84" s="24">
        <v>50388.33</v>
      </c>
      <c r="N84" s="24">
        <v>15730.64</v>
      </c>
      <c r="O84" s="18"/>
      <c r="P84" s="18"/>
      <c r="Q84" s="18"/>
      <c r="R84" s="18"/>
      <c r="S84" s="18"/>
      <c r="T84" s="18"/>
      <c r="U84" s="18"/>
      <c r="V84" s="18"/>
      <c r="W84" s="18"/>
      <c r="X84" s="18"/>
      <c r="Y84" s="18"/>
      <c r="Z84" s="18"/>
    </row>
    <row r="85" spans="4:26" x14ac:dyDescent="0.4">
      <c r="D85" s="18"/>
      <c r="E85" s="21" t="s">
        <v>354</v>
      </c>
      <c r="F85" s="21" t="s">
        <v>12</v>
      </c>
      <c r="G85" s="21" t="s">
        <v>0</v>
      </c>
      <c r="H85" s="21" t="s">
        <v>96</v>
      </c>
      <c r="I85" s="21" t="s">
        <v>67</v>
      </c>
      <c r="J85" s="21" t="s">
        <v>1</v>
      </c>
      <c r="K85" s="22">
        <v>106</v>
      </c>
      <c r="L85" s="23">
        <v>93937.200000000012</v>
      </c>
      <c r="M85" s="24">
        <v>277164.95</v>
      </c>
      <c r="N85" s="24">
        <v>175251.95</v>
      </c>
      <c r="O85" s="18"/>
      <c r="P85" s="18"/>
      <c r="Q85" s="18"/>
      <c r="R85" s="18"/>
      <c r="S85" s="18"/>
      <c r="T85" s="18"/>
      <c r="U85" s="18"/>
      <c r="V85" s="18"/>
      <c r="W85" s="18"/>
      <c r="X85" s="18"/>
      <c r="Y85" s="18"/>
      <c r="Z85" s="18"/>
    </row>
    <row r="86" spans="4:26" x14ac:dyDescent="0.4">
      <c r="D86" s="18"/>
      <c r="E86" s="21" t="s">
        <v>356</v>
      </c>
      <c r="F86" s="21" t="s">
        <v>172</v>
      </c>
      <c r="G86" s="21" t="s">
        <v>0</v>
      </c>
      <c r="H86" s="21" t="s">
        <v>128</v>
      </c>
      <c r="I86" s="21" t="s">
        <v>78</v>
      </c>
      <c r="J86" s="21" t="s">
        <v>1</v>
      </c>
      <c r="K86" s="22">
        <v>60</v>
      </c>
      <c r="L86" s="23">
        <v>47076.6</v>
      </c>
      <c r="M86" s="24">
        <v>90399.24</v>
      </c>
      <c r="N86" s="24">
        <v>26845.83</v>
      </c>
      <c r="O86" s="18"/>
      <c r="P86" s="18"/>
      <c r="Q86" s="18"/>
      <c r="R86" s="18"/>
      <c r="S86" s="18"/>
      <c r="T86" s="18"/>
      <c r="U86" s="18"/>
      <c r="V86" s="18"/>
      <c r="W86" s="18"/>
      <c r="X86" s="18"/>
      <c r="Y86" s="18"/>
      <c r="Z86" s="18"/>
    </row>
    <row r="87" spans="4:26" x14ac:dyDescent="0.4">
      <c r="D87" s="18"/>
      <c r="E87" s="21" t="s">
        <v>357</v>
      </c>
      <c r="F87" s="21" t="s">
        <v>308</v>
      </c>
      <c r="G87" s="21" t="s">
        <v>8</v>
      </c>
      <c r="H87" s="21" t="s">
        <v>96</v>
      </c>
      <c r="I87" s="21" t="s">
        <v>73</v>
      </c>
      <c r="J87" s="21" t="s">
        <v>1</v>
      </c>
      <c r="K87" s="22">
        <v>241</v>
      </c>
      <c r="L87" s="23">
        <v>336971.02</v>
      </c>
      <c r="M87" s="24">
        <v>2108.7800000000002</v>
      </c>
      <c r="N87" s="24">
        <v>710.56</v>
      </c>
      <c r="O87" s="18"/>
      <c r="P87" s="18"/>
      <c r="Q87" s="18"/>
      <c r="R87" s="18"/>
      <c r="S87" s="18"/>
      <c r="T87" s="18"/>
      <c r="U87" s="18"/>
      <c r="V87" s="18"/>
      <c r="W87" s="18"/>
      <c r="X87" s="18"/>
      <c r="Y87" s="18"/>
      <c r="Z87" s="18"/>
    </row>
    <row r="88" spans="4:26" x14ac:dyDescent="0.4">
      <c r="D88" s="18"/>
      <c r="E88" s="21" t="s">
        <v>358</v>
      </c>
      <c r="F88" s="21" t="s">
        <v>71</v>
      </c>
      <c r="G88" s="21" t="s">
        <v>8</v>
      </c>
      <c r="H88" s="21" t="s">
        <v>77</v>
      </c>
      <c r="I88" s="21" t="s">
        <v>73</v>
      </c>
      <c r="J88" s="21" t="s">
        <v>1</v>
      </c>
      <c r="K88" s="22">
        <v>311</v>
      </c>
      <c r="L88" s="23">
        <v>331211.89</v>
      </c>
      <c r="M88" s="24">
        <v>120282.47</v>
      </c>
      <c r="N88" s="24">
        <v>38278.239999999998</v>
      </c>
      <c r="O88" s="18"/>
      <c r="P88" s="18"/>
      <c r="Q88" s="18"/>
      <c r="R88" s="18"/>
      <c r="S88" s="18"/>
      <c r="T88" s="18"/>
      <c r="U88" s="18"/>
      <c r="V88" s="18"/>
      <c r="W88" s="18"/>
      <c r="X88" s="18"/>
      <c r="Y88" s="18"/>
      <c r="Z88" s="18"/>
    </row>
    <row r="89" spans="4:26" x14ac:dyDescent="0.4">
      <c r="D89" s="18"/>
      <c r="E89" s="21" t="s">
        <v>360</v>
      </c>
      <c r="F89" s="21" t="s">
        <v>146</v>
      </c>
      <c r="G89" s="21" t="s">
        <v>7</v>
      </c>
      <c r="H89" s="21" t="s">
        <v>132</v>
      </c>
      <c r="I89" s="21" t="s">
        <v>73</v>
      </c>
      <c r="J89" s="21" t="s">
        <v>1</v>
      </c>
      <c r="K89" s="22">
        <v>39</v>
      </c>
      <c r="L89" s="23">
        <v>28024.620000000003</v>
      </c>
      <c r="M89" s="24">
        <v>32534.46</v>
      </c>
      <c r="N89" s="24">
        <v>17444.28</v>
      </c>
      <c r="O89" s="18"/>
      <c r="P89" s="18"/>
      <c r="Q89" s="18"/>
      <c r="R89" s="18"/>
      <c r="S89" s="18"/>
      <c r="T89" s="18"/>
      <c r="U89" s="18"/>
      <c r="V89" s="18"/>
      <c r="W89" s="18"/>
      <c r="X89" s="18"/>
      <c r="Y89" s="18"/>
      <c r="Z89" s="18"/>
    </row>
    <row r="90" spans="4:26" x14ac:dyDescent="0.4">
      <c r="D90" s="18"/>
      <c r="E90" s="21" t="s">
        <v>362</v>
      </c>
      <c r="F90" s="21" t="s">
        <v>211</v>
      </c>
      <c r="G90" s="21" t="s">
        <v>2</v>
      </c>
      <c r="H90" s="21" t="s">
        <v>72</v>
      </c>
      <c r="I90" s="21" t="s">
        <v>86</v>
      </c>
      <c r="J90" s="21" t="s">
        <v>1</v>
      </c>
      <c r="K90" s="22">
        <v>259</v>
      </c>
      <c r="L90" s="23">
        <v>289359.98</v>
      </c>
      <c r="M90" s="24">
        <v>208565.28</v>
      </c>
      <c r="N90" s="24">
        <v>97960.5</v>
      </c>
      <c r="O90" s="18"/>
      <c r="P90" s="18"/>
      <c r="Q90" s="18"/>
      <c r="R90" s="18"/>
      <c r="S90" s="18"/>
      <c r="T90" s="18"/>
      <c r="U90" s="18"/>
      <c r="V90" s="18"/>
      <c r="W90" s="18"/>
      <c r="X90" s="18"/>
      <c r="Y90" s="18"/>
      <c r="Z90" s="18"/>
    </row>
    <row r="91" spans="4:26" x14ac:dyDescent="0.4">
      <c r="D91" s="18"/>
      <c r="E91" s="21" t="s">
        <v>365</v>
      </c>
      <c r="F91" s="21" t="s">
        <v>186</v>
      </c>
      <c r="G91" s="21" t="s">
        <v>4</v>
      </c>
      <c r="H91" s="21" t="s">
        <v>81</v>
      </c>
      <c r="I91" s="21" t="s">
        <v>86</v>
      </c>
      <c r="J91" s="21" t="s">
        <v>1</v>
      </c>
      <c r="K91" s="22">
        <v>118</v>
      </c>
      <c r="L91" s="23">
        <v>231518.36</v>
      </c>
      <c r="M91" s="24">
        <v>134604.64000000001</v>
      </c>
      <c r="N91" s="24">
        <v>67895.960000000006</v>
      </c>
      <c r="O91" s="18"/>
      <c r="P91" s="18"/>
      <c r="Q91" s="18"/>
      <c r="R91" s="18"/>
      <c r="S91" s="18"/>
      <c r="T91" s="18"/>
      <c r="U91" s="18"/>
      <c r="V91" s="18"/>
      <c r="W91" s="18"/>
      <c r="X91" s="18"/>
      <c r="Y91" s="18"/>
      <c r="Z91" s="18"/>
    </row>
    <row r="92" spans="4:26" x14ac:dyDescent="0.4">
      <c r="D92" s="18"/>
      <c r="E92" s="21" t="s">
        <v>367</v>
      </c>
      <c r="F92" s="21" t="s">
        <v>263</v>
      </c>
      <c r="G92" s="21" t="s">
        <v>8</v>
      </c>
      <c r="H92" s="21" t="s">
        <v>66</v>
      </c>
      <c r="I92" s="21" t="s">
        <v>67</v>
      </c>
      <c r="J92" s="21" t="s">
        <v>1</v>
      </c>
      <c r="K92" s="22">
        <v>102</v>
      </c>
      <c r="L92" s="23">
        <v>180933.72</v>
      </c>
      <c r="M92" s="24">
        <v>118639.65</v>
      </c>
      <c r="N92" s="24">
        <v>-60520.21</v>
      </c>
      <c r="O92" s="18"/>
      <c r="P92" s="18"/>
      <c r="Q92" s="18"/>
      <c r="R92" s="18"/>
      <c r="S92" s="18"/>
      <c r="T92" s="18"/>
      <c r="U92" s="18"/>
      <c r="V92" s="18"/>
      <c r="W92" s="18"/>
      <c r="X92" s="18"/>
      <c r="Y92" s="18"/>
      <c r="Z92" s="18"/>
    </row>
    <row r="93" spans="4:26" x14ac:dyDescent="0.4">
      <c r="D93" s="18"/>
      <c r="E93" s="21" t="s">
        <v>369</v>
      </c>
      <c r="F93" s="21" t="s">
        <v>308</v>
      </c>
      <c r="G93" s="21" t="s">
        <v>8</v>
      </c>
      <c r="H93" s="21" t="s">
        <v>128</v>
      </c>
      <c r="I93" s="21" t="s">
        <v>91</v>
      </c>
      <c r="J93" s="21" t="s">
        <v>1</v>
      </c>
      <c r="K93" s="22">
        <v>86</v>
      </c>
      <c r="L93" s="23">
        <v>167525.42000000001</v>
      </c>
      <c r="M93" s="24">
        <v>217456.8</v>
      </c>
      <c r="N93" s="24">
        <v>-39675.24</v>
      </c>
      <c r="O93" s="18"/>
      <c r="P93" s="18"/>
      <c r="Q93" s="18"/>
      <c r="R93" s="18"/>
      <c r="S93" s="18"/>
      <c r="T93" s="18"/>
      <c r="U93" s="18"/>
      <c r="V93" s="18"/>
      <c r="W93" s="18"/>
      <c r="X93" s="18"/>
      <c r="Y93" s="18"/>
      <c r="Z93" s="18"/>
    </row>
    <row r="94" spans="4:26" x14ac:dyDescent="0.4">
      <c r="D94" s="18"/>
      <c r="E94" s="21" t="s">
        <v>370</v>
      </c>
      <c r="F94" s="21" t="s">
        <v>12</v>
      </c>
      <c r="G94" s="21" t="s">
        <v>0</v>
      </c>
      <c r="H94" s="21" t="s">
        <v>128</v>
      </c>
      <c r="I94" s="21" t="s">
        <v>78</v>
      </c>
      <c r="J94" s="21" t="s">
        <v>1</v>
      </c>
      <c r="K94" s="22">
        <v>92</v>
      </c>
      <c r="L94" s="23">
        <v>101203.68</v>
      </c>
      <c r="M94" s="24">
        <v>66042.75</v>
      </c>
      <c r="N94" s="24">
        <v>-16460.25</v>
      </c>
      <c r="O94" s="18"/>
      <c r="P94" s="18"/>
      <c r="Q94" s="18"/>
      <c r="R94" s="18"/>
      <c r="S94" s="18"/>
      <c r="T94" s="18"/>
      <c r="U94" s="18"/>
      <c r="V94" s="18"/>
      <c r="W94" s="18"/>
      <c r="X94" s="18"/>
      <c r="Y94" s="18"/>
      <c r="Z94" s="18"/>
    </row>
    <row r="95" spans="4:26" x14ac:dyDescent="0.4">
      <c r="D95" s="18"/>
      <c r="E95" s="21" t="s">
        <v>371</v>
      </c>
      <c r="F95" s="21" t="s">
        <v>234</v>
      </c>
      <c r="G95" s="21" t="s">
        <v>0</v>
      </c>
      <c r="H95" s="21" t="s">
        <v>128</v>
      </c>
      <c r="I95" s="21" t="s">
        <v>73</v>
      </c>
      <c r="J95" s="21" t="s">
        <v>1</v>
      </c>
      <c r="K95" s="22">
        <v>114</v>
      </c>
      <c r="L95" s="23">
        <v>11840.039999999999</v>
      </c>
      <c r="M95" s="24">
        <v>10349.64</v>
      </c>
      <c r="N95" s="24">
        <v>-1178.82</v>
      </c>
      <c r="O95" s="18"/>
      <c r="P95" s="18"/>
      <c r="Q95" s="18"/>
      <c r="R95" s="18"/>
      <c r="S95" s="18"/>
      <c r="T95" s="18"/>
      <c r="U95" s="18"/>
      <c r="V95" s="18"/>
      <c r="W95" s="18"/>
      <c r="X95" s="18"/>
      <c r="Y95" s="18"/>
      <c r="Z95" s="18"/>
    </row>
    <row r="96" spans="4:26" x14ac:dyDescent="0.4">
      <c r="D96" s="18"/>
      <c r="E96" s="21" t="s">
        <v>372</v>
      </c>
      <c r="F96" s="21" t="s">
        <v>172</v>
      </c>
      <c r="G96" s="21" t="s">
        <v>0</v>
      </c>
      <c r="H96" s="21" t="s">
        <v>72</v>
      </c>
      <c r="I96" s="21" t="s">
        <v>91</v>
      </c>
      <c r="J96" s="21" t="s">
        <v>1</v>
      </c>
      <c r="K96" s="22">
        <v>383</v>
      </c>
      <c r="L96" s="23">
        <v>522883.09</v>
      </c>
      <c r="M96" s="24">
        <v>132995.51999999999</v>
      </c>
      <c r="N96" s="24">
        <v>-19910.240000000002</v>
      </c>
      <c r="O96" s="18"/>
      <c r="P96" s="18"/>
      <c r="Q96" s="18"/>
      <c r="R96" s="18"/>
      <c r="S96" s="18"/>
      <c r="T96" s="18"/>
      <c r="U96" s="18"/>
      <c r="V96" s="18"/>
      <c r="W96" s="18"/>
      <c r="X96" s="18"/>
      <c r="Y96" s="18"/>
      <c r="Z96" s="18"/>
    </row>
    <row r="97" spans="4:26" x14ac:dyDescent="0.4">
      <c r="D97" s="18"/>
      <c r="E97" s="21" t="s">
        <v>375</v>
      </c>
      <c r="F97" s="21" t="s">
        <v>18</v>
      </c>
      <c r="G97" s="21" t="s">
        <v>0</v>
      </c>
      <c r="H97" s="21" t="s">
        <v>108</v>
      </c>
      <c r="I97" s="21" t="s">
        <v>78</v>
      </c>
      <c r="J97" s="21" t="s">
        <v>1</v>
      </c>
      <c r="K97" s="22">
        <v>187</v>
      </c>
      <c r="L97" s="23">
        <v>151116.57</v>
      </c>
      <c r="M97" s="24">
        <v>15554.73</v>
      </c>
      <c r="N97" s="24">
        <v>-7880.46</v>
      </c>
      <c r="O97" s="18"/>
      <c r="P97" s="18"/>
      <c r="Q97" s="18"/>
      <c r="R97" s="18"/>
      <c r="S97" s="18"/>
      <c r="T97" s="18"/>
      <c r="U97" s="18"/>
      <c r="V97" s="18"/>
      <c r="W97" s="18"/>
      <c r="X97" s="18"/>
      <c r="Y97" s="18"/>
      <c r="Z97" s="18"/>
    </row>
    <row r="98" spans="4:26" x14ac:dyDescent="0.4">
      <c r="D98" s="18"/>
      <c r="E98" s="21" t="s">
        <v>378</v>
      </c>
      <c r="F98" s="21" t="s">
        <v>322</v>
      </c>
      <c r="G98" s="21" t="s">
        <v>7</v>
      </c>
      <c r="H98" s="21" t="s">
        <v>132</v>
      </c>
      <c r="I98" s="21" t="s">
        <v>78</v>
      </c>
      <c r="J98" s="21" t="s">
        <v>1</v>
      </c>
      <c r="K98" s="22">
        <v>88</v>
      </c>
      <c r="L98" s="23">
        <v>158345.44</v>
      </c>
      <c r="M98" s="24">
        <v>128709</v>
      </c>
      <c r="N98" s="24">
        <v>-17040.78</v>
      </c>
      <c r="O98" s="18"/>
      <c r="P98" s="18"/>
      <c r="Q98" s="18"/>
      <c r="R98" s="18"/>
      <c r="S98" s="18"/>
      <c r="T98" s="18"/>
      <c r="U98" s="18"/>
      <c r="V98" s="18"/>
      <c r="W98" s="18"/>
      <c r="X98" s="18"/>
      <c r="Y98" s="18"/>
      <c r="Z98" s="18"/>
    </row>
    <row r="99" spans="4:26" x14ac:dyDescent="0.4">
      <c r="D99" s="18"/>
      <c r="E99" s="21" t="s">
        <v>380</v>
      </c>
      <c r="F99" s="21" t="s">
        <v>95</v>
      </c>
      <c r="G99" s="21" t="s">
        <v>2</v>
      </c>
      <c r="H99" s="21" t="s">
        <v>72</v>
      </c>
      <c r="I99" s="21" t="s">
        <v>73</v>
      </c>
      <c r="J99" s="21" t="s">
        <v>1</v>
      </c>
      <c r="K99" s="22">
        <v>126</v>
      </c>
      <c r="L99" s="23">
        <v>9077.0400000000009</v>
      </c>
      <c r="M99" s="24">
        <v>8368.35</v>
      </c>
      <c r="N99" s="24">
        <v>-1789.29</v>
      </c>
      <c r="O99" s="18"/>
      <c r="P99" s="18"/>
      <c r="Q99" s="18"/>
      <c r="R99" s="18"/>
      <c r="S99" s="18"/>
      <c r="T99" s="18"/>
      <c r="U99" s="18"/>
      <c r="V99" s="18"/>
      <c r="W99" s="18"/>
      <c r="X99" s="18"/>
      <c r="Y99" s="18"/>
      <c r="Z99" s="18"/>
    </row>
    <row r="100" spans="4:26" x14ac:dyDescent="0.4">
      <c r="D100" s="18"/>
      <c r="E100" s="21" t="s">
        <v>381</v>
      </c>
      <c r="F100" s="21" t="s">
        <v>228</v>
      </c>
      <c r="G100" s="21" t="s">
        <v>4</v>
      </c>
      <c r="H100" s="21" t="s">
        <v>72</v>
      </c>
      <c r="I100" s="21" t="s">
        <v>78</v>
      </c>
      <c r="J100" s="21" t="s">
        <v>1</v>
      </c>
      <c r="K100" s="22">
        <v>368</v>
      </c>
      <c r="L100" s="23">
        <v>356135.67999999999</v>
      </c>
      <c r="M100" s="24">
        <v>90540.24</v>
      </c>
      <c r="N100" s="24">
        <v>-51720.480000000003</v>
      </c>
      <c r="O100" s="18"/>
      <c r="P100" s="18"/>
      <c r="Q100" s="18"/>
      <c r="R100" s="18"/>
      <c r="S100" s="18"/>
      <c r="T100" s="18"/>
      <c r="U100" s="18"/>
      <c r="V100" s="18"/>
      <c r="W100" s="18"/>
      <c r="X100" s="18"/>
      <c r="Y100" s="18"/>
      <c r="Z100" s="18"/>
    </row>
    <row r="101" spans="4:26" x14ac:dyDescent="0.4">
      <c r="D101" s="18"/>
      <c r="E101" s="21" t="s">
        <v>382</v>
      </c>
      <c r="F101" s="21" t="s">
        <v>283</v>
      </c>
      <c r="G101" s="21" t="s">
        <v>8</v>
      </c>
      <c r="H101" s="21" t="s">
        <v>81</v>
      </c>
      <c r="I101" s="21" t="s">
        <v>78</v>
      </c>
      <c r="J101" s="21" t="s">
        <v>1</v>
      </c>
      <c r="K101" s="22">
        <v>264</v>
      </c>
      <c r="L101" s="23">
        <v>185364.96</v>
      </c>
      <c r="M101" s="24">
        <v>81483</v>
      </c>
      <c r="N101" s="24">
        <v>-23838</v>
      </c>
      <c r="O101" s="18"/>
      <c r="P101" s="18"/>
      <c r="Q101" s="18"/>
      <c r="R101" s="18"/>
      <c r="S101" s="18"/>
      <c r="T101" s="18"/>
      <c r="U101" s="18"/>
      <c r="V101" s="18"/>
      <c r="W101" s="18"/>
      <c r="X101" s="18"/>
      <c r="Y101" s="18"/>
      <c r="Z101" s="18"/>
    </row>
    <row r="102" spans="4:26" x14ac:dyDescent="0.4">
      <c r="D102" s="18"/>
      <c r="E102" s="21" t="s">
        <v>383</v>
      </c>
      <c r="F102" s="21" t="s">
        <v>107</v>
      </c>
      <c r="G102" s="21" t="s">
        <v>4</v>
      </c>
      <c r="H102" s="21" t="s">
        <v>128</v>
      </c>
      <c r="I102" s="21" t="s">
        <v>86</v>
      </c>
      <c r="J102" s="21" t="s">
        <v>1</v>
      </c>
      <c r="K102" s="22">
        <v>63</v>
      </c>
      <c r="L102" s="23">
        <v>65887.92</v>
      </c>
      <c r="M102" s="24">
        <v>42677.61</v>
      </c>
      <c r="N102" s="24">
        <v>-16935.27</v>
      </c>
      <c r="O102" s="18"/>
      <c r="P102" s="18"/>
      <c r="Q102" s="18"/>
      <c r="R102" s="18"/>
      <c r="S102" s="18"/>
      <c r="T102" s="18"/>
      <c r="U102" s="18"/>
      <c r="V102" s="18"/>
      <c r="W102" s="18"/>
      <c r="X102" s="18"/>
      <c r="Y102" s="18"/>
      <c r="Z102" s="18"/>
    </row>
    <row r="103" spans="4:26" x14ac:dyDescent="0.4">
      <c r="D103" s="18"/>
      <c r="E103" s="21" t="s">
        <v>384</v>
      </c>
      <c r="F103" s="21" t="s">
        <v>232</v>
      </c>
      <c r="G103" s="21" t="s">
        <v>0</v>
      </c>
      <c r="H103" s="21" t="s">
        <v>77</v>
      </c>
      <c r="I103" s="21" t="s">
        <v>78</v>
      </c>
      <c r="J103" s="21" t="s">
        <v>1</v>
      </c>
      <c r="K103" s="22">
        <v>282</v>
      </c>
      <c r="L103" s="23">
        <v>158881.62</v>
      </c>
      <c r="M103" s="24">
        <v>28994.95</v>
      </c>
      <c r="N103" s="24">
        <v>16036.52</v>
      </c>
      <c r="O103" s="18"/>
      <c r="P103" s="18"/>
      <c r="Q103" s="18"/>
      <c r="R103" s="18"/>
      <c r="S103" s="18"/>
      <c r="T103" s="18"/>
      <c r="U103" s="18"/>
      <c r="V103" s="18"/>
      <c r="W103" s="18"/>
      <c r="X103" s="18"/>
      <c r="Y103" s="18"/>
      <c r="Z103" s="18"/>
    </row>
    <row r="104" spans="4:26" x14ac:dyDescent="0.4">
      <c r="D104" s="18"/>
      <c r="E104" s="21" t="s">
        <v>385</v>
      </c>
      <c r="F104" s="21" t="s">
        <v>135</v>
      </c>
      <c r="G104" s="21" t="s">
        <v>2</v>
      </c>
      <c r="H104" s="21" t="s">
        <v>96</v>
      </c>
      <c r="I104" s="21" t="s">
        <v>73</v>
      </c>
      <c r="J104" s="21" t="s">
        <v>1</v>
      </c>
      <c r="K104" s="22">
        <v>309</v>
      </c>
      <c r="L104" s="23">
        <v>212743.41</v>
      </c>
      <c r="M104" s="24">
        <v>12944.47</v>
      </c>
      <c r="N104" s="24">
        <v>8125.04</v>
      </c>
      <c r="O104" s="18"/>
      <c r="P104" s="18"/>
      <c r="Q104" s="18"/>
      <c r="R104" s="18"/>
      <c r="S104" s="18"/>
      <c r="T104" s="18"/>
      <c r="U104" s="18"/>
      <c r="V104" s="18"/>
      <c r="W104" s="18"/>
      <c r="X104" s="18"/>
      <c r="Y104" s="18"/>
      <c r="Z104" s="18"/>
    </row>
    <row r="105" spans="4:26" x14ac:dyDescent="0.4">
      <c r="D105" s="18"/>
      <c r="E105" s="21" t="s">
        <v>389</v>
      </c>
      <c r="F105" s="21" t="s">
        <v>135</v>
      </c>
      <c r="G105" s="21" t="s">
        <v>2</v>
      </c>
      <c r="H105" s="21" t="s">
        <v>81</v>
      </c>
      <c r="I105" s="21" t="s">
        <v>67</v>
      </c>
      <c r="J105" s="21" t="s">
        <v>1</v>
      </c>
      <c r="K105" s="22">
        <v>33</v>
      </c>
      <c r="L105" s="23">
        <v>50361.96</v>
      </c>
      <c r="M105" s="24">
        <v>192933.24</v>
      </c>
      <c r="N105" s="24">
        <v>99839.92</v>
      </c>
      <c r="O105" s="18"/>
      <c r="P105" s="18"/>
      <c r="Q105" s="18"/>
      <c r="R105" s="18"/>
      <c r="S105" s="18"/>
      <c r="T105" s="18"/>
      <c r="U105" s="18"/>
      <c r="V105" s="18"/>
      <c r="W105" s="18"/>
      <c r="X105" s="18"/>
      <c r="Y105" s="18"/>
      <c r="Z105" s="18"/>
    </row>
    <row r="106" spans="4:26" x14ac:dyDescent="0.4">
      <c r="D106" s="18"/>
      <c r="E106" s="21" t="s">
        <v>392</v>
      </c>
      <c r="F106" s="21" t="s">
        <v>46</v>
      </c>
      <c r="G106" s="21" t="s">
        <v>4</v>
      </c>
      <c r="H106" s="21" t="s">
        <v>81</v>
      </c>
      <c r="I106" s="21" t="s">
        <v>73</v>
      </c>
      <c r="J106" s="21" t="s">
        <v>1</v>
      </c>
      <c r="K106" s="22">
        <v>263</v>
      </c>
      <c r="L106" s="23">
        <v>248348.27</v>
      </c>
      <c r="M106" s="24">
        <v>56872.79</v>
      </c>
      <c r="N106" s="24">
        <v>35154.120000000003</v>
      </c>
      <c r="O106" s="18"/>
      <c r="P106" s="18"/>
      <c r="Q106" s="18"/>
      <c r="R106" s="18"/>
      <c r="S106" s="18"/>
      <c r="T106" s="18"/>
      <c r="U106" s="18"/>
      <c r="V106" s="18"/>
      <c r="W106" s="18"/>
      <c r="X106" s="18"/>
      <c r="Y106" s="18"/>
      <c r="Z106" s="18"/>
    </row>
    <row r="107" spans="4:26" x14ac:dyDescent="0.4">
      <c r="D107" s="18"/>
      <c r="E107" s="21" t="s">
        <v>394</v>
      </c>
      <c r="F107" s="21" t="s">
        <v>232</v>
      </c>
      <c r="G107" s="21" t="s">
        <v>0</v>
      </c>
      <c r="H107" s="21" t="s">
        <v>66</v>
      </c>
      <c r="I107" s="21" t="s">
        <v>78</v>
      </c>
      <c r="J107" s="21" t="s">
        <v>1</v>
      </c>
      <c r="K107" s="22">
        <v>93</v>
      </c>
      <c r="L107" s="23">
        <v>142516.92000000001</v>
      </c>
      <c r="M107" s="24">
        <v>410834.3</v>
      </c>
      <c r="N107" s="24">
        <v>188630.5</v>
      </c>
      <c r="O107" s="18"/>
      <c r="P107" s="18"/>
      <c r="Q107" s="18"/>
      <c r="R107" s="18"/>
      <c r="S107" s="18"/>
      <c r="T107" s="18"/>
      <c r="U107" s="18"/>
      <c r="V107" s="18"/>
      <c r="W107" s="18"/>
      <c r="X107" s="18"/>
      <c r="Y107" s="18"/>
      <c r="Z107" s="18"/>
    </row>
    <row r="108" spans="4:26" x14ac:dyDescent="0.4">
      <c r="D108" s="18"/>
      <c r="E108" s="21" t="s">
        <v>395</v>
      </c>
      <c r="F108" s="21" t="s">
        <v>95</v>
      </c>
      <c r="G108" s="21" t="s">
        <v>2</v>
      </c>
      <c r="H108" s="21" t="s">
        <v>81</v>
      </c>
      <c r="I108" s="21" t="s">
        <v>86</v>
      </c>
      <c r="J108" s="21" t="s">
        <v>1</v>
      </c>
      <c r="K108" s="22">
        <v>129</v>
      </c>
      <c r="L108" s="23">
        <v>117609.3</v>
      </c>
      <c r="M108" s="24">
        <v>58115.1</v>
      </c>
      <c r="N108" s="24">
        <v>30764.1</v>
      </c>
      <c r="O108" s="18"/>
      <c r="P108" s="18"/>
      <c r="Q108" s="18"/>
      <c r="R108" s="18"/>
      <c r="S108" s="18"/>
      <c r="T108" s="18"/>
      <c r="U108" s="18"/>
      <c r="V108" s="18"/>
      <c r="W108" s="18"/>
      <c r="X108" s="18"/>
      <c r="Y108" s="18"/>
      <c r="Z108" s="18"/>
    </row>
    <row r="109" spans="4:26" x14ac:dyDescent="0.4">
      <c r="D109" s="18"/>
      <c r="E109" s="21" t="s">
        <v>396</v>
      </c>
      <c r="F109" s="21" t="s">
        <v>40</v>
      </c>
      <c r="G109" s="21" t="s">
        <v>4</v>
      </c>
      <c r="H109" s="21" t="s">
        <v>128</v>
      </c>
      <c r="I109" s="21" t="s">
        <v>67</v>
      </c>
      <c r="J109" s="21" t="s">
        <v>1</v>
      </c>
      <c r="K109" s="22">
        <v>187</v>
      </c>
      <c r="L109" s="23">
        <v>283273.20999999996</v>
      </c>
      <c r="M109" s="24">
        <v>309963.52000000002</v>
      </c>
      <c r="N109" s="24">
        <v>116065.28</v>
      </c>
      <c r="O109" s="18"/>
      <c r="P109" s="18"/>
      <c r="Q109" s="18"/>
      <c r="R109" s="18"/>
      <c r="S109" s="18"/>
      <c r="T109" s="18"/>
      <c r="U109" s="18"/>
      <c r="V109" s="18"/>
      <c r="W109" s="18"/>
      <c r="X109" s="18"/>
      <c r="Y109" s="18"/>
      <c r="Z109" s="18"/>
    </row>
    <row r="110" spans="4:26" x14ac:dyDescent="0.4">
      <c r="D110" s="18"/>
      <c r="E110" s="21" t="s">
        <v>397</v>
      </c>
      <c r="F110" s="21" t="s">
        <v>71</v>
      </c>
      <c r="G110" s="21" t="s">
        <v>8</v>
      </c>
      <c r="H110" s="21" t="s">
        <v>66</v>
      </c>
      <c r="I110" s="21" t="s">
        <v>73</v>
      </c>
      <c r="J110" s="21" t="s">
        <v>1</v>
      </c>
      <c r="K110" s="22">
        <v>242</v>
      </c>
      <c r="L110" s="23">
        <v>253683.75999999998</v>
      </c>
      <c r="M110" s="24">
        <v>132547.68</v>
      </c>
      <c r="N110" s="24">
        <v>45540.44</v>
      </c>
      <c r="O110" s="18"/>
      <c r="P110" s="18"/>
      <c r="Q110" s="18"/>
      <c r="R110" s="18"/>
      <c r="S110" s="18"/>
      <c r="T110" s="18"/>
      <c r="U110" s="18"/>
      <c r="V110" s="18"/>
      <c r="W110" s="18"/>
      <c r="X110" s="18"/>
      <c r="Y110" s="18"/>
      <c r="Z110" s="18"/>
    </row>
    <row r="111" spans="4:26" x14ac:dyDescent="0.4">
      <c r="D111" s="18"/>
      <c r="E111" s="21" t="s">
        <v>399</v>
      </c>
      <c r="F111" s="21" t="s">
        <v>211</v>
      </c>
      <c r="G111" s="21" t="s">
        <v>2</v>
      </c>
      <c r="H111" s="21" t="s">
        <v>96</v>
      </c>
      <c r="I111" s="21" t="s">
        <v>91</v>
      </c>
      <c r="J111" s="21" t="s">
        <v>1</v>
      </c>
      <c r="K111" s="22">
        <v>172</v>
      </c>
      <c r="L111" s="23">
        <v>176210.56</v>
      </c>
      <c r="M111" s="24">
        <v>304575.84000000003</v>
      </c>
      <c r="N111" s="24">
        <v>157050.72</v>
      </c>
      <c r="O111" s="18"/>
      <c r="P111" s="18"/>
      <c r="Q111" s="18"/>
      <c r="R111" s="18"/>
      <c r="S111" s="18"/>
      <c r="T111" s="18"/>
      <c r="U111" s="18"/>
      <c r="V111" s="18"/>
      <c r="W111" s="18"/>
      <c r="X111" s="18"/>
      <c r="Y111" s="18"/>
      <c r="Z111" s="18"/>
    </row>
    <row r="112" spans="4:26" x14ac:dyDescent="0.4">
      <c r="D112" s="18"/>
      <c r="E112" s="21" t="s">
        <v>402</v>
      </c>
      <c r="F112" s="21" t="s">
        <v>85</v>
      </c>
      <c r="G112" s="21" t="s">
        <v>0</v>
      </c>
      <c r="H112" s="21" t="s">
        <v>132</v>
      </c>
      <c r="I112" s="21" t="s">
        <v>78</v>
      </c>
      <c r="J112" s="21" t="s">
        <v>1</v>
      </c>
      <c r="K112" s="22">
        <v>134</v>
      </c>
      <c r="L112" s="23">
        <v>169572.98</v>
      </c>
      <c r="M112" s="24">
        <v>174933</v>
      </c>
      <c r="N112" s="24">
        <v>96473.86</v>
      </c>
      <c r="O112" s="18"/>
      <c r="P112" s="18"/>
      <c r="Q112" s="18"/>
      <c r="R112" s="18"/>
      <c r="S112" s="18"/>
      <c r="T112" s="18"/>
      <c r="U112" s="18"/>
      <c r="V112" s="18"/>
      <c r="W112" s="18"/>
      <c r="X112" s="18"/>
      <c r="Y112" s="18"/>
      <c r="Z112" s="18"/>
    </row>
    <row r="113" spans="4:26" x14ac:dyDescent="0.4">
      <c r="D113" s="18"/>
      <c r="E113" s="21" t="s">
        <v>404</v>
      </c>
      <c r="F113" s="21" t="s">
        <v>120</v>
      </c>
      <c r="G113" s="21" t="s">
        <v>8</v>
      </c>
      <c r="H113" s="21" t="s">
        <v>72</v>
      </c>
      <c r="I113" s="21" t="s">
        <v>73</v>
      </c>
      <c r="J113" s="21" t="s">
        <v>1</v>
      </c>
      <c r="K113" s="22">
        <v>107</v>
      </c>
      <c r="L113" s="23">
        <v>34221.81</v>
      </c>
      <c r="M113" s="24">
        <v>89644.800000000003</v>
      </c>
      <c r="N113" s="24">
        <v>51265.2</v>
      </c>
      <c r="O113" s="18"/>
      <c r="P113" s="18"/>
      <c r="Q113" s="18"/>
      <c r="R113" s="18"/>
      <c r="S113" s="18"/>
      <c r="T113" s="18"/>
      <c r="U113" s="18"/>
      <c r="V113" s="18"/>
      <c r="W113" s="18"/>
      <c r="X113" s="18"/>
      <c r="Y113" s="18"/>
      <c r="Z113" s="18"/>
    </row>
    <row r="114" spans="4:26" x14ac:dyDescent="0.4">
      <c r="D114" s="18"/>
      <c r="E114" s="21" t="s">
        <v>405</v>
      </c>
      <c r="F114" s="21" t="s">
        <v>291</v>
      </c>
      <c r="G114" s="21" t="s">
        <v>7</v>
      </c>
      <c r="H114" s="21" t="s">
        <v>96</v>
      </c>
      <c r="I114" s="21" t="s">
        <v>86</v>
      </c>
      <c r="J114" s="21" t="s">
        <v>1</v>
      </c>
      <c r="K114" s="22">
        <v>169</v>
      </c>
      <c r="L114" s="23">
        <v>163451.72999999998</v>
      </c>
      <c r="M114" s="24">
        <v>245344</v>
      </c>
      <c r="N114" s="24">
        <v>113808.88</v>
      </c>
      <c r="O114" s="18"/>
      <c r="P114" s="18"/>
      <c r="Q114" s="18"/>
      <c r="R114" s="18"/>
      <c r="S114" s="18"/>
      <c r="T114" s="18"/>
      <c r="U114" s="18"/>
      <c r="V114" s="18"/>
      <c r="W114" s="18"/>
      <c r="X114" s="18"/>
      <c r="Y114" s="18"/>
      <c r="Z114" s="18"/>
    </row>
    <row r="115" spans="4:26" x14ac:dyDescent="0.4">
      <c r="D115" s="18"/>
      <c r="E115" s="21" t="s">
        <v>407</v>
      </c>
      <c r="F115" s="21" t="s">
        <v>232</v>
      </c>
      <c r="G115" s="21" t="s">
        <v>0</v>
      </c>
      <c r="H115" s="21" t="s">
        <v>81</v>
      </c>
      <c r="I115" s="21" t="s">
        <v>67</v>
      </c>
      <c r="J115" s="21" t="s">
        <v>1</v>
      </c>
      <c r="K115" s="22">
        <v>63</v>
      </c>
      <c r="L115" s="23">
        <v>36063.089999999997</v>
      </c>
      <c r="M115" s="24">
        <v>73033.58</v>
      </c>
      <c r="N115" s="24">
        <v>31246.19</v>
      </c>
      <c r="O115" s="18"/>
      <c r="P115" s="18"/>
      <c r="Q115" s="18"/>
      <c r="R115" s="18"/>
      <c r="S115" s="18"/>
      <c r="T115" s="18"/>
      <c r="U115" s="18"/>
      <c r="V115" s="18"/>
      <c r="W115" s="18"/>
      <c r="X115" s="18"/>
      <c r="Y115" s="18"/>
      <c r="Z115" s="18"/>
    </row>
    <row r="116" spans="4:26" x14ac:dyDescent="0.4">
      <c r="D116" s="18"/>
      <c r="E116" s="21" t="s">
        <v>408</v>
      </c>
      <c r="F116" s="21" t="s">
        <v>192</v>
      </c>
      <c r="G116" s="21" t="s">
        <v>7</v>
      </c>
      <c r="H116" s="21" t="s">
        <v>108</v>
      </c>
      <c r="I116" s="21" t="s">
        <v>67</v>
      </c>
      <c r="J116" s="21" t="s">
        <v>1</v>
      </c>
      <c r="K116" s="22">
        <v>140</v>
      </c>
      <c r="L116" s="23">
        <v>82574.8</v>
      </c>
      <c r="M116" s="24">
        <v>128688.14</v>
      </c>
      <c r="N116" s="24">
        <v>69116.320000000007</v>
      </c>
      <c r="O116" s="18"/>
      <c r="P116" s="18"/>
      <c r="Q116" s="18"/>
      <c r="R116" s="18"/>
      <c r="S116" s="18"/>
      <c r="T116" s="18"/>
      <c r="U116" s="18"/>
      <c r="V116" s="18"/>
      <c r="W116" s="18"/>
      <c r="X116" s="18"/>
      <c r="Y116" s="18"/>
      <c r="Z116" s="18"/>
    </row>
    <row r="117" spans="4:26" x14ac:dyDescent="0.4">
      <c r="D117" s="18"/>
      <c r="E117" s="21" t="s">
        <v>410</v>
      </c>
      <c r="F117" s="21" t="s">
        <v>273</v>
      </c>
      <c r="G117" s="21" t="s">
        <v>2</v>
      </c>
      <c r="H117" s="21" t="s">
        <v>77</v>
      </c>
      <c r="I117" s="21" t="s">
        <v>73</v>
      </c>
      <c r="J117" s="21" t="s">
        <v>1</v>
      </c>
      <c r="K117" s="22">
        <v>300</v>
      </c>
      <c r="L117" s="23">
        <v>148134</v>
      </c>
      <c r="M117" s="24">
        <v>40091.089999999997</v>
      </c>
      <c r="N117" s="24">
        <v>10958.07</v>
      </c>
      <c r="O117" s="18"/>
      <c r="P117" s="18"/>
      <c r="Q117" s="18"/>
      <c r="R117" s="18"/>
      <c r="S117" s="18"/>
      <c r="T117" s="18"/>
      <c r="U117" s="18"/>
      <c r="V117" s="18"/>
      <c r="W117" s="18"/>
      <c r="X117" s="18"/>
      <c r="Y117" s="18"/>
      <c r="Z117" s="18"/>
    </row>
    <row r="118" spans="4:26" x14ac:dyDescent="0.4">
      <c r="D118" s="18"/>
      <c r="E118" s="21" t="s">
        <v>412</v>
      </c>
      <c r="F118" s="21" t="s">
        <v>175</v>
      </c>
      <c r="G118" s="21" t="s">
        <v>8</v>
      </c>
      <c r="H118" s="21" t="s">
        <v>128</v>
      </c>
      <c r="I118" s="21" t="s">
        <v>67</v>
      </c>
      <c r="J118" s="21" t="s">
        <v>1</v>
      </c>
      <c r="K118" s="22">
        <v>87</v>
      </c>
      <c r="L118" s="23">
        <v>134512.44</v>
      </c>
      <c r="M118" s="24">
        <v>80878.8</v>
      </c>
      <c r="N118" s="24">
        <v>19034</v>
      </c>
      <c r="O118" s="18"/>
      <c r="P118" s="18"/>
      <c r="Q118" s="18"/>
      <c r="R118" s="18"/>
      <c r="S118" s="18"/>
      <c r="T118" s="18"/>
      <c r="U118" s="18"/>
      <c r="V118" s="18"/>
      <c r="W118" s="18"/>
      <c r="X118" s="18"/>
      <c r="Y118" s="18"/>
      <c r="Z118" s="18"/>
    </row>
    <row r="119" spans="4:26" x14ac:dyDescent="0.4">
      <c r="D119" s="18"/>
      <c r="E119" s="21" t="s">
        <v>30</v>
      </c>
      <c r="F119" s="21" t="s">
        <v>31</v>
      </c>
      <c r="G119" s="21" t="s">
        <v>6</v>
      </c>
      <c r="H119" s="21" t="s">
        <v>108</v>
      </c>
      <c r="I119" s="21" t="s">
        <v>73</v>
      </c>
      <c r="J119" s="21" t="s">
        <v>1</v>
      </c>
      <c r="K119" s="22">
        <v>73</v>
      </c>
      <c r="L119" s="23">
        <v>94818.240000000005</v>
      </c>
      <c r="M119" s="24">
        <v>504795</v>
      </c>
      <c r="N119" s="24">
        <v>315158.52</v>
      </c>
      <c r="O119" s="18"/>
      <c r="P119" s="18"/>
      <c r="Q119" s="18"/>
      <c r="R119" s="18"/>
      <c r="S119" s="18"/>
      <c r="T119" s="18"/>
      <c r="U119" s="18"/>
      <c r="V119" s="18"/>
      <c r="W119" s="18"/>
      <c r="X119" s="18"/>
      <c r="Y119" s="18"/>
      <c r="Z119" s="18"/>
    </row>
    <row r="120" spans="4:26" x14ac:dyDescent="0.4">
      <c r="D120" s="18"/>
      <c r="E120" s="21" t="s">
        <v>415</v>
      </c>
      <c r="F120" s="21" t="s">
        <v>44</v>
      </c>
      <c r="G120" s="21" t="s">
        <v>8</v>
      </c>
      <c r="H120" s="21" t="s">
        <v>72</v>
      </c>
      <c r="I120" s="21" t="s">
        <v>67</v>
      </c>
      <c r="J120" s="21" t="s">
        <v>1</v>
      </c>
      <c r="K120" s="22">
        <v>278</v>
      </c>
      <c r="L120" s="23">
        <v>294165.7</v>
      </c>
      <c r="M120" s="24">
        <v>359529.45</v>
      </c>
      <c r="N120" s="24">
        <v>223028.1</v>
      </c>
      <c r="O120" s="18"/>
      <c r="P120" s="18"/>
      <c r="Q120" s="18"/>
      <c r="R120" s="18"/>
      <c r="S120" s="18"/>
      <c r="T120" s="18"/>
      <c r="U120" s="18"/>
      <c r="V120" s="18"/>
      <c r="W120" s="18"/>
      <c r="X120" s="18"/>
      <c r="Y120" s="18"/>
      <c r="Z120" s="18"/>
    </row>
    <row r="121" spans="4:26" x14ac:dyDescent="0.4">
      <c r="D121" s="18"/>
      <c r="E121" s="21" t="s">
        <v>416</v>
      </c>
      <c r="F121" s="21" t="s">
        <v>27</v>
      </c>
      <c r="G121" s="21" t="s">
        <v>6</v>
      </c>
      <c r="H121" s="21" t="s">
        <v>132</v>
      </c>
      <c r="I121" s="21" t="s">
        <v>78</v>
      </c>
      <c r="J121" s="21" t="s">
        <v>1</v>
      </c>
      <c r="K121" s="22">
        <v>234</v>
      </c>
      <c r="L121" s="23">
        <v>305042.39999999997</v>
      </c>
      <c r="M121" s="24">
        <v>266585.38</v>
      </c>
      <c r="N121" s="24">
        <v>154475.78</v>
      </c>
      <c r="O121" s="18"/>
      <c r="P121" s="18"/>
      <c r="Q121" s="18"/>
      <c r="R121" s="18"/>
      <c r="S121" s="18"/>
      <c r="T121" s="18"/>
      <c r="U121" s="18"/>
      <c r="V121" s="18"/>
      <c r="W121" s="18"/>
      <c r="X121" s="18"/>
      <c r="Y121" s="18"/>
      <c r="Z121" s="18"/>
    </row>
    <row r="122" spans="4:26" x14ac:dyDescent="0.4">
      <c r="D122" s="18"/>
      <c r="E122" s="21" t="s">
        <v>417</v>
      </c>
      <c r="F122" s="21" t="s">
        <v>85</v>
      </c>
      <c r="G122" s="21" t="s">
        <v>0</v>
      </c>
      <c r="H122" s="21" t="s">
        <v>132</v>
      </c>
      <c r="I122" s="21" t="s">
        <v>73</v>
      </c>
      <c r="J122" s="21" t="s">
        <v>1</v>
      </c>
      <c r="K122" s="22">
        <v>218</v>
      </c>
      <c r="L122" s="23">
        <v>226776.68</v>
      </c>
      <c r="M122" s="24">
        <v>69920.960000000006</v>
      </c>
      <c r="N122" s="24">
        <v>21028.74</v>
      </c>
      <c r="O122" s="18"/>
      <c r="P122" s="18"/>
      <c r="Q122" s="18"/>
      <c r="R122" s="18"/>
      <c r="S122" s="18"/>
      <c r="T122" s="18"/>
      <c r="U122" s="18"/>
      <c r="V122" s="18"/>
      <c r="W122" s="18"/>
      <c r="X122" s="18"/>
      <c r="Y122" s="18"/>
      <c r="Z122" s="18"/>
    </row>
    <row r="123" spans="4:26" x14ac:dyDescent="0.4">
      <c r="D123" s="18"/>
      <c r="E123" s="21" t="s">
        <v>418</v>
      </c>
      <c r="F123" s="21" t="s">
        <v>277</v>
      </c>
      <c r="G123" s="21" t="s">
        <v>4</v>
      </c>
      <c r="H123" s="21" t="s">
        <v>81</v>
      </c>
      <c r="I123" s="21" t="s">
        <v>73</v>
      </c>
      <c r="J123" s="21" t="s">
        <v>1</v>
      </c>
      <c r="K123" s="22">
        <v>60</v>
      </c>
      <c r="L123" s="23">
        <v>54272.399999999994</v>
      </c>
      <c r="M123" s="24">
        <v>229185.84</v>
      </c>
      <c r="N123" s="24">
        <v>94409.38</v>
      </c>
      <c r="O123" s="18"/>
      <c r="P123" s="18"/>
      <c r="Q123" s="18"/>
      <c r="R123" s="18"/>
      <c r="S123" s="18"/>
      <c r="T123" s="18"/>
      <c r="U123" s="18"/>
      <c r="V123" s="18"/>
      <c r="W123" s="18"/>
      <c r="X123" s="18"/>
      <c r="Y123" s="18"/>
      <c r="Z123" s="18"/>
    </row>
    <row r="124" spans="4:26" x14ac:dyDescent="0.4">
      <c r="D124" s="18"/>
      <c r="E124" s="21" t="s">
        <v>420</v>
      </c>
      <c r="F124" s="21" t="s">
        <v>25</v>
      </c>
      <c r="G124" s="21" t="s">
        <v>7</v>
      </c>
      <c r="H124" s="21" t="s">
        <v>66</v>
      </c>
      <c r="I124" s="21" t="s">
        <v>67</v>
      </c>
      <c r="J124" s="21" t="s">
        <v>1</v>
      </c>
      <c r="K124" s="22">
        <v>120</v>
      </c>
      <c r="L124" s="23">
        <v>17161.199999999997</v>
      </c>
      <c r="M124" s="24">
        <v>21760.81</v>
      </c>
      <c r="N124" s="24">
        <v>7030.78</v>
      </c>
      <c r="O124" s="18"/>
      <c r="P124" s="18"/>
      <c r="Q124" s="18"/>
      <c r="R124" s="18"/>
      <c r="S124" s="18"/>
      <c r="T124" s="18"/>
      <c r="U124" s="18"/>
      <c r="V124" s="18"/>
      <c r="W124" s="18"/>
      <c r="X124" s="18"/>
      <c r="Y124" s="18"/>
      <c r="Z124" s="18"/>
    </row>
    <row r="125" spans="4:26" x14ac:dyDescent="0.4">
      <c r="D125" s="18"/>
      <c r="E125" s="21" t="s">
        <v>422</v>
      </c>
      <c r="F125" s="21" t="s">
        <v>146</v>
      </c>
      <c r="G125" s="21" t="s">
        <v>7</v>
      </c>
      <c r="H125" s="21" t="s">
        <v>77</v>
      </c>
      <c r="I125" s="21" t="s">
        <v>78</v>
      </c>
      <c r="J125" s="21" t="s">
        <v>1</v>
      </c>
      <c r="K125" s="22">
        <v>157</v>
      </c>
      <c r="L125" s="23">
        <v>71792.959999999992</v>
      </c>
      <c r="M125" s="24">
        <v>145132.24</v>
      </c>
      <c r="N125" s="24">
        <v>92087.76</v>
      </c>
      <c r="O125" s="18"/>
      <c r="P125" s="18"/>
      <c r="Q125" s="18"/>
      <c r="R125" s="18"/>
      <c r="S125" s="18"/>
      <c r="T125" s="18"/>
      <c r="U125" s="18"/>
      <c r="V125" s="18"/>
      <c r="W125" s="18"/>
      <c r="X125" s="18"/>
      <c r="Y125" s="18"/>
      <c r="Z125" s="18"/>
    </row>
    <row r="126" spans="4:26" x14ac:dyDescent="0.4">
      <c r="D126" s="18"/>
      <c r="E126" s="21" t="s">
        <v>423</v>
      </c>
      <c r="F126" s="21" t="s">
        <v>25</v>
      </c>
      <c r="G126" s="21" t="s">
        <v>7</v>
      </c>
      <c r="H126" s="21" t="s">
        <v>81</v>
      </c>
      <c r="I126" s="21" t="s">
        <v>91</v>
      </c>
      <c r="J126" s="21" t="s">
        <v>1</v>
      </c>
      <c r="K126" s="22">
        <v>275</v>
      </c>
      <c r="L126" s="23">
        <v>442186.25</v>
      </c>
      <c r="M126" s="24">
        <v>81632.600000000006</v>
      </c>
      <c r="N126" s="24">
        <v>49473.599999999999</v>
      </c>
      <c r="O126" s="18"/>
      <c r="P126" s="18"/>
      <c r="Q126" s="18"/>
      <c r="R126" s="18"/>
      <c r="S126" s="18"/>
      <c r="T126" s="18"/>
      <c r="U126" s="18"/>
      <c r="V126" s="18"/>
      <c r="W126" s="18"/>
      <c r="X126" s="18"/>
      <c r="Y126" s="18"/>
      <c r="Z126" s="18"/>
    </row>
    <row r="127" spans="4:26" x14ac:dyDescent="0.4">
      <c r="D127" s="18"/>
      <c r="E127" s="21" t="s">
        <v>425</v>
      </c>
      <c r="F127" s="21" t="s">
        <v>107</v>
      </c>
      <c r="G127" s="21" t="s">
        <v>4</v>
      </c>
      <c r="H127" s="21" t="s">
        <v>81</v>
      </c>
      <c r="I127" s="21" t="s">
        <v>86</v>
      </c>
      <c r="J127" s="21" t="s">
        <v>1</v>
      </c>
      <c r="K127" s="22">
        <v>105</v>
      </c>
      <c r="L127" s="23">
        <v>151147.5</v>
      </c>
      <c r="M127" s="24">
        <v>40975.9</v>
      </c>
      <c r="N127" s="24">
        <v>20822.900000000001</v>
      </c>
      <c r="O127" s="18"/>
      <c r="P127" s="18"/>
      <c r="Q127" s="18"/>
      <c r="R127" s="18"/>
      <c r="S127" s="18"/>
      <c r="T127" s="18"/>
      <c r="U127" s="18"/>
      <c r="V127" s="18"/>
      <c r="W127" s="18"/>
      <c r="X127" s="18"/>
      <c r="Y127" s="18"/>
      <c r="Z127" s="18"/>
    </row>
    <row r="128" spans="4:26" x14ac:dyDescent="0.4">
      <c r="D128" s="18"/>
      <c r="E128" s="21" t="s">
        <v>426</v>
      </c>
      <c r="F128" s="21" t="s">
        <v>142</v>
      </c>
      <c r="G128" s="21" t="s">
        <v>6</v>
      </c>
      <c r="H128" s="21" t="s">
        <v>128</v>
      </c>
      <c r="I128" s="21" t="s">
        <v>91</v>
      </c>
      <c r="J128" s="21" t="s">
        <v>1</v>
      </c>
      <c r="K128" s="22">
        <v>236</v>
      </c>
      <c r="L128" s="23">
        <v>319090.88</v>
      </c>
      <c r="M128" s="24">
        <v>154876.15</v>
      </c>
      <c r="N128" s="24">
        <v>66990.95</v>
      </c>
      <c r="O128" s="18"/>
      <c r="P128" s="18"/>
      <c r="Q128" s="18"/>
      <c r="R128" s="18"/>
      <c r="S128" s="18"/>
      <c r="T128" s="18"/>
      <c r="U128" s="18"/>
      <c r="V128" s="18"/>
      <c r="W128" s="18"/>
      <c r="X128" s="18"/>
      <c r="Y128" s="18"/>
      <c r="Z128" s="18"/>
    </row>
    <row r="129" spans="4:26" x14ac:dyDescent="0.4">
      <c r="D129" s="18"/>
      <c r="E129" s="21" t="s">
        <v>427</v>
      </c>
      <c r="F129" s="21" t="s">
        <v>204</v>
      </c>
      <c r="G129" s="21" t="s">
        <v>8</v>
      </c>
      <c r="H129" s="21" t="s">
        <v>72</v>
      </c>
      <c r="I129" s="21" t="s">
        <v>78</v>
      </c>
      <c r="J129" s="21" t="s">
        <v>1</v>
      </c>
      <c r="K129" s="22">
        <v>32</v>
      </c>
      <c r="L129" s="23">
        <v>34928</v>
      </c>
      <c r="M129" s="24">
        <v>182112</v>
      </c>
      <c r="N129" s="24">
        <v>51132</v>
      </c>
      <c r="O129" s="18"/>
      <c r="P129" s="18"/>
      <c r="Q129" s="18"/>
      <c r="R129" s="18"/>
      <c r="S129" s="18"/>
      <c r="T129" s="18"/>
      <c r="U129" s="18"/>
      <c r="V129" s="18"/>
      <c r="W129" s="18"/>
      <c r="X129" s="18"/>
      <c r="Y129" s="18"/>
      <c r="Z129" s="18"/>
    </row>
    <row r="130" spans="4:26" x14ac:dyDescent="0.4">
      <c r="D130" s="18"/>
      <c r="E130" s="21" t="s">
        <v>43</v>
      </c>
      <c r="F130" s="21" t="s">
        <v>44</v>
      </c>
      <c r="G130" s="21" t="s">
        <v>8</v>
      </c>
      <c r="H130" s="21" t="s">
        <v>128</v>
      </c>
      <c r="I130" s="21" t="s">
        <v>73</v>
      </c>
      <c r="J130" s="21" t="s">
        <v>1</v>
      </c>
      <c r="K130" s="22">
        <v>328</v>
      </c>
      <c r="L130" s="23">
        <v>641928.79999999993</v>
      </c>
      <c r="M130" s="24">
        <v>430710.07</v>
      </c>
      <c r="N130" s="24">
        <v>240871.37</v>
      </c>
      <c r="O130" s="18"/>
      <c r="P130" s="18"/>
      <c r="Q130" s="18"/>
      <c r="R130" s="18"/>
      <c r="S130" s="18"/>
      <c r="T130" s="18"/>
      <c r="U130" s="18"/>
      <c r="V130" s="18"/>
      <c r="W130" s="18"/>
      <c r="X130" s="18"/>
      <c r="Y130" s="18"/>
      <c r="Z130" s="18"/>
    </row>
    <row r="131" spans="4:26" x14ac:dyDescent="0.4">
      <c r="D131" s="18"/>
      <c r="E131" s="21" t="s">
        <v>429</v>
      </c>
      <c r="F131" s="21" t="s">
        <v>112</v>
      </c>
      <c r="G131" s="21" t="s">
        <v>6</v>
      </c>
      <c r="H131" s="21" t="s">
        <v>128</v>
      </c>
      <c r="I131" s="21" t="s">
        <v>78</v>
      </c>
      <c r="J131" s="21" t="s">
        <v>1</v>
      </c>
      <c r="K131" s="22">
        <v>276</v>
      </c>
      <c r="L131" s="23">
        <v>78196.319999999992</v>
      </c>
      <c r="M131" s="24">
        <v>100547.04</v>
      </c>
      <c r="N131" s="24">
        <v>61732.2</v>
      </c>
      <c r="O131" s="18"/>
      <c r="P131" s="18"/>
      <c r="Q131" s="18"/>
      <c r="R131" s="18"/>
      <c r="S131" s="18"/>
      <c r="T131" s="18"/>
      <c r="U131" s="18"/>
      <c r="V131" s="18"/>
      <c r="W131" s="18"/>
      <c r="X131" s="18"/>
      <c r="Y131" s="18"/>
      <c r="Z131" s="18"/>
    </row>
    <row r="132" spans="4:26" x14ac:dyDescent="0.4">
      <c r="D132" s="18"/>
      <c r="E132" s="21" t="s">
        <v>33</v>
      </c>
      <c r="F132" s="21" t="s">
        <v>34</v>
      </c>
      <c r="G132" s="21" t="s">
        <v>6</v>
      </c>
      <c r="H132" s="21" t="s">
        <v>132</v>
      </c>
      <c r="I132" s="21" t="s">
        <v>91</v>
      </c>
      <c r="J132" s="21" t="s">
        <v>1</v>
      </c>
      <c r="K132" s="22">
        <v>48</v>
      </c>
      <c r="L132" s="23">
        <v>90051.36</v>
      </c>
      <c r="M132" s="24">
        <v>479272.26</v>
      </c>
      <c r="N132" s="24">
        <v>278532.77</v>
      </c>
      <c r="O132" s="18"/>
      <c r="P132" s="18"/>
      <c r="Q132" s="18"/>
      <c r="R132" s="18"/>
      <c r="S132" s="18"/>
      <c r="T132" s="18"/>
      <c r="U132" s="18"/>
      <c r="V132" s="18"/>
      <c r="W132" s="18"/>
      <c r="X132" s="18"/>
      <c r="Y132" s="18"/>
      <c r="Z132" s="18"/>
    </row>
    <row r="133" spans="4:26" x14ac:dyDescent="0.4">
      <c r="D133" s="18"/>
      <c r="E133" s="21" t="s">
        <v>432</v>
      </c>
      <c r="F133" s="21" t="s">
        <v>211</v>
      </c>
      <c r="G133" s="21" t="s">
        <v>2</v>
      </c>
      <c r="H133" s="21" t="s">
        <v>132</v>
      </c>
      <c r="I133" s="21" t="s">
        <v>67</v>
      </c>
      <c r="J133" s="21" t="s">
        <v>1</v>
      </c>
      <c r="K133" s="22">
        <v>266</v>
      </c>
      <c r="L133" s="23">
        <v>121737.56000000001</v>
      </c>
      <c r="M133" s="24">
        <v>35255</v>
      </c>
      <c r="N133" s="24">
        <v>15117.96</v>
      </c>
      <c r="O133" s="18"/>
      <c r="P133" s="18"/>
      <c r="Q133" s="18"/>
      <c r="R133" s="18"/>
      <c r="S133" s="18"/>
      <c r="T133" s="18"/>
      <c r="U133" s="18"/>
      <c r="V133" s="18"/>
      <c r="W133" s="18"/>
      <c r="X133" s="18"/>
      <c r="Y133" s="18"/>
      <c r="Z133" s="18"/>
    </row>
    <row r="134" spans="4:26" x14ac:dyDescent="0.4">
      <c r="D134" s="18"/>
      <c r="E134" s="21" t="s">
        <v>433</v>
      </c>
      <c r="F134" s="21" t="s">
        <v>196</v>
      </c>
      <c r="G134" s="21" t="s">
        <v>7</v>
      </c>
      <c r="H134" s="21" t="s">
        <v>108</v>
      </c>
      <c r="I134" s="21" t="s">
        <v>78</v>
      </c>
      <c r="J134" s="21" t="s">
        <v>1</v>
      </c>
      <c r="K134" s="22">
        <v>195</v>
      </c>
      <c r="L134" s="23">
        <v>307298.55000000005</v>
      </c>
      <c r="M134" s="24">
        <v>106479.42</v>
      </c>
      <c r="N134" s="24">
        <v>46595.6</v>
      </c>
      <c r="O134" s="18"/>
      <c r="P134" s="18"/>
      <c r="Q134" s="18"/>
      <c r="R134" s="18"/>
      <c r="S134" s="18"/>
      <c r="T134" s="18"/>
      <c r="U134" s="18"/>
      <c r="V134" s="18"/>
      <c r="W134" s="18"/>
      <c r="X134" s="18"/>
      <c r="Y134" s="18"/>
      <c r="Z134" s="18"/>
    </row>
    <row r="135" spans="4:26" x14ac:dyDescent="0.4">
      <c r="D135" s="18"/>
      <c r="E135" s="21" t="s">
        <v>434</v>
      </c>
      <c r="F135" s="21" t="s">
        <v>99</v>
      </c>
      <c r="G135" s="21" t="s">
        <v>0</v>
      </c>
      <c r="H135" s="21" t="s">
        <v>96</v>
      </c>
      <c r="I135" s="21" t="s">
        <v>86</v>
      </c>
      <c r="J135" s="21" t="s">
        <v>1</v>
      </c>
      <c r="K135" s="22">
        <v>115</v>
      </c>
      <c r="L135" s="23">
        <v>70777.900000000009</v>
      </c>
      <c r="M135" s="24">
        <v>20346.62</v>
      </c>
      <c r="N135" s="24">
        <v>11730.18</v>
      </c>
      <c r="O135" s="18"/>
      <c r="P135" s="18"/>
      <c r="Q135" s="18"/>
      <c r="R135" s="18"/>
      <c r="S135" s="18"/>
      <c r="T135" s="18"/>
      <c r="U135" s="18"/>
      <c r="V135" s="18"/>
      <c r="W135" s="18"/>
      <c r="X135" s="18"/>
      <c r="Y135" s="18"/>
      <c r="Z135" s="18"/>
    </row>
    <row r="136" spans="4:26" x14ac:dyDescent="0.4">
      <c r="D136" s="18"/>
      <c r="E136" s="21" t="s">
        <v>435</v>
      </c>
      <c r="F136" s="21" t="s">
        <v>279</v>
      </c>
      <c r="G136" s="21" t="s">
        <v>2</v>
      </c>
      <c r="H136" s="21" t="s">
        <v>128</v>
      </c>
      <c r="I136" s="21" t="s">
        <v>86</v>
      </c>
      <c r="J136" s="21" t="s">
        <v>1</v>
      </c>
      <c r="K136" s="22">
        <v>62</v>
      </c>
      <c r="L136" s="23">
        <v>32543.18</v>
      </c>
      <c r="M136" s="24">
        <v>108373.7</v>
      </c>
      <c r="N136" s="24">
        <v>48011.35</v>
      </c>
      <c r="O136" s="18"/>
      <c r="P136" s="18"/>
      <c r="Q136" s="18"/>
      <c r="R136" s="18"/>
      <c r="S136" s="18"/>
      <c r="T136" s="18"/>
      <c r="U136" s="18"/>
      <c r="V136" s="18"/>
      <c r="W136" s="18"/>
      <c r="X136" s="18"/>
      <c r="Y136" s="18"/>
      <c r="Z136" s="18"/>
    </row>
    <row r="137" spans="4:26" x14ac:dyDescent="0.4">
      <c r="D137" s="18"/>
      <c r="E137" s="21" t="s">
        <v>35</v>
      </c>
      <c r="F137" s="21" t="s">
        <v>12</v>
      </c>
      <c r="G137" s="21" t="s">
        <v>0</v>
      </c>
      <c r="H137" s="21" t="s">
        <v>132</v>
      </c>
      <c r="I137" s="21" t="s">
        <v>78</v>
      </c>
      <c r="J137" s="21" t="s">
        <v>1</v>
      </c>
      <c r="K137" s="22">
        <v>309</v>
      </c>
      <c r="L137" s="23">
        <v>375061.11</v>
      </c>
      <c r="M137" s="24">
        <v>475276.5</v>
      </c>
      <c r="N137" s="24">
        <v>293208</v>
      </c>
      <c r="O137" s="18"/>
      <c r="P137" s="18"/>
      <c r="Q137" s="18"/>
      <c r="R137" s="18"/>
      <c r="S137" s="18"/>
      <c r="T137" s="18"/>
      <c r="U137" s="18"/>
      <c r="V137" s="18"/>
      <c r="W137" s="18"/>
      <c r="X137" s="18"/>
      <c r="Y137" s="18"/>
      <c r="Z137" s="18"/>
    </row>
    <row r="138" spans="4:26" x14ac:dyDescent="0.4">
      <c r="D138" s="18"/>
      <c r="E138" s="21" t="s">
        <v>438</v>
      </c>
      <c r="F138" s="21" t="s">
        <v>228</v>
      </c>
      <c r="G138" s="21" t="s">
        <v>4</v>
      </c>
      <c r="H138" s="21" t="s">
        <v>132</v>
      </c>
      <c r="I138" s="21" t="s">
        <v>91</v>
      </c>
      <c r="J138" s="21" t="s">
        <v>1</v>
      </c>
      <c r="K138" s="22">
        <v>164</v>
      </c>
      <c r="L138" s="23">
        <v>255105.28</v>
      </c>
      <c r="M138" s="24">
        <v>264843.67</v>
      </c>
      <c r="N138" s="24">
        <v>123291.35</v>
      </c>
      <c r="O138" s="18"/>
      <c r="P138" s="18"/>
      <c r="Q138" s="18"/>
      <c r="R138" s="18"/>
      <c r="S138" s="18"/>
      <c r="T138" s="18"/>
      <c r="U138" s="18"/>
      <c r="V138" s="18"/>
      <c r="W138" s="18"/>
      <c r="X138" s="18"/>
      <c r="Y138" s="18"/>
      <c r="Z138" s="18"/>
    </row>
    <row r="139" spans="4:26" x14ac:dyDescent="0.4">
      <c r="D139" s="18"/>
      <c r="E139" s="21" t="s">
        <v>441</v>
      </c>
      <c r="F139" s="21" t="s">
        <v>310</v>
      </c>
      <c r="G139" s="21" t="s">
        <v>0</v>
      </c>
      <c r="H139" s="21" t="s">
        <v>132</v>
      </c>
      <c r="I139" s="21" t="s">
        <v>67</v>
      </c>
      <c r="J139" s="21" t="s">
        <v>1</v>
      </c>
      <c r="K139" s="22">
        <v>125</v>
      </c>
      <c r="L139" s="23">
        <v>126077.5</v>
      </c>
      <c r="M139" s="24">
        <v>287697.5</v>
      </c>
      <c r="N139" s="24">
        <v>161620</v>
      </c>
      <c r="O139" s="18"/>
      <c r="P139" s="18"/>
      <c r="Q139" s="18"/>
      <c r="R139" s="18"/>
      <c r="S139" s="18"/>
      <c r="T139" s="18"/>
      <c r="U139" s="18"/>
      <c r="V139" s="18"/>
      <c r="W139" s="18"/>
      <c r="X139" s="18"/>
      <c r="Y139" s="18"/>
      <c r="Z139" s="18"/>
    </row>
    <row r="140" spans="4:26" x14ac:dyDescent="0.4">
      <c r="D140" s="18"/>
      <c r="E140" s="21" t="s">
        <v>443</v>
      </c>
      <c r="F140" s="21" t="s">
        <v>38</v>
      </c>
      <c r="G140" s="21" t="s">
        <v>2</v>
      </c>
      <c r="H140" s="21" t="s">
        <v>72</v>
      </c>
      <c r="I140" s="21" t="s">
        <v>78</v>
      </c>
      <c r="J140" s="21" t="s">
        <v>1</v>
      </c>
      <c r="K140" s="22">
        <v>70</v>
      </c>
      <c r="L140" s="23">
        <v>118176.8</v>
      </c>
      <c r="M140" s="24">
        <v>152942.9</v>
      </c>
      <c r="N140" s="24">
        <v>60089.7</v>
      </c>
      <c r="O140" s="18"/>
      <c r="P140" s="18"/>
      <c r="Q140" s="18"/>
      <c r="R140" s="18"/>
      <c r="S140" s="18"/>
      <c r="T140" s="18"/>
      <c r="U140" s="18"/>
      <c r="V140" s="18"/>
      <c r="W140" s="18"/>
      <c r="X140" s="18"/>
      <c r="Y140" s="18"/>
      <c r="Z140" s="18"/>
    </row>
    <row r="141" spans="4:26" x14ac:dyDescent="0.4">
      <c r="D141" s="18"/>
      <c r="E141" s="21" t="s">
        <v>21</v>
      </c>
      <c r="F141" s="21" t="s">
        <v>16</v>
      </c>
      <c r="G141" s="21" t="s">
        <v>2</v>
      </c>
      <c r="H141" s="21" t="s">
        <v>81</v>
      </c>
      <c r="I141" s="21" t="s">
        <v>78</v>
      </c>
      <c r="J141" s="21" t="s">
        <v>1</v>
      </c>
      <c r="K141" s="22">
        <v>315</v>
      </c>
      <c r="L141" s="23">
        <v>575583.75</v>
      </c>
      <c r="M141" s="24">
        <v>568811.84</v>
      </c>
      <c r="N141" s="24">
        <v>320305.84000000003</v>
      </c>
      <c r="O141" s="18"/>
      <c r="P141" s="18"/>
      <c r="Q141" s="18"/>
      <c r="R141" s="18"/>
      <c r="S141" s="18"/>
      <c r="T141" s="18"/>
      <c r="U141" s="18"/>
      <c r="V141" s="18"/>
      <c r="W141" s="18"/>
      <c r="X141" s="18"/>
      <c r="Y141" s="18"/>
      <c r="Z141" s="18"/>
    </row>
    <row r="142" spans="4:26" x14ac:dyDescent="0.4">
      <c r="D142" s="18"/>
      <c r="E142" s="21" t="s">
        <v>444</v>
      </c>
      <c r="F142" s="21" t="s">
        <v>279</v>
      </c>
      <c r="G142" s="21" t="s">
        <v>2</v>
      </c>
      <c r="H142" s="21" t="s">
        <v>66</v>
      </c>
      <c r="I142" s="21" t="s">
        <v>78</v>
      </c>
      <c r="J142" s="21" t="s">
        <v>1</v>
      </c>
      <c r="K142" s="22">
        <v>146</v>
      </c>
      <c r="L142" s="23">
        <v>7875.24</v>
      </c>
      <c r="M142" s="24">
        <v>6115.95</v>
      </c>
      <c r="N142" s="24">
        <v>3688.65</v>
      </c>
      <c r="O142" s="18"/>
      <c r="P142" s="18"/>
      <c r="Q142" s="18"/>
      <c r="R142" s="18"/>
      <c r="S142" s="18"/>
      <c r="T142" s="18"/>
      <c r="U142" s="18"/>
      <c r="V142" s="18"/>
      <c r="W142" s="18"/>
      <c r="X142" s="18"/>
      <c r="Y142" s="18"/>
      <c r="Z142" s="18"/>
    </row>
    <row r="143" spans="4:26" x14ac:dyDescent="0.4">
      <c r="D143" s="18"/>
      <c r="E143" s="21" t="s">
        <v>445</v>
      </c>
      <c r="F143" s="21" t="s">
        <v>175</v>
      </c>
      <c r="G143" s="21" t="s">
        <v>8</v>
      </c>
      <c r="H143" s="21" t="s">
        <v>96</v>
      </c>
      <c r="I143" s="21" t="s">
        <v>73</v>
      </c>
      <c r="J143" s="21" t="s">
        <v>1</v>
      </c>
      <c r="K143" s="22">
        <v>129</v>
      </c>
      <c r="L143" s="23">
        <v>210801.47999999998</v>
      </c>
      <c r="M143" s="24">
        <v>264063.90000000002</v>
      </c>
      <c r="N143" s="24">
        <v>108822.5</v>
      </c>
      <c r="O143" s="18"/>
      <c r="P143" s="18"/>
      <c r="Q143" s="18"/>
      <c r="R143" s="18"/>
      <c r="S143" s="18"/>
      <c r="T143" s="18"/>
      <c r="U143" s="18"/>
      <c r="V143" s="18"/>
      <c r="W143" s="18"/>
      <c r="X143" s="18"/>
      <c r="Y143" s="18"/>
      <c r="Z143" s="18"/>
    </row>
    <row r="144" spans="4:26" x14ac:dyDescent="0.4">
      <c r="D144" s="18"/>
      <c r="E144" s="21" t="s">
        <v>446</v>
      </c>
      <c r="F144" s="21" t="s">
        <v>31</v>
      </c>
      <c r="G144" s="21" t="s">
        <v>6</v>
      </c>
      <c r="H144" s="21" t="s">
        <v>132</v>
      </c>
      <c r="I144" s="21" t="s">
        <v>73</v>
      </c>
      <c r="J144" s="21" t="s">
        <v>1</v>
      </c>
      <c r="K144" s="22">
        <v>434</v>
      </c>
      <c r="L144" s="23">
        <v>77955.08</v>
      </c>
      <c r="M144" s="24">
        <v>4005.52</v>
      </c>
      <c r="N144" s="24">
        <v>2568.56</v>
      </c>
      <c r="O144" s="18"/>
      <c r="P144" s="18"/>
      <c r="Q144" s="18"/>
      <c r="R144" s="18"/>
      <c r="S144" s="18"/>
      <c r="T144" s="18"/>
      <c r="U144" s="18"/>
      <c r="V144" s="18"/>
      <c r="W144" s="18"/>
      <c r="X144" s="18"/>
      <c r="Y144" s="18"/>
      <c r="Z144" s="18"/>
    </row>
    <row r="145" spans="4:26" x14ac:dyDescent="0.4">
      <c r="D145" s="18"/>
      <c r="E145" s="21" t="s">
        <v>449</v>
      </c>
      <c r="F145" s="21" t="s">
        <v>124</v>
      </c>
      <c r="G145" s="21" t="s">
        <v>2</v>
      </c>
      <c r="H145" s="21" t="s">
        <v>66</v>
      </c>
      <c r="I145" s="21" t="s">
        <v>73</v>
      </c>
      <c r="J145" s="21" t="s">
        <v>1</v>
      </c>
      <c r="K145" s="22">
        <v>243</v>
      </c>
      <c r="L145" s="23">
        <v>135295.10999999999</v>
      </c>
      <c r="M145" s="24">
        <v>207891.18</v>
      </c>
      <c r="N145" s="24">
        <v>130500.15</v>
      </c>
      <c r="O145" s="18"/>
      <c r="P145" s="18"/>
      <c r="Q145" s="18"/>
      <c r="R145" s="18"/>
      <c r="S145" s="18"/>
      <c r="T145" s="18"/>
      <c r="U145" s="18"/>
      <c r="V145" s="18"/>
      <c r="W145" s="18"/>
      <c r="X145" s="18"/>
      <c r="Y145" s="18"/>
      <c r="Z145" s="18"/>
    </row>
    <row r="146" spans="4:26" x14ac:dyDescent="0.4">
      <c r="D146" s="18"/>
      <c r="E146" s="21" t="s">
        <v>450</v>
      </c>
      <c r="F146" s="21" t="s">
        <v>38</v>
      </c>
      <c r="G146" s="21" t="s">
        <v>2</v>
      </c>
      <c r="H146" s="21" t="s">
        <v>96</v>
      </c>
      <c r="I146" s="21" t="s">
        <v>67</v>
      </c>
      <c r="J146" s="21" t="s">
        <v>1</v>
      </c>
      <c r="K146" s="22">
        <v>73</v>
      </c>
      <c r="L146" s="23">
        <v>110190.58</v>
      </c>
      <c r="M146" s="24">
        <v>67944.19</v>
      </c>
      <c r="N146" s="24">
        <v>39264.449999999997</v>
      </c>
      <c r="O146" s="18"/>
      <c r="P146" s="18"/>
      <c r="Q146" s="18"/>
      <c r="R146" s="18"/>
      <c r="S146" s="18"/>
      <c r="T146" s="18"/>
      <c r="U146" s="18"/>
      <c r="V146" s="18"/>
      <c r="W146" s="18"/>
      <c r="X146" s="18"/>
      <c r="Y146" s="18"/>
      <c r="Z146" s="18"/>
    </row>
    <row r="147" spans="4:26" x14ac:dyDescent="0.4">
      <c r="D147" s="18"/>
      <c r="E147" s="21" t="s">
        <v>451</v>
      </c>
      <c r="F147" s="21" t="s">
        <v>310</v>
      </c>
      <c r="G147" s="21" t="s">
        <v>0</v>
      </c>
      <c r="H147" s="21" t="s">
        <v>132</v>
      </c>
      <c r="I147" s="21" t="s">
        <v>86</v>
      </c>
      <c r="J147" s="21" t="s">
        <v>1</v>
      </c>
      <c r="K147" s="22">
        <v>276</v>
      </c>
      <c r="L147" s="23">
        <v>186805.08000000002</v>
      </c>
      <c r="M147" s="24">
        <v>32940.199999999997</v>
      </c>
      <c r="N147" s="24">
        <v>19403.599999999999</v>
      </c>
      <c r="O147" s="18"/>
      <c r="P147" s="18"/>
      <c r="Q147" s="18"/>
      <c r="R147" s="18"/>
      <c r="S147" s="18"/>
      <c r="T147" s="18"/>
      <c r="U147" s="18"/>
      <c r="V147" s="18"/>
      <c r="W147" s="18"/>
      <c r="X147" s="18"/>
      <c r="Y147" s="18"/>
      <c r="Z147" s="18"/>
    </row>
    <row r="148" spans="4:26" x14ac:dyDescent="0.4">
      <c r="D148" s="18"/>
      <c r="E148" s="21" t="s">
        <v>453</v>
      </c>
      <c r="F148" s="21" t="s">
        <v>44</v>
      </c>
      <c r="G148" s="21" t="s">
        <v>8</v>
      </c>
      <c r="H148" s="21" t="s">
        <v>108</v>
      </c>
      <c r="I148" s="21" t="s">
        <v>91</v>
      </c>
      <c r="J148" s="21" t="s">
        <v>1</v>
      </c>
      <c r="K148" s="22">
        <v>192</v>
      </c>
      <c r="L148" s="23">
        <v>168011.51999999999</v>
      </c>
      <c r="M148" s="24">
        <v>42624.54</v>
      </c>
      <c r="N148" s="24">
        <v>24248.28</v>
      </c>
      <c r="O148" s="18"/>
      <c r="P148" s="18"/>
      <c r="Q148" s="18"/>
      <c r="R148" s="18"/>
      <c r="S148" s="18"/>
      <c r="T148" s="18"/>
      <c r="U148" s="18"/>
      <c r="V148" s="18"/>
      <c r="W148" s="18"/>
      <c r="X148" s="18"/>
      <c r="Y148" s="18"/>
      <c r="Z148" s="18"/>
    </row>
    <row r="149" spans="4:26" x14ac:dyDescent="0.4">
      <c r="D149" s="18"/>
      <c r="E149" s="21" t="s">
        <v>454</v>
      </c>
      <c r="F149" s="21" t="s">
        <v>273</v>
      </c>
      <c r="G149" s="21" t="s">
        <v>2</v>
      </c>
      <c r="H149" s="21" t="s">
        <v>132</v>
      </c>
      <c r="I149" s="21" t="s">
        <v>78</v>
      </c>
      <c r="J149" s="21" t="s">
        <v>1</v>
      </c>
      <c r="K149" s="22">
        <v>97</v>
      </c>
      <c r="L149" s="23">
        <v>138624.63999999998</v>
      </c>
      <c r="M149" s="24">
        <v>295940.08</v>
      </c>
      <c r="N149" s="24">
        <v>164461.04</v>
      </c>
      <c r="O149" s="18"/>
      <c r="P149" s="18"/>
      <c r="Q149" s="18"/>
      <c r="R149" s="18"/>
      <c r="S149" s="18"/>
      <c r="T149" s="18"/>
      <c r="U149" s="18"/>
      <c r="V149" s="18"/>
      <c r="W149" s="18"/>
      <c r="X149" s="18"/>
      <c r="Y149" s="18"/>
      <c r="Z149" s="18"/>
    </row>
    <row r="150" spans="4:26" x14ac:dyDescent="0.4">
      <c r="D150" s="18"/>
      <c r="E150" s="21" t="s">
        <v>455</v>
      </c>
      <c r="F150" s="21" t="s">
        <v>175</v>
      </c>
      <c r="G150" s="21" t="s">
        <v>8</v>
      </c>
      <c r="H150" s="21" t="s">
        <v>66</v>
      </c>
      <c r="I150" s="21" t="s">
        <v>67</v>
      </c>
      <c r="J150" s="21" t="s">
        <v>1</v>
      </c>
      <c r="K150" s="22">
        <v>138</v>
      </c>
      <c r="L150" s="23">
        <v>30693.96</v>
      </c>
      <c r="M150" s="24">
        <v>45194.34</v>
      </c>
      <c r="N150" s="24">
        <v>13610.7</v>
      </c>
      <c r="O150" s="18"/>
      <c r="P150" s="18"/>
      <c r="Q150" s="18"/>
      <c r="R150" s="18"/>
      <c r="S150" s="18"/>
      <c r="T150" s="18"/>
      <c r="U150" s="18"/>
      <c r="V150" s="18"/>
      <c r="W150" s="18"/>
      <c r="X150" s="18"/>
      <c r="Y150" s="18"/>
      <c r="Z150" s="18"/>
    </row>
    <row r="151" spans="4:26" x14ac:dyDescent="0.4">
      <c r="D151" s="18"/>
      <c r="E151" s="21" t="s">
        <v>456</v>
      </c>
      <c r="F151" s="21" t="s">
        <v>152</v>
      </c>
      <c r="G151" s="21" t="s">
        <v>2</v>
      </c>
      <c r="H151" s="21" t="s">
        <v>128</v>
      </c>
      <c r="I151" s="21" t="s">
        <v>78</v>
      </c>
      <c r="J151" s="21" t="s">
        <v>1</v>
      </c>
      <c r="K151" s="22">
        <v>141</v>
      </c>
      <c r="L151" s="23">
        <v>28802.07</v>
      </c>
      <c r="M151" s="24">
        <v>43981.42</v>
      </c>
      <c r="N151" s="24">
        <v>23962.959999999999</v>
      </c>
      <c r="O151" s="18"/>
      <c r="P151" s="18"/>
      <c r="Q151" s="18"/>
      <c r="R151" s="18"/>
      <c r="S151" s="18"/>
      <c r="T151" s="18"/>
      <c r="U151" s="18"/>
      <c r="V151" s="18"/>
      <c r="W151" s="18"/>
      <c r="X151" s="18"/>
      <c r="Y151" s="18"/>
      <c r="Z151" s="18"/>
    </row>
    <row r="152" spans="4:26" x14ac:dyDescent="0.4">
      <c r="D152" s="18"/>
      <c r="E152" s="21" t="s">
        <v>458</v>
      </c>
      <c r="F152" s="21" t="s">
        <v>44</v>
      </c>
      <c r="G152" s="21" t="s">
        <v>8</v>
      </c>
      <c r="H152" s="21" t="s">
        <v>128</v>
      </c>
      <c r="I152" s="21" t="s">
        <v>91</v>
      </c>
      <c r="J152" s="21" t="s">
        <v>1</v>
      </c>
      <c r="K152" s="22">
        <v>286</v>
      </c>
      <c r="L152" s="23">
        <v>518320.66</v>
      </c>
      <c r="M152" s="24">
        <v>215650.59</v>
      </c>
      <c r="N152" s="24">
        <v>137721.26</v>
      </c>
      <c r="O152" s="18"/>
      <c r="P152" s="18"/>
      <c r="Q152" s="18"/>
      <c r="R152" s="18"/>
      <c r="S152" s="18"/>
      <c r="T152" s="18"/>
      <c r="U152" s="18"/>
      <c r="V152" s="18"/>
      <c r="W152" s="18"/>
      <c r="X152" s="18"/>
      <c r="Y152" s="18"/>
      <c r="Z152" s="18"/>
    </row>
    <row r="153" spans="4:26" x14ac:dyDescent="0.4">
      <c r="D153" s="18"/>
      <c r="E153" s="21" t="s">
        <v>459</v>
      </c>
      <c r="F153" s="21" t="s">
        <v>196</v>
      </c>
      <c r="G153" s="21" t="s">
        <v>7</v>
      </c>
      <c r="H153" s="21" t="s">
        <v>96</v>
      </c>
      <c r="I153" s="21" t="s">
        <v>73</v>
      </c>
      <c r="J153" s="21" t="s">
        <v>1</v>
      </c>
      <c r="K153" s="22">
        <v>126</v>
      </c>
      <c r="L153" s="23">
        <v>38927.699999999997</v>
      </c>
      <c r="M153" s="24">
        <v>36413.120000000003</v>
      </c>
      <c r="N153" s="24">
        <v>12932.92</v>
      </c>
      <c r="O153" s="18"/>
      <c r="P153" s="18"/>
      <c r="Q153" s="18"/>
      <c r="R153" s="18"/>
      <c r="S153" s="18"/>
      <c r="T153" s="18"/>
      <c r="U153" s="18"/>
      <c r="V153" s="18"/>
      <c r="W153" s="18"/>
      <c r="X153" s="18"/>
      <c r="Y153" s="18"/>
      <c r="Z153" s="18"/>
    </row>
    <row r="154" spans="4:26" x14ac:dyDescent="0.4">
      <c r="D154" s="18"/>
      <c r="E154" s="21" t="s">
        <v>460</v>
      </c>
      <c r="F154" s="21" t="s">
        <v>42</v>
      </c>
      <c r="G154" s="21" t="s">
        <v>6</v>
      </c>
      <c r="H154" s="21" t="s">
        <v>81</v>
      </c>
      <c r="I154" s="21" t="s">
        <v>67</v>
      </c>
      <c r="J154" s="21" t="s">
        <v>1</v>
      </c>
      <c r="K154" s="22">
        <v>320</v>
      </c>
      <c r="L154" s="23">
        <v>320540.80000000005</v>
      </c>
      <c r="M154" s="24">
        <v>75777.84</v>
      </c>
      <c r="N154" s="24">
        <v>41720.379999999997</v>
      </c>
      <c r="O154" s="18"/>
      <c r="P154" s="18"/>
      <c r="Q154" s="18"/>
      <c r="R154" s="18"/>
      <c r="S154" s="18"/>
      <c r="T154" s="18"/>
      <c r="U154" s="18"/>
      <c r="V154" s="18"/>
      <c r="W154" s="18"/>
      <c r="X154" s="18"/>
      <c r="Y154" s="18"/>
      <c r="Z154" s="18"/>
    </row>
    <row r="155" spans="4:26" x14ac:dyDescent="0.4">
      <c r="D155" s="18"/>
      <c r="E155" s="21" t="s">
        <v>461</v>
      </c>
      <c r="F155" s="21" t="s">
        <v>172</v>
      </c>
      <c r="G155" s="21" t="s">
        <v>0</v>
      </c>
      <c r="H155" s="21" t="s">
        <v>128</v>
      </c>
      <c r="I155" s="21" t="s">
        <v>67</v>
      </c>
      <c r="J155" s="21" t="s">
        <v>1</v>
      </c>
      <c r="K155" s="22">
        <v>205</v>
      </c>
      <c r="L155" s="23">
        <v>354065.75</v>
      </c>
      <c r="M155" s="24">
        <v>115116.86</v>
      </c>
      <c r="N155" s="24">
        <v>56393.760000000002</v>
      </c>
      <c r="O155" s="18"/>
      <c r="P155" s="18"/>
      <c r="Q155" s="18"/>
      <c r="R155" s="18"/>
      <c r="S155" s="18"/>
      <c r="T155" s="18"/>
      <c r="U155" s="18"/>
      <c r="V155" s="18"/>
      <c r="W155" s="18"/>
      <c r="X155" s="18"/>
      <c r="Y155" s="18"/>
      <c r="Z155" s="18"/>
    </row>
    <row r="156" spans="4:26" x14ac:dyDescent="0.4">
      <c r="D156" s="18"/>
      <c r="E156" s="21" t="s">
        <v>462</v>
      </c>
      <c r="F156" s="21" t="s">
        <v>18</v>
      </c>
      <c r="G156" s="21" t="s">
        <v>0</v>
      </c>
      <c r="H156" s="21" t="s">
        <v>132</v>
      </c>
      <c r="I156" s="21" t="s">
        <v>91</v>
      </c>
      <c r="J156" s="21" t="s">
        <v>1</v>
      </c>
      <c r="K156" s="22">
        <v>247</v>
      </c>
      <c r="L156" s="23">
        <v>161016.82999999999</v>
      </c>
      <c r="M156" s="24">
        <v>230207.88</v>
      </c>
      <c r="N156" s="24">
        <v>134380.04999999999</v>
      </c>
      <c r="O156" s="18"/>
      <c r="P156" s="18"/>
      <c r="Q156" s="18"/>
      <c r="R156" s="18"/>
      <c r="S156" s="18"/>
      <c r="T156" s="18"/>
      <c r="U156" s="18"/>
      <c r="V156" s="18"/>
      <c r="W156" s="18"/>
      <c r="X156" s="18"/>
      <c r="Y156" s="18"/>
      <c r="Z156" s="18"/>
    </row>
    <row r="157" spans="4:26" x14ac:dyDescent="0.4">
      <c r="D157" s="18"/>
      <c r="E157" s="21" t="s">
        <v>463</v>
      </c>
      <c r="F157" s="21" t="s">
        <v>263</v>
      </c>
      <c r="G157" s="21" t="s">
        <v>8</v>
      </c>
      <c r="H157" s="21" t="s">
        <v>132</v>
      </c>
      <c r="I157" s="21" t="s">
        <v>91</v>
      </c>
      <c r="J157" s="21" t="s">
        <v>1</v>
      </c>
      <c r="K157" s="22">
        <v>354</v>
      </c>
      <c r="L157" s="23">
        <v>55553.22</v>
      </c>
      <c r="M157" s="24">
        <v>51253.39</v>
      </c>
      <c r="N157" s="24">
        <v>31323.279999999999</v>
      </c>
      <c r="O157" s="18"/>
      <c r="P157" s="18"/>
      <c r="Q157" s="18"/>
      <c r="R157" s="18"/>
      <c r="S157" s="18"/>
      <c r="T157" s="18"/>
      <c r="U157" s="18"/>
      <c r="V157" s="18"/>
      <c r="W157" s="18"/>
      <c r="X157" s="18"/>
      <c r="Y157" s="18"/>
      <c r="Z157" s="18"/>
    </row>
    <row r="158" spans="4:26" x14ac:dyDescent="0.4">
      <c r="D158" s="18"/>
      <c r="E158" s="21" t="s">
        <v>465</v>
      </c>
      <c r="F158" s="21" t="s">
        <v>103</v>
      </c>
      <c r="G158" s="21" t="s">
        <v>4</v>
      </c>
      <c r="H158" s="21" t="s">
        <v>132</v>
      </c>
      <c r="I158" s="21" t="s">
        <v>67</v>
      </c>
      <c r="J158" s="21" t="s">
        <v>1</v>
      </c>
      <c r="K158" s="22">
        <v>216</v>
      </c>
      <c r="L158" s="23">
        <v>341791.92</v>
      </c>
      <c r="M158" s="24">
        <v>332663.36</v>
      </c>
      <c r="N158" s="24">
        <v>96890.23</v>
      </c>
      <c r="O158" s="18"/>
      <c r="P158" s="18"/>
      <c r="Q158" s="18"/>
      <c r="R158" s="18"/>
      <c r="S158" s="18"/>
      <c r="T158" s="18"/>
      <c r="U158" s="18"/>
      <c r="V158" s="18"/>
      <c r="W158" s="18"/>
      <c r="X158" s="18"/>
      <c r="Y158" s="18"/>
      <c r="Z158" s="18"/>
    </row>
    <row r="159" spans="4:26" x14ac:dyDescent="0.4">
      <c r="D159" s="18"/>
      <c r="E159" s="21" t="s">
        <v>466</v>
      </c>
      <c r="F159" s="21" t="s">
        <v>29</v>
      </c>
      <c r="G159" s="21" t="s">
        <v>6</v>
      </c>
      <c r="H159" s="21" t="s">
        <v>128</v>
      </c>
      <c r="I159" s="21" t="s">
        <v>86</v>
      </c>
      <c r="J159" s="21" t="s">
        <v>1</v>
      </c>
      <c r="K159" s="22">
        <v>274</v>
      </c>
      <c r="L159" s="23">
        <v>327638.24</v>
      </c>
      <c r="M159" s="24">
        <v>201259.17</v>
      </c>
      <c r="N159" s="24">
        <v>125926.29</v>
      </c>
      <c r="O159" s="18"/>
      <c r="P159" s="18"/>
      <c r="Q159" s="18"/>
      <c r="R159" s="18"/>
      <c r="S159" s="18"/>
      <c r="T159" s="18"/>
      <c r="U159" s="18"/>
      <c r="V159" s="18"/>
      <c r="W159" s="18"/>
      <c r="X159" s="18"/>
      <c r="Y159" s="18"/>
      <c r="Z159" s="18"/>
    </row>
    <row r="160" spans="4:26" x14ac:dyDescent="0.4">
      <c r="D160" s="18"/>
      <c r="E160" s="21" t="s">
        <v>467</v>
      </c>
      <c r="F160" s="21" t="s">
        <v>14</v>
      </c>
      <c r="G160" s="21" t="s">
        <v>7</v>
      </c>
      <c r="H160" s="21" t="s">
        <v>96</v>
      </c>
      <c r="I160" s="21" t="s">
        <v>86</v>
      </c>
      <c r="J160" s="21" t="s">
        <v>1</v>
      </c>
      <c r="K160" s="22">
        <v>346</v>
      </c>
      <c r="L160" s="23">
        <v>449990.3</v>
      </c>
      <c r="M160" s="24">
        <v>393446.9</v>
      </c>
      <c r="N160" s="24">
        <v>250386.4</v>
      </c>
      <c r="O160" s="18"/>
      <c r="P160" s="18"/>
      <c r="Q160" s="18"/>
      <c r="R160" s="18"/>
      <c r="S160" s="18"/>
      <c r="T160" s="18"/>
      <c r="U160" s="18"/>
      <c r="V160" s="18"/>
      <c r="W160" s="18"/>
      <c r="X160" s="18"/>
      <c r="Y160" s="18"/>
      <c r="Z160" s="18"/>
    </row>
    <row r="161" spans="4:26" x14ac:dyDescent="0.4">
      <c r="D161" s="18"/>
      <c r="E161" s="21" t="s">
        <v>468</v>
      </c>
      <c r="F161" s="21" t="s">
        <v>71</v>
      </c>
      <c r="G161" s="21" t="s">
        <v>8</v>
      </c>
      <c r="H161" s="21" t="s">
        <v>72</v>
      </c>
      <c r="I161" s="21" t="s">
        <v>67</v>
      </c>
      <c r="J161" s="21" t="s">
        <v>1</v>
      </c>
      <c r="K161" s="22">
        <v>265</v>
      </c>
      <c r="L161" s="23">
        <v>298079.94999999995</v>
      </c>
      <c r="M161" s="24">
        <v>249141.3</v>
      </c>
      <c r="N161" s="24">
        <v>142282.45000000001</v>
      </c>
      <c r="O161" s="18"/>
      <c r="P161" s="18"/>
      <c r="Q161" s="18"/>
      <c r="R161" s="18"/>
      <c r="S161" s="18"/>
      <c r="T161" s="18"/>
      <c r="U161" s="18"/>
      <c r="V161" s="18"/>
      <c r="W161" s="18"/>
      <c r="X161" s="18"/>
      <c r="Y161" s="18"/>
      <c r="Z161" s="18"/>
    </row>
    <row r="162" spans="4:26" x14ac:dyDescent="0.4">
      <c r="D162" s="18"/>
      <c r="E162" s="21" t="s">
        <v>469</v>
      </c>
      <c r="F162" s="21" t="s">
        <v>31</v>
      </c>
      <c r="G162" s="21" t="s">
        <v>6</v>
      </c>
      <c r="H162" s="21" t="s">
        <v>96</v>
      </c>
      <c r="I162" s="21" t="s">
        <v>67</v>
      </c>
      <c r="J162" s="21" t="s">
        <v>1</v>
      </c>
      <c r="K162" s="22">
        <v>37</v>
      </c>
      <c r="L162" s="23">
        <v>31214.31</v>
      </c>
      <c r="M162" s="24">
        <v>83294.28</v>
      </c>
      <c r="N162" s="24">
        <v>52923.6</v>
      </c>
      <c r="O162" s="18"/>
      <c r="P162" s="18"/>
      <c r="Q162" s="18"/>
      <c r="R162" s="18"/>
      <c r="S162" s="18"/>
      <c r="T162" s="18"/>
      <c r="U162" s="18"/>
      <c r="V162" s="18"/>
      <c r="W162" s="18"/>
      <c r="X162" s="18"/>
      <c r="Y162" s="18"/>
      <c r="Z162" s="18"/>
    </row>
    <row r="163" spans="4:26" x14ac:dyDescent="0.4">
      <c r="D163" s="18"/>
      <c r="E163" s="21" t="s">
        <v>470</v>
      </c>
      <c r="F163" s="21" t="s">
        <v>164</v>
      </c>
      <c r="G163" s="21" t="s">
        <v>0</v>
      </c>
      <c r="H163" s="21" t="s">
        <v>81</v>
      </c>
      <c r="I163" s="21" t="s">
        <v>91</v>
      </c>
      <c r="J163" s="21" t="s">
        <v>1</v>
      </c>
      <c r="K163" s="22">
        <v>247</v>
      </c>
      <c r="L163" s="23">
        <v>175278.61</v>
      </c>
      <c r="M163" s="24">
        <v>17449.310000000001</v>
      </c>
      <c r="N163" s="24">
        <v>5385.6</v>
      </c>
      <c r="O163" s="18"/>
      <c r="P163" s="18"/>
      <c r="Q163" s="18"/>
      <c r="R163" s="18"/>
      <c r="S163" s="18"/>
      <c r="T163" s="18"/>
      <c r="U163" s="18"/>
      <c r="V163" s="18"/>
      <c r="W163" s="18"/>
      <c r="X163" s="18"/>
      <c r="Y163" s="18"/>
      <c r="Z163" s="18"/>
    </row>
    <row r="164" spans="4:26" x14ac:dyDescent="0.4">
      <c r="D164" s="18"/>
      <c r="E164" s="21" t="s">
        <v>471</v>
      </c>
      <c r="F164" s="21" t="s">
        <v>172</v>
      </c>
      <c r="G164" s="21" t="s">
        <v>0</v>
      </c>
      <c r="H164" s="21" t="s">
        <v>72</v>
      </c>
      <c r="I164" s="21" t="s">
        <v>78</v>
      </c>
      <c r="J164" s="21" t="s">
        <v>1</v>
      </c>
      <c r="K164" s="22">
        <v>55</v>
      </c>
      <c r="L164" s="23">
        <v>74840.7</v>
      </c>
      <c r="M164" s="24">
        <v>92594.92</v>
      </c>
      <c r="N164" s="24">
        <v>32722.36</v>
      </c>
      <c r="O164" s="18"/>
      <c r="P164" s="18"/>
      <c r="Q164" s="18"/>
      <c r="R164" s="18"/>
      <c r="S164" s="18"/>
      <c r="T164" s="18"/>
      <c r="U164" s="18"/>
      <c r="V164" s="18"/>
      <c r="W164" s="18"/>
      <c r="X164" s="18"/>
      <c r="Y164" s="18"/>
      <c r="Z164" s="18"/>
    </row>
    <row r="165" spans="4:26" x14ac:dyDescent="0.4">
      <c r="D165" s="18"/>
      <c r="E165" s="21" t="s">
        <v>473</v>
      </c>
      <c r="F165" s="21" t="s">
        <v>135</v>
      </c>
      <c r="G165" s="21" t="s">
        <v>2</v>
      </c>
      <c r="H165" s="21" t="s">
        <v>81</v>
      </c>
      <c r="I165" s="21" t="s">
        <v>86</v>
      </c>
      <c r="J165" s="21" t="s">
        <v>1</v>
      </c>
      <c r="K165" s="22">
        <v>103</v>
      </c>
      <c r="L165" s="23">
        <v>130493.79000000001</v>
      </c>
      <c r="M165" s="24">
        <v>202123.22</v>
      </c>
      <c r="N165" s="24">
        <v>74163.289999999994</v>
      </c>
      <c r="O165" s="18"/>
      <c r="P165" s="18"/>
      <c r="Q165" s="18"/>
      <c r="R165" s="18"/>
      <c r="S165" s="18"/>
      <c r="T165" s="18"/>
      <c r="U165" s="18"/>
      <c r="V165" s="18"/>
      <c r="W165" s="18"/>
      <c r="X165" s="18"/>
      <c r="Y165" s="18"/>
      <c r="Z165" s="18"/>
    </row>
    <row r="166" spans="4:26" x14ac:dyDescent="0.4">
      <c r="D166" s="18"/>
      <c r="E166" s="21" t="s">
        <v>476</v>
      </c>
      <c r="F166" s="21" t="s">
        <v>279</v>
      </c>
      <c r="G166" s="21" t="s">
        <v>2</v>
      </c>
      <c r="H166" s="21" t="s">
        <v>72</v>
      </c>
      <c r="I166" s="21" t="s">
        <v>67</v>
      </c>
      <c r="J166" s="21" t="s">
        <v>1</v>
      </c>
      <c r="K166" s="22">
        <v>88</v>
      </c>
      <c r="L166" s="23">
        <v>143545.60000000001</v>
      </c>
      <c r="M166" s="24">
        <v>80807.37</v>
      </c>
      <c r="N166" s="24">
        <v>46552.17</v>
      </c>
      <c r="O166" s="18"/>
      <c r="P166" s="18"/>
      <c r="Q166" s="18"/>
      <c r="R166" s="18"/>
      <c r="S166" s="18"/>
      <c r="T166" s="18"/>
      <c r="U166" s="18"/>
      <c r="V166" s="18"/>
      <c r="W166" s="18"/>
      <c r="X166" s="18"/>
      <c r="Y166" s="18"/>
      <c r="Z166" s="18"/>
    </row>
    <row r="167" spans="4:26" x14ac:dyDescent="0.4">
      <c r="D167" s="18"/>
      <c r="E167" s="21" t="s">
        <v>478</v>
      </c>
      <c r="F167" s="21" t="s">
        <v>279</v>
      </c>
      <c r="G167" s="21" t="s">
        <v>2</v>
      </c>
      <c r="H167" s="21" t="s">
        <v>128</v>
      </c>
      <c r="I167" s="21" t="s">
        <v>73</v>
      </c>
      <c r="J167" s="21" t="s">
        <v>1</v>
      </c>
      <c r="K167" s="22">
        <v>88</v>
      </c>
      <c r="L167" s="23">
        <v>98448.24</v>
      </c>
      <c r="M167" s="24">
        <v>182080.8</v>
      </c>
      <c r="N167" s="24">
        <v>92582.399999999994</v>
      </c>
      <c r="O167" s="18"/>
      <c r="P167" s="18"/>
      <c r="Q167" s="18"/>
      <c r="R167" s="18"/>
      <c r="S167" s="18"/>
      <c r="T167" s="18"/>
      <c r="U167" s="18"/>
      <c r="V167" s="18"/>
      <c r="W167" s="18"/>
      <c r="X167" s="18"/>
      <c r="Y167" s="18"/>
      <c r="Z167" s="18"/>
    </row>
    <row r="168" spans="4:26" x14ac:dyDescent="0.4">
      <c r="D168" s="18"/>
      <c r="E168" s="21" t="s">
        <v>481</v>
      </c>
      <c r="F168" s="21" t="s">
        <v>31</v>
      </c>
      <c r="G168" s="21" t="s">
        <v>6</v>
      </c>
      <c r="H168" s="21" t="s">
        <v>128</v>
      </c>
      <c r="I168" s="21" t="s">
        <v>91</v>
      </c>
      <c r="J168" s="21" t="s">
        <v>1</v>
      </c>
      <c r="K168" s="22">
        <v>72</v>
      </c>
      <c r="L168" s="23">
        <v>5839.2</v>
      </c>
      <c r="M168" s="24">
        <v>13860.7</v>
      </c>
      <c r="N168" s="24">
        <v>8183.7</v>
      </c>
      <c r="O168" s="18"/>
      <c r="P168" s="18"/>
      <c r="Q168" s="18"/>
      <c r="R168" s="18"/>
      <c r="S168" s="18"/>
      <c r="T168" s="18"/>
      <c r="U168" s="18"/>
      <c r="V168" s="18"/>
      <c r="W168" s="18"/>
      <c r="X168" s="18"/>
      <c r="Y168" s="18"/>
      <c r="Z168" s="18"/>
    </row>
    <row r="169" spans="4:26" x14ac:dyDescent="0.4">
      <c r="D169" s="18"/>
      <c r="E169" s="21" t="s">
        <v>482</v>
      </c>
      <c r="F169" s="21" t="s">
        <v>116</v>
      </c>
      <c r="G169" s="21" t="s">
        <v>4</v>
      </c>
      <c r="H169" s="21" t="s">
        <v>77</v>
      </c>
      <c r="I169" s="21" t="s">
        <v>73</v>
      </c>
      <c r="J169" s="21" t="s">
        <v>1</v>
      </c>
      <c r="K169" s="22">
        <v>253</v>
      </c>
      <c r="L169" s="23">
        <v>280440.38</v>
      </c>
      <c r="M169" s="24">
        <v>226462.97</v>
      </c>
      <c r="N169" s="24">
        <v>72387.03</v>
      </c>
      <c r="O169" s="18"/>
      <c r="P169" s="18"/>
      <c r="Q169" s="18"/>
      <c r="R169" s="18"/>
      <c r="S169" s="18"/>
      <c r="T169" s="18"/>
      <c r="U169" s="18"/>
      <c r="V169" s="18"/>
      <c r="W169" s="18"/>
      <c r="X169" s="18"/>
      <c r="Y169" s="18"/>
      <c r="Z169" s="18"/>
    </row>
    <row r="170" spans="4:26" x14ac:dyDescent="0.4">
      <c r="D170" s="18"/>
      <c r="E170" s="21" t="s">
        <v>483</v>
      </c>
      <c r="F170" s="21" t="s">
        <v>232</v>
      </c>
      <c r="G170" s="21" t="s">
        <v>0</v>
      </c>
      <c r="H170" s="21" t="s">
        <v>66</v>
      </c>
      <c r="I170" s="21" t="s">
        <v>91</v>
      </c>
      <c r="J170" s="21" t="s">
        <v>1</v>
      </c>
      <c r="K170" s="22">
        <v>52</v>
      </c>
      <c r="L170" s="23">
        <v>76817.52</v>
      </c>
      <c r="M170" s="24">
        <v>26951.200000000001</v>
      </c>
      <c r="N170" s="24">
        <v>15133.12</v>
      </c>
      <c r="O170" s="18"/>
      <c r="P170" s="18"/>
      <c r="Q170" s="18"/>
      <c r="R170" s="18"/>
      <c r="S170" s="18"/>
      <c r="T170" s="18"/>
      <c r="U170" s="18"/>
      <c r="V170" s="18"/>
      <c r="W170" s="18"/>
      <c r="X170" s="18"/>
      <c r="Y170" s="18"/>
      <c r="Z170" s="18"/>
    </row>
    <row r="171" spans="4:26" x14ac:dyDescent="0.4">
      <c r="D171" s="18"/>
      <c r="E171" s="21" t="s">
        <v>484</v>
      </c>
      <c r="F171" s="21" t="s">
        <v>27</v>
      </c>
      <c r="G171" s="21" t="s">
        <v>6</v>
      </c>
      <c r="H171" s="21" t="s">
        <v>81</v>
      </c>
      <c r="I171" s="21" t="s">
        <v>78</v>
      </c>
      <c r="J171" s="21" t="s">
        <v>1</v>
      </c>
      <c r="K171" s="22">
        <v>415</v>
      </c>
      <c r="L171" s="23">
        <v>202997.25</v>
      </c>
      <c r="M171" s="24">
        <v>109534.97</v>
      </c>
      <c r="N171" s="24">
        <v>66000.62</v>
      </c>
      <c r="O171" s="18"/>
      <c r="P171" s="18"/>
      <c r="Q171" s="18"/>
      <c r="R171" s="18"/>
      <c r="S171" s="18"/>
      <c r="T171" s="18"/>
      <c r="U171" s="18"/>
      <c r="V171" s="18"/>
      <c r="W171" s="18"/>
      <c r="X171" s="18"/>
      <c r="Y171" s="18"/>
      <c r="Z171" s="18"/>
    </row>
    <row r="172" spans="4:26" x14ac:dyDescent="0.4">
      <c r="D172" s="18"/>
      <c r="E172" s="21" t="s">
        <v>24</v>
      </c>
      <c r="F172" s="21" t="s">
        <v>25</v>
      </c>
      <c r="G172" s="21" t="s">
        <v>7</v>
      </c>
      <c r="H172" s="21" t="s">
        <v>128</v>
      </c>
      <c r="I172" s="21" t="s">
        <v>73</v>
      </c>
      <c r="J172" s="21" t="s">
        <v>1</v>
      </c>
      <c r="K172" s="22">
        <v>105</v>
      </c>
      <c r="L172" s="23">
        <v>171232.94999999998</v>
      </c>
      <c r="M172" s="24">
        <v>556278.07999999996</v>
      </c>
      <c r="N172" s="24">
        <v>334490.64</v>
      </c>
      <c r="O172" s="18"/>
      <c r="P172" s="18"/>
      <c r="Q172" s="18"/>
      <c r="R172" s="18"/>
      <c r="S172" s="18"/>
      <c r="T172" s="18"/>
      <c r="U172" s="18"/>
      <c r="V172" s="18"/>
      <c r="W172" s="18"/>
      <c r="X172" s="18"/>
      <c r="Y172" s="18"/>
      <c r="Z172" s="18"/>
    </row>
    <row r="173" spans="4:26" x14ac:dyDescent="0.4">
      <c r="D173" s="18"/>
      <c r="E173" s="21" t="s">
        <v>485</v>
      </c>
      <c r="F173" s="21" t="s">
        <v>85</v>
      </c>
      <c r="G173" s="21" t="s">
        <v>0</v>
      </c>
      <c r="H173" s="21" t="s">
        <v>96</v>
      </c>
      <c r="I173" s="21" t="s">
        <v>67</v>
      </c>
      <c r="J173" s="21" t="s">
        <v>1</v>
      </c>
      <c r="K173" s="22">
        <v>146</v>
      </c>
      <c r="L173" s="23">
        <v>80203.64</v>
      </c>
      <c r="M173" s="24">
        <v>149221.79999999999</v>
      </c>
      <c r="N173" s="24">
        <v>91541.1</v>
      </c>
      <c r="O173" s="18"/>
      <c r="P173" s="18"/>
      <c r="Q173" s="18"/>
      <c r="R173" s="18"/>
      <c r="S173" s="18"/>
      <c r="T173" s="18"/>
      <c r="U173" s="18"/>
      <c r="V173" s="18"/>
      <c r="W173" s="18"/>
      <c r="X173" s="18"/>
      <c r="Y173" s="18"/>
      <c r="Z173" s="18"/>
    </row>
    <row r="174" spans="4:26" x14ac:dyDescent="0.4">
      <c r="D174" s="18"/>
      <c r="E174" s="21" t="s">
        <v>486</v>
      </c>
      <c r="F174" s="21" t="s">
        <v>44</v>
      </c>
      <c r="G174" s="21" t="s">
        <v>8</v>
      </c>
      <c r="H174" s="21" t="s">
        <v>96</v>
      </c>
      <c r="I174" s="21" t="s">
        <v>73</v>
      </c>
      <c r="J174" s="21" t="s">
        <v>1</v>
      </c>
      <c r="K174" s="22">
        <v>164</v>
      </c>
      <c r="L174" s="23">
        <v>272303.96000000002</v>
      </c>
      <c r="M174" s="24">
        <v>145980.72</v>
      </c>
      <c r="N174" s="24">
        <v>86206.68</v>
      </c>
      <c r="O174" s="18"/>
      <c r="P174" s="18"/>
      <c r="Q174" s="18"/>
      <c r="R174" s="18"/>
      <c r="S174" s="18"/>
      <c r="T174" s="18"/>
      <c r="U174" s="18"/>
      <c r="V174" s="18"/>
      <c r="W174" s="18"/>
      <c r="X174" s="18"/>
      <c r="Y174" s="18"/>
      <c r="Z174" s="18"/>
    </row>
    <row r="175" spans="4:26" x14ac:dyDescent="0.4">
      <c r="D175" s="18"/>
      <c r="E175" s="21" t="s">
        <v>488</v>
      </c>
      <c r="F175" s="21" t="s">
        <v>85</v>
      </c>
      <c r="G175" s="21" t="s">
        <v>0</v>
      </c>
      <c r="H175" s="21" t="s">
        <v>66</v>
      </c>
      <c r="I175" s="21" t="s">
        <v>78</v>
      </c>
      <c r="J175" s="21" t="s">
        <v>1</v>
      </c>
      <c r="K175" s="22">
        <v>340</v>
      </c>
      <c r="L175" s="23">
        <v>476214.2</v>
      </c>
      <c r="M175" s="24">
        <v>198376.75</v>
      </c>
      <c r="N175" s="24">
        <v>121342.1</v>
      </c>
      <c r="O175" s="18"/>
      <c r="P175" s="18"/>
      <c r="Q175" s="18"/>
      <c r="R175" s="18"/>
      <c r="S175" s="18"/>
      <c r="T175" s="18"/>
      <c r="U175" s="18"/>
      <c r="V175" s="18"/>
      <c r="W175" s="18"/>
      <c r="X175" s="18"/>
      <c r="Y175" s="18"/>
      <c r="Z175" s="18"/>
    </row>
    <row r="176" spans="4:26" x14ac:dyDescent="0.4">
      <c r="D176" s="18"/>
      <c r="E176" s="21" t="s">
        <v>489</v>
      </c>
      <c r="F176" s="21" t="s">
        <v>34</v>
      </c>
      <c r="G176" s="21" t="s">
        <v>6</v>
      </c>
      <c r="H176" s="21" t="s">
        <v>108</v>
      </c>
      <c r="I176" s="21" t="s">
        <v>67</v>
      </c>
      <c r="J176" s="21" t="s">
        <v>1</v>
      </c>
      <c r="K176" s="22">
        <v>140</v>
      </c>
      <c r="L176" s="23">
        <v>163003.4</v>
      </c>
      <c r="M176" s="24">
        <v>217704.45</v>
      </c>
      <c r="N176" s="24">
        <v>116409.48</v>
      </c>
      <c r="O176" s="18"/>
      <c r="P176" s="18"/>
      <c r="Q176" s="18"/>
      <c r="R176" s="18"/>
      <c r="S176" s="18"/>
      <c r="T176" s="18"/>
      <c r="U176" s="18"/>
      <c r="V176" s="18"/>
      <c r="W176" s="18"/>
      <c r="X176" s="18"/>
      <c r="Y176" s="18"/>
      <c r="Z176" s="18"/>
    </row>
    <row r="177" spans="4:26" x14ac:dyDescent="0.4">
      <c r="D177" s="18"/>
      <c r="E177" s="21" t="s">
        <v>492</v>
      </c>
      <c r="F177" s="21" t="s">
        <v>90</v>
      </c>
      <c r="G177" s="21" t="s">
        <v>8</v>
      </c>
      <c r="H177" s="21" t="s">
        <v>77</v>
      </c>
      <c r="I177" s="21" t="s">
        <v>73</v>
      </c>
      <c r="J177" s="21" t="s">
        <v>1</v>
      </c>
      <c r="K177" s="22">
        <v>90</v>
      </c>
      <c r="L177" s="23">
        <v>18761.400000000001</v>
      </c>
      <c r="M177" s="24">
        <v>19250.61</v>
      </c>
      <c r="N177" s="24">
        <v>7368.39</v>
      </c>
      <c r="O177" s="18"/>
      <c r="P177" s="18"/>
      <c r="Q177" s="18"/>
      <c r="R177" s="18"/>
      <c r="S177" s="18"/>
      <c r="T177" s="18"/>
      <c r="U177" s="18"/>
      <c r="V177" s="18"/>
      <c r="W177" s="18"/>
      <c r="X177" s="18"/>
      <c r="Y177" s="18"/>
      <c r="Z177" s="18"/>
    </row>
    <row r="178" spans="4:26" x14ac:dyDescent="0.4">
      <c r="D178" s="18"/>
      <c r="E178" s="21" t="s">
        <v>493</v>
      </c>
      <c r="F178" s="21" t="s">
        <v>16</v>
      </c>
      <c r="G178" s="21" t="s">
        <v>2</v>
      </c>
      <c r="H178" s="21" t="s">
        <v>66</v>
      </c>
      <c r="I178" s="21" t="s">
        <v>78</v>
      </c>
      <c r="J178" s="21" t="s">
        <v>1</v>
      </c>
      <c r="K178" s="22">
        <v>61</v>
      </c>
      <c r="L178" s="23">
        <v>120569.55</v>
      </c>
      <c r="M178" s="24">
        <v>68788.800000000003</v>
      </c>
      <c r="N178" s="24">
        <v>33210.9</v>
      </c>
      <c r="O178" s="18"/>
      <c r="P178" s="18"/>
      <c r="Q178" s="18"/>
      <c r="R178" s="18"/>
      <c r="S178" s="18"/>
      <c r="T178" s="18"/>
      <c r="U178" s="18"/>
      <c r="V178" s="18"/>
      <c r="W178" s="18"/>
      <c r="X178" s="18"/>
      <c r="Y178" s="18"/>
      <c r="Z178" s="18"/>
    </row>
    <row r="179" spans="4:26" x14ac:dyDescent="0.4">
      <c r="D179" s="18"/>
      <c r="E179" s="21" t="s">
        <v>494</v>
      </c>
      <c r="F179" s="21" t="s">
        <v>148</v>
      </c>
      <c r="G179" s="21" t="s">
        <v>4</v>
      </c>
      <c r="H179" s="21" t="s">
        <v>72</v>
      </c>
      <c r="I179" s="21" t="s">
        <v>78</v>
      </c>
      <c r="J179" s="21" t="s">
        <v>1</v>
      </c>
      <c r="K179" s="22">
        <v>225</v>
      </c>
      <c r="L179" s="23">
        <v>137819.25</v>
      </c>
      <c r="M179" s="24">
        <v>41325.480000000003</v>
      </c>
      <c r="N179" s="24">
        <v>19274.400000000001</v>
      </c>
      <c r="O179" s="18"/>
      <c r="P179" s="18"/>
      <c r="Q179" s="18"/>
      <c r="R179" s="18"/>
      <c r="S179" s="18"/>
      <c r="T179" s="18"/>
      <c r="U179" s="18"/>
      <c r="V179" s="18"/>
      <c r="W179" s="18"/>
      <c r="X179" s="18"/>
      <c r="Y179" s="18"/>
      <c r="Z179" s="18"/>
    </row>
    <row r="180" spans="4:26" x14ac:dyDescent="0.4">
      <c r="D180" s="18"/>
      <c r="E180" s="21" t="s">
        <v>495</v>
      </c>
      <c r="F180" s="21" t="s">
        <v>496</v>
      </c>
      <c r="G180" s="21" t="s">
        <v>8</v>
      </c>
      <c r="H180" s="21" t="s">
        <v>66</v>
      </c>
      <c r="I180" s="21" t="s">
        <v>86</v>
      </c>
      <c r="J180" s="21" t="s">
        <v>1</v>
      </c>
      <c r="K180" s="22">
        <v>179</v>
      </c>
      <c r="L180" s="23">
        <v>259625.18000000002</v>
      </c>
      <c r="M180" s="24">
        <v>341462.1</v>
      </c>
      <c r="N180" s="24">
        <v>189168</v>
      </c>
      <c r="O180" s="18"/>
      <c r="P180" s="18"/>
      <c r="Q180" s="18"/>
      <c r="R180" s="18"/>
      <c r="S180" s="18"/>
      <c r="T180" s="18"/>
      <c r="U180" s="18"/>
      <c r="V180" s="18"/>
      <c r="W180" s="18"/>
      <c r="X180" s="18"/>
      <c r="Y180" s="18"/>
      <c r="Z180" s="18"/>
    </row>
    <row r="181" spans="4:26" x14ac:dyDescent="0.4">
      <c r="D181" s="18"/>
      <c r="E181" s="21" t="s">
        <v>497</v>
      </c>
      <c r="F181" s="21" t="s">
        <v>16</v>
      </c>
      <c r="G181" s="21" t="s">
        <v>2</v>
      </c>
      <c r="H181" s="21" t="s">
        <v>132</v>
      </c>
      <c r="I181" s="21" t="s">
        <v>78</v>
      </c>
      <c r="J181" s="21" t="s">
        <v>1</v>
      </c>
      <c r="K181" s="22">
        <v>96</v>
      </c>
      <c r="L181" s="23">
        <v>25329.600000000002</v>
      </c>
      <c r="M181" s="24">
        <v>68879.28</v>
      </c>
      <c r="N181" s="24">
        <v>40119.629999999997</v>
      </c>
      <c r="O181" s="18"/>
      <c r="P181" s="18"/>
      <c r="Q181" s="18"/>
      <c r="R181" s="18"/>
      <c r="S181" s="18"/>
      <c r="T181" s="18"/>
      <c r="U181" s="18"/>
      <c r="V181" s="18"/>
      <c r="W181" s="18"/>
      <c r="X181" s="18"/>
      <c r="Y181" s="18"/>
      <c r="Z181" s="18"/>
    </row>
    <row r="182" spans="4:26" x14ac:dyDescent="0.4">
      <c r="D182" s="18"/>
      <c r="E182" s="21" t="s">
        <v>499</v>
      </c>
      <c r="F182" s="21" t="s">
        <v>310</v>
      </c>
      <c r="G182" s="21" t="s">
        <v>0</v>
      </c>
      <c r="H182" s="21" t="s">
        <v>132</v>
      </c>
      <c r="I182" s="21" t="s">
        <v>67</v>
      </c>
      <c r="J182" s="21" t="s">
        <v>1</v>
      </c>
      <c r="K182" s="22">
        <v>141</v>
      </c>
      <c r="L182" s="23">
        <v>170607.18</v>
      </c>
      <c r="M182" s="24">
        <v>17291.34</v>
      </c>
      <c r="N182" s="24">
        <v>10031.459999999999</v>
      </c>
      <c r="O182" s="18"/>
      <c r="P182" s="18"/>
      <c r="Q182" s="18"/>
      <c r="R182" s="18"/>
      <c r="S182" s="18"/>
      <c r="T182" s="18"/>
      <c r="U182" s="18"/>
      <c r="V182" s="18"/>
      <c r="W182" s="18"/>
      <c r="X182" s="18"/>
      <c r="Y182" s="18"/>
      <c r="Z182" s="18"/>
    </row>
    <row r="183" spans="4:26" x14ac:dyDescent="0.4">
      <c r="D183" s="18"/>
      <c r="E183" s="21" t="s">
        <v>500</v>
      </c>
      <c r="F183" s="21" t="s">
        <v>261</v>
      </c>
      <c r="G183" s="21" t="s">
        <v>7</v>
      </c>
      <c r="H183" s="21" t="s">
        <v>132</v>
      </c>
      <c r="I183" s="21" t="s">
        <v>86</v>
      </c>
      <c r="J183" s="21" t="s">
        <v>1</v>
      </c>
      <c r="K183" s="22">
        <v>100</v>
      </c>
      <c r="L183" s="23">
        <v>60516.999999999993</v>
      </c>
      <c r="M183" s="24">
        <v>81953.48</v>
      </c>
      <c r="N183" s="24">
        <v>22646.82</v>
      </c>
      <c r="O183" s="18"/>
      <c r="P183" s="18"/>
      <c r="Q183" s="18"/>
      <c r="R183" s="18"/>
      <c r="S183" s="18"/>
      <c r="T183" s="18"/>
      <c r="U183" s="18"/>
      <c r="V183" s="18"/>
      <c r="W183" s="18"/>
      <c r="X183" s="18"/>
      <c r="Y183" s="18"/>
      <c r="Z183" s="18"/>
    </row>
    <row r="184" spans="4:26" x14ac:dyDescent="0.4">
      <c r="D184" s="18"/>
      <c r="E184" s="21" t="s">
        <v>503</v>
      </c>
      <c r="F184" s="21" t="s">
        <v>273</v>
      </c>
      <c r="G184" s="21" t="s">
        <v>2</v>
      </c>
      <c r="H184" s="21" t="s">
        <v>128</v>
      </c>
      <c r="I184" s="21" t="s">
        <v>91</v>
      </c>
      <c r="J184" s="21" t="s">
        <v>1</v>
      </c>
      <c r="K184" s="22">
        <v>81</v>
      </c>
      <c r="L184" s="23">
        <v>87674.400000000009</v>
      </c>
      <c r="M184" s="24">
        <v>190179.07</v>
      </c>
      <c r="N184" s="24">
        <v>104669.47</v>
      </c>
      <c r="O184" s="18"/>
      <c r="P184" s="18"/>
      <c r="Q184" s="18"/>
      <c r="R184" s="18"/>
      <c r="S184" s="18"/>
      <c r="T184" s="18"/>
      <c r="U184" s="18"/>
      <c r="V184" s="18"/>
      <c r="W184" s="18"/>
      <c r="X184" s="18"/>
      <c r="Y184" s="18"/>
      <c r="Z184" s="18"/>
    </row>
    <row r="185" spans="4:26" x14ac:dyDescent="0.4">
      <c r="D185" s="18"/>
      <c r="E185" s="21" t="s">
        <v>504</v>
      </c>
      <c r="F185" s="21" t="s">
        <v>496</v>
      </c>
      <c r="G185" s="21" t="s">
        <v>8</v>
      </c>
      <c r="H185" s="21" t="s">
        <v>132</v>
      </c>
      <c r="I185" s="21" t="s">
        <v>73</v>
      </c>
      <c r="J185" s="21" t="s">
        <v>1</v>
      </c>
      <c r="K185" s="22">
        <v>150</v>
      </c>
      <c r="L185" s="23">
        <v>191385</v>
      </c>
      <c r="M185" s="24">
        <v>257210.57</v>
      </c>
      <c r="N185" s="24">
        <v>156414.47</v>
      </c>
      <c r="O185" s="18"/>
      <c r="P185" s="18"/>
      <c r="Q185" s="18"/>
      <c r="R185" s="18"/>
      <c r="S185" s="18"/>
      <c r="T185" s="18"/>
      <c r="U185" s="18"/>
      <c r="V185" s="18"/>
      <c r="W185" s="18"/>
      <c r="X185" s="18"/>
      <c r="Y185" s="18"/>
      <c r="Z185" s="18"/>
    </row>
    <row r="186" spans="4:26" x14ac:dyDescent="0.4">
      <c r="D186" s="18"/>
      <c r="E186" s="21" t="s">
        <v>505</v>
      </c>
      <c r="F186" s="21" t="s">
        <v>196</v>
      </c>
      <c r="G186" s="21" t="s">
        <v>7</v>
      </c>
      <c r="H186" s="21" t="s">
        <v>132</v>
      </c>
      <c r="I186" s="21" t="s">
        <v>78</v>
      </c>
      <c r="J186" s="21" t="s">
        <v>1</v>
      </c>
      <c r="K186" s="22">
        <v>59</v>
      </c>
      <c r="L186" s="23">
        <v>54143.119999999995</v>
      </c>
      <c r="M186" s="24">
        <v>89366.2</v>
      </c>
      <c r="N186" s="24">
        <v>48988.28</v>
      </c>
      <c r="O186" s="18"/>
      <c r="P186" s="18"/>
      <c r="Q186" s="18"/>
      <c r="R186" s="18"/>
      <c r="S186" s="18"/>
      <c r="T186" s="18"/>
      <c r="U186" s="18"/>
      <c r="V186" s="18"/>
      <c r="W186" s="18"/>
      <c r="X186" s="18"/>
      <c r="Y186" s="18"/>
      <c r="Z186" s="18"/>
    </row>
    <row r="187" spans="4:26" x14ac:dyDescent="0.4">
      <c r="D187" s="18"/>
      <c r="E187" s="21" t="s">
        <v>506</v>
      </c>
      <c r="F187" s="21" t="s">
        <v>71</v>
      </c>
      <c r="G187" s="21" t="s">
        <v>8</v>
      </c>
      <c r="H187" s="21" t="s">
        <v>96</v>
      </c>
      <c r="I187" s="21" t="s">
        <v>78</v>
      </c>
      <c r="J187" s="21" t="s">
        <v>1</v>
      </c>
      <c r="K187" s="22">
        <v>133</v>
      </c>
      <c r="L187" s="23">
        <v>138865.29999999999</v>
      </c>
      <c r="M187" s="24">
        <v>251322.5</v>
      </c>
      <c r="N187" s="24">
        <v>152133</v>
      </c>
      <c r="O187" s="18"/>
      <c r="P187" s="18"/>
      <c r="Q187" s="18"/>
      <c r="R187" s="18"/>
      <c r="S187" s="18"/>
      <c r="T187" s="18"/>
      <c r="U187" s="18"/>
      <c r="V187" s="18"/>
      <c r="W187" s="18"/>
      <c r="X187" s="18"/>
      <c r="Y187" s="18"/>
      <c r="Z187" s="18"/>
    </row>
    <row r="188" spans="4:26" x14ac:dyDescent="0.4">
      <c r="D188" s="18"/>
      <c r="E188" s="21" t="s">
        <v>508</v>
      </c>
      <c r="F188" s="21" t="s">
        <v>103</v>
      </c>
      <c r="G188" s="21" t="s">
        <v>4</v>
      </c>
      <c r="H188" s="21" t="s">
        <v>72</v>
      </c>
      <c r="I188" s="21" t="s">
        <v>78</v>
      </c>
      <c r="J188" s="21" t="s">
        <v>1</v>
      </c>
      <c r="K188" s="22">
        <v>134</v>
      </c>
      <c r="L188" s="23">
        <v>19626.98</v>
      </c>
      <c r="M188" s="24">
        <v>6591.29</v>
      </c>
      <c r="N188" s="24">
        <v>3808.36</v>
      </c>
      <c r="O188" s="18"/>
      <c r="P188" s="18"/>
      <c r="Q188" s="18"/>
      <c r="R188" s="18"/>
      <c r="S188" s="18"/>
      <c r="T188" s="18"/>
      <c r="U188" s="18"/>
      <c r="V188" s="18"/>
      <c r="W188" s="18"/>
      <c r="X188" s="18"/>
      <c r="Y188" s="18"/>
      <c r="Z188" s="18"/>
    </row>
    <row r="189" spans="4:26" x14ac:dyDescent="0.4">
      <c r="D189" s="18"/>
      <c r="E189" s="21" t="s">
        <v>509</v>
      </c>
      <c r="F189" s="21" t="s">
        <v>31</v>
      </c>
      <c r="G189" s="21" t="s">
        <v>6</v>
      </c>
      <c r="H189" s="21" t="s">
        <v>81</v>
      </c>
      <c r="I189" s="21" t="s">
        <v>78</v>
      </c>
      <c r="J189" s="21" t="s">
        <v>1</v>
      </c>
      <c r="K189" s="22">
        <v>94</v>
      </c>
      <c r="L189" s="23">
        <v>31158.180000000004</v>
      </c>
      <c r="M189" s="24">
        <v>23646.89</v>
      </c>
      <c r="N189" s="24">
        <v>14034.26</v>
      </c>
      <c r="O189" s="18"/>
      <c r="P189" s="18"/>
      <c r="Q189" s="18"/>
      <c r="R189" s="18"/>
      <c r="S189" s="18"/>
      <c r="T189" s="18"/>
      <c r="U189" s="18"/>
      <c r="V189" s="18"/>
      <c r="W189" s="18"/>
      <c r="X189" s="18"/>
      <c r="Y189" s="18"/>
      <c r="Z189" s="18"/>
    </row>
    <row r="190" spans="4:26" x14ac:dyDescent="0.4">
      <c r="D190" s="18"/>
      <c r="E190" s="21" t="s">
        <v>511</v>
      </c>
      <c r="F190" s="21" t="s">
        <v>279</v>
      </c>
      <c r="G190" s="21" t="s">
        <v>2</v>
      </c>
      <c r="H190" s="21" t="s">
        <v>132</v>
      </c>
      <c r="I190" s="21" t="s">
        <v>67</v>
      </c>
      <c r="J190" s="21" t="s">
        <v>1</v>
      </c>
      <c r="K190" s="22">
        <v>163</v>
      </c>
      <c r="L190" s="23">
        <v>90805.67</v>
      </c>
      <c r="M190" s="24">
        <v>101030.39999999999</v>
      </c>
      <c r="N190" s="24">
        <v>29722.880000000001</v>
      </c>
      <c r="O190" s="18"/>
      <c r="P190" s="18"/>
      <c r="Q190" s="18"/>
      <c r="R190" s="18"/>
      <c r="S190" s="18"/>
      <c r="T190" s="18"/>
      <c r="U190" s="18"/>
      <c r="V190" s="18"/>
      <c r="W190" s="18"/>
      <c r="X190" s="18"/>
      <c r="Y190" s="18"/>
      <c r="Z190" s="18"/>
    </row>
    <row r="191" spans="4:26" x14ac:dyDescent="0.4">
      <c r="D191" s="18"/>
      <c r="E191" s="21" t="s">
        <v>513</v>
      </c>
      <c r="F191" s="21" t="s">
        <v>12</v>
      </c>
      <c r="G191" s="21" t="s">
        <v>0</v>
      </c>
      <c r="H191" s="21" t="s">
        <v>108</v>
      </c>
      <c r="I191" s="21" t="s">
        <v>78</v>
      </c>
      <c r="J191" s="21" t="s">
        <v>1</v>
      </c>
      <c r="K191" s="22">
        <v>144</v>
      </c>
      <c r="L191" s="23">
        <v>226558.07999999999</v>
      </c>
      <c r="M191" s="24">
        <v>356325.8</v>
      </c>
      <c r="N191" s="24">
        <v>208433.72</v>
      </c>
      <c r="O191" s="18"/>
      <c r="P191" s="18"/>
      <c r="Q191" s="18"/>
      <c r="R191" s="18"/>
      <c r="S191" s="18"/>
      <c r="T191" s="18"/>
      <c r="U191" s="18"/>
      <c r="V191" s="18"/>
      <c r="W191" s="18"/>
      <c r="X191" s="18"/>
      <c r="Y191" s="18"/>
      <c r="Z191" s="18"/>
    </row>
    <row r="192" spans="4:26" x14ac:dyDescent="0.4">
      <c r="D192" s="18"/>
      <c r="E192" s="21" t="s">
        <v>516</v>
      </c>
      <c r="F192" s="21" t="s">
        <v>172</v>
      </c>
      <c r="G192" s="21" t="s">
        <v>0</v>
      </c>
      <c r="H192" s="21" t="s">
        <v>128</v>
      </c>
      <c r="I192" s="21" t="s">
        <v>67</v>
      </c>
      <c r="J192" s="21" t="s">
        <v>1</v>
      </c>
      <c r="K192" s="22">
        <v>121</v>
      </c>
      <c r="L192" s="23">
        <v>103000.04000000001</v>
      </c>
      <c r="M192" s="24">
        <v>165707.60999999999</v>
      </c>
      <c r="N192" s="24">
        <v>105269.57</v>
      </c>
      <c r="O192" s="18"/>
      <c r="P192" s="18"/>
      <c r="Q192" s="18"/>
      <c r="R192" s="18"/>
      <c r="S192" s="18"/>
      <c r="T192" s="18"/>
      <c r="U192" s="18"/>
      <c r="V192" s="18"/>
      <c r="W192" s="18"/>
      <c r="X192" s="18"/>
      <c r="Y192" s="18"/>
      <c r="Z192" s="18"/>
    </row>
    <row r="193" spans="4:26" x14ac:dyDescent="0.4">
      <c r="D193" s="18"/>
      <c r="E193" s="21" t="s">
        <v>517</v>
      </c>
      <c r="F193" s="21" t="s">
        <v>71</v>
      </c>
      <c r="G193" s="21" t="s">
        <v>8</v>
      </c>
      <c r="H193" s="21" t="s">
        <v>132</v>
      </c>
      <c r="I193" s="21" t="s">
        <v>86</v>
      </c>
      <c r="J193" s="21" t="s">
        <v>1</v>
      </c>
      <c r="K193" s="22">
        <v>117</v>
      </c>
      <c r="L193" s="23">
        <v>228105.53999999998</v>
      </c>
      <c r="M193" s="24">
        <v>94615.2</v>
      </c>
      <c r="N193" s="24">
        <v>28328.12</v>
      </c>
      <c r="O193" s="18"/>
      <c r="P193" s="18"/>
      <c r="Q193" s="18"/>
      <c r="R193" s="18"/>
      <c r="S193" s="18"/>
      <c r="T193" s="18"/>
      <c r="U193" s="18"/>
      <c r="V193" s="18"/>
      <c r="W193" s="18"/>
      <c r="X193" s="18"/>
      <c r="Y193" s="18"/>
      <c r="Z193" s="18"/>
    </row>
    <row r="194" spans="4:26" x14ac:dyDescent="0.4">
      <c r="D194" s="18"/>
      <c r="E194" s="21" t="s">
        <v>518</v>
      </c>
      <c r="F194" s="21" t="s">
        <v>196</v>
      </c>
      <c r="G194" s="21" t="s">
        <v>7</v>
      </c>
      <c r="H194" s="21" t="s">
        <v>72</v>
      </c>
      <c r="I194" s="21" t="s">
        <v>86</v>
      </c>
      <c r="J194" s="21" t="s">
        <v>1</v>
      </c>
      <c r="K194" s="22">
        <v>66</v>
      </c>
      <c r="L194" s="23">
        <v>32261.46</v>
      </c>
      <c r="M194" s="24">
        <v>82682</v>
      </c>
      <c r="N194" s="24">
        <v>33801</v>
      </c>
      <c r="O194" s="18"/>
      <c r="P194" s="18"/>
      <c r="Q194" s="18"/>
      <c r="R194" s="18"/>
      <c r="S194" s="18"/>
      <c r="T194" s="18"/>
      <c r="U194" s="18"/>
      <c r="V194" s="18"/>
      <c r="W194" s="18"/>
      <c r="X194" s="18"/>
      <c r="Y194" s="18"/>
      <c r="Z194" s="18"/>
    </row>
    <row r="195" spans="4:26" x14ac:dyDescent="0.4">
      <c r="D195" s="18"/>
      <c r="E195" s="21" t="s">
        <v>520</v>
      </c>
      <c r="F195" s="21" t="s">
        <v>277</v>
      </c>
      <c r="G195" s="21" t="s">
        <v>4</v>
      </c>
      <c r="H195" s="21" t="s">
        <v>108</v>
      </c>
      <c r="I195" s="21" t="s">
        <v>67</v>
      </c>
      <c r="J195" s="21" t="s">
        <v>1</v>
      </c>
      <c r="K195" s="22">
        <v>183</v>
      </c>
      <c r="L195" s="23">
        <v>353186.34</v>
      </c>
      <c r="M195" s="24">
        <v>208374.69</v>
      </c>
      <c r="N195" s="24">
        <v>79066.03</v>
      </c>
      <c r="O195" s="18"/>
      <c r="P195" s="18"/>
      <c r="Q195" s="18"/>
      <c r="R195" s="18"/>
      <c r="S195" s="18"/>
      <c r="T195" s="18"/>
      <c r="U195" s="18"/>
      <c r="V195" s="18"/>
      <c r="W195" s="18"/>
      <c r="X195" s="18"/>
      <c r="Y195" s="18"/>
      <c r="Z195" s="18"/>
    </row>
    <row r="196" spans="4:26" x14ac:dyDescent="0.4">
      <c r="D196" s="18"/>
      <c r="E196" s="21" t="s">
        <v>521</v>
      </c>
      <c r="F196" s="21" t="s">
        <v>175</v>
      </c>
      <c r="G196" s="21" t="s">
        <v>8</v>
      </c>
      <c r="H196" s="21" t="s">
        <v>96</v>
      </c>
      <c r="I196" s="21" t="s">
        <v>67</v>
      </c>
      <c r="J196" s="21" t="s">
        <v>1</v>
      </c>
      <c r="K196" s="22">
        <v>308</v>
      </c>
      <c r="L196" s="23">
        <v>30753.8</v>
      </c>
      <c r="M196" s="24">
        <v>5865.23</v>
      </c>
      <c r="N196" s="24">
        <v>3568.68</v>
      </c>
      <c r="O196" s="18"/>
      <c r="P196" s="18"/>
      <c r="Q196" s="18"/>
      <c r="R196" s="18"/>
      <c r="S196" s="18"/>
      <c r="T196" s="18"/>
      <c r="U196" s="18"/>
      <c r="V196" s="18"/>
      <c r="W196" s="18"/>
      <c r="X196" s="18"/>
      <c r="Y196" s="18"/>
      <c r="Z196" s="18"/>
    </row>
    <row r="197" spans="4:26" x14ac:dyDescent="0.4">
      <c r="D197" s="18"/>
      <c r="E197" s="21" t="s">
        <v>523</v>
      </c>
      <c r="F197" s="21" t="s">
        <v>192</v>
      </c>
      <c r="G197" s="21" t="s">
        <v>7</v>
      </c>
      <c r="H197" s="21" t="s">
        <v>81</v>
      </c>
      <c r="I197" s="21" t="s">
        <v>91</v>
      </c>
      <c r="J197" s="21" t="s">
        <v>1</v>
      </c>
      <c r="K197" s="22">
        <v>153</v>
      </c>
      <c r="L197" s="23">
        <v>81874.89</v>
      </c>
      <c r="M197" s="24">
        <v>153560.64000000001</v>
      </c>
      <c r="N197" s="24">
        <v>98442.25</v>
      </c>
      <c r="O197" s="18"/>
      <c r="P197" s="18"/>
      <c r="Q197" s="18"/>
      <c r="R197" s="18"/>
      <c r="S197" s="18"/>
      <c r="T197" s="18"/>
      <c r="U197" s="18"/>
      <c r="V197" s="18"/>
      <c r="W197" s="18"/>
      <c r="X197" s="18"/>
      <c r="Y197" s="18"/>
      <c r="Z197" s="18"/>
    </row>
    <row r="198" spans="4:26" x14ac:dyDescent="0.4">
      <c r="D198" s="18"/>
      <c r="E198" s="21" t="s">
        <v>524</v>
      </c>
      <c r="F198" s="21" t="s">
        <v>29</v>
      </c>
      <c r="G198" s="21" t="s">
        <v>6</v>
      </c>
      <c r="H198" s="21" t="s">
        <v>132</v>
      </c>
      <c r="I198" s="21" t="s">
        <v>78</v>
      </c>
      <c r="J198" s="21" t="s">
        <v>1</v>
      </c>
      <c r="K198" s="22">
        <v>406</v>
      </c>
      <c r="L198" s="23">
        <v>120496.74</v>
      </c>
      <c r="M198" s="24">
        <v>19557.5</v>
      </c>
      <c r="N198" s="24">
        <v>4718</v>
      </c>
      <c r="O198" s="18"/>
      <c r="P198" s="18"/>
      <c r="Q198" s="18"/>
      <c r="R198" s="18"/>
      <c r="S198" s="18"/>
      <c r="T198" s="18"/>
      <c r="U198" s="18"/>
      <c r="V198" s="18"/>
      <c r="W198" s="18"/>
      <c r="X198" s="18"/>
      <c r="Y198" s="18"/>
      <c r="Z198" s="18"/>
    </row>
    <row r="199" spans="4:26" x14ac:dyDescent="0.4">
      <c r="D199" s="18"/>
      <c r="E199" s="21" t="s">
        <v>531</v>
      </c>
      <c r="F199" s="21" t="s">
        <v>116</v>
      </c>
      <c r="G199" s="21" t="s">
        <v>4</v>
      </c>
      <c r="H199" s="21" t="s">
        <v>66</v>
      </c>
      <c r="I199" s="21" t="s">
        <v>91</v>
      </c>
      <c r="J199" s="21" t="s">
        <v>1</v>
      </c>
      <c r="K199" s="22">
        <v>122</v>
      </c>
      <c r="L199" s="23">
        <v>133974.30000000002</v>
      </c>
      <c r="M199" s="24">
        <v>182529.54</v>
      </c>
      <c r="N199" s="24">
        <v>92481.24</v>
      </c>
      <c r="O199" s="18"/>
      <c r="P199" s="18"/>
      <c r="Q199" s="18"/>
      <c r="R199" s="18"/>
      <c r="S199" s="18"/>
      <c r="T199" s="18"/>
      <c r="U199" s="18"/>
      <c r="V199" s="18"/>
      <c r="W199" s="18"/>
      <c r="X199" s="18"/>
      <c r="Y199" s="18"/>
      <c r="Z199" s="18"/>
    </row>
    <row r="200" spans="4:26" x14ac:dyDescent="0.4">
      <c r="D200" s="18"/>
      <c r="E200" s="21" t="s">
        <v>532</v>
      </c>
      <c r="F200" s="21" t="s">
        <v>211</v>
      </c>
      <c r="G200" s="21" t="s">
        <v>2</v>
      </c>
      <c r="H200" s="21" t="s">
        <v>132</v>
      </c>
      <c r="I200" s="21" t="s">
        <v>73</v>
      </c>
      <c r="J200" s="21" t="s">
        <v>1</v>
      </c>
      <c r="K200" s="22">
        <v>123</v>
      </c>
      <c r="L200" s="23">
        <v>67369.56</v>
      </c>
      <c r="M200" s="24">
        <v>77430.080000000002</v>
      </c>
      <c r="N200" s="24">
        <v>46757.760000000002</v>
      </c>
      <c r="O200" s="18"/>
      <c r="P200" s="18"/>
      <c r="Q200" s="18"/>
      <c r="R200" s="18"/>
      <c r="S200" s="18"/>
      <c r="T200" s="18"/>
      <c r="U200" s="18"/>
      <c r="V200" s="18"/>
      <c r="W200" s="18"/>
      <c r="X200" s="18"/>
      <c r="Y200" s="18"/>
      <c r="Z200" s="18"/>
    </row>
    <row r="201" spans="4:26" x14ac:dyDescent="0.4">
      <c r="D201" s="18"/>
      <c r="E201" s="21" t="s">
        <v>534</v>
      </c>
      <c r="F201" s="21" t="s">
        <v>279</v>
      </c>
      <c r="G201" s="21" t="s">
        <v>2</v>
      </c>
      <c r="H201" s="21" t="s">
        <v>81</v>
      </c>
      <c r="I201" s="21" t="s">
        <v>73</v>
      </c>
      <c r="J201" s="21" t="s">
        <v>1</v>
      </c>
      <c r="K201" s="22">
        <v>162</v>
      </c>
      <c r="L201" s="23">
        <v>261840.6</v>
      </c>
      <c r="M201" s="24">
        <v>341329.5</v>
      </c>
      <c r="N201" s="24">
        <v>195862.5</v>
      </c>
      <c r="O201" s="18"/>
      <c r="P201" s="18"/>
      <c r="Q201" s="18"/>
      <c r="R201" s="18"/>
      <c r="S201" s="18"/>
      <c r="T201" s="18"/>
      <c r="U201" s="18"/>
      <c r="V201" s="18"/>
      <c r="W201" s="18"/>
      <c r="X201" s="18"/>
      <c r="Y201" s="18"/>
      <c r="Z201" s="18"/>
    </row>
    <row r="202" spans="4:26" x14ac:dyDescent="0.4">
      <c r="D202" s="18"/>
      <c r="E202"/>
      <c r="F202"/>
      <c r="G202"/>
      <c r="H202"/>
      <c r="I202"/>
      <c r="J202"/>
      <c r="K202"/>
      <c r="L202"/>
      <c r="M202"/>
      <c r="N202"/>
      <c r="O202" s="18"/>
      <c r="P202" s="18"/>
      <c r="Q202" s="18"/>
      <c r="R202" s="18"/>
      <c r="S202" s="18"/>
      <c r="T202" s="18"/>
      <c r="U202" s="18"/>
      <c r="V202" s="18"/>
      <c r="W202" s="18"/>
      <c r="X202" s="18"/>
      <c r="Y202" s="18"/>
      <c r="Z202" s="18"/>
    </row>
    <row r="203" spans="4:26" x14ac:dyDescent="0.4">
      <c r="D203" s="18"/>
      <c r="E203"/>
      <c r="F203"/>
      <c r="G203"/>
      <c r="H203"/>
      <c r="I203"/>
      <c r="J203"/>
      <c r="K203"/>
      <c r="L203"/>
      <c r="M203"/>
      <c r="N203"/>
      <c r="O203" s="18"/>
      <c r="P203" s="18"/>
      <c r="Q203" s="18"/>
      <c r="R203" s="18"/>
      <c r="S203" s="18"/>
      <c r="T203" s="18"/>
      <c r="U203" s="18"/>
      <c r="V203" s="18"/>
      <c r="W203" s="18"/>
      <c r="X203" s="18"/>
      <c r="Y203" s="18"/>
      <c r="Z203" s="18"/>
    </row>
    <row r="204" spans="4:26" x14ac:dyDescent="0.4">
      <c r="D204" s="18"/>
      <c r="E204"/>
      <c r="F204"/>
      <c r="G204"/>
      <c r="H204"/>
      <c r="I204"/>
      <c r="J204"/>
      <c r="K204"/>
      <c r="L204"/>
      <c r="M204"/>
      <c r="N204"/>
      <c r="O204" s="18"/>
      <c r="P204" s="18"/>
      <c r="Q204" s="18"/>
      <c r="R204" s="18"/>
      <c r="S204" s="18"/>
      <c r="T204" s="18"/>
      <c r="U204" s="18"/>
      <c r="V204" s="18"/>
      <c r="W204" s="18"/>
      <c r="X204" s="18"/>
      <c r="Y204" s="18"/>
      <c r="Z204" s="18"/>
    </row>
    <row r="205" spans="4:26" x14ac:dyDescent="0.4">
      <c r="D205" s="18"/>
      <c r="E205"/>
      <c r="F205"/>
      <c r="G205"/>
      <c r="H205"/>
      <c r="I205"/>
      <c r="J205"/>
      <c r="K205"/>
      <c r="L205"/>
      <c r="M205"/>
      <c r="N205"/>
      <c r="O205" s="18"/>
      <c r="P205" s="18"/>
      <c r="Q205" s="18"/>
      <c r="R205" s="18"/>
      <c r="S205" s="18"/>
      <c r="T205" s="18"/>
      <c r="U205" s="18"/>
      <c r="V205" s="18"/>
      <c r="W205" s="18"/>
      <c r="X205" s="18"/>
      <c r="Y205" s="18"/>
      <c r="Z205" s="18"/>
    </row>
    <row r="206" spans="4:26" x14ac:dyDescent="0.4">
      <c r="D206" s="18"/>
      <c r="E206"/>
      <c r="F206"/>
      <c r="G206"/>
      <c r="H206"/>
      <c r="I206"/>
      <c r="J206"/>
      <c r="K206"/>
      <c r="L206"/>
      <c r="M206"/>
      <c r="N206"/>
      <c r="O206" s="18"/>
      <c r="P206" s="18"/>
      <c r="Q206" s="18"/>
      <c r="R206" s="18"/>
      <c r="S206" s="18"/>
      <c r="T206" s="18"/>
      <c r="U206" s="18"/>
      <c r="V206" s="18"/>
      <c r="W206" s="18"/>
      <c r="X206" s="18"/>
      <c r="Y206" s="18"/>
      <c r="Z206" s="18"/>
    </row>
    <row r="207" spans="4:26" x14ac:dyDescent="0.4">
      <c r="D207" s="18"/>
      <c r="E207"/>
      <c r="F207"/>
      <c r="G207"/>
      <c r="H207"/>
      <c r="I207"/>
      <c r="J207"/>
      <c r="K207"/>
      <c r="L207"/>
      <c r="M207"/>
      <c r="N207"/>
      <c r="O207" s="18"/>
      <c r="P207" s="18"/>
      <c r="Q207" s="18"/>
      <c r="R207" s="18"/>
      <c r="S207" s="18"/>
      <c r="T207" s="18"/>
      <c r="U207" s="18"/>
      <c r="V207" s="18"/>
      <c r="W207" s="18"/>
      <c r="X207" s="18"/>
      <c r="Y207" s="18"/>
      <c r="Z207" s="18"/>
    </row>
    <row r="208" spans="4:26" x14ac:dyDescent="0.4">
      <c r="D208" s="18"/>
      <c r="E208"/>
      <c r="F208"/>
      <c r="G208"/>
      <c r="H208"/>
      <c r="I208"/>
      <c r="J208"/>
      <c r="K208"/>
      <c r="L208"/>
      <c r="M208"/>
      <c r="N208"/>
      <c r="O208" s="18"/>
      <c r="P208" s="18"/>
      <c r="Q208" s="18"/>
      <c r="R208" s="18"/>
      <c r="S208" s="18"/>
      <c r="T208" s="18"/>
      <c r="U208" s="18"/>
      <c r="V208" s="18"/>
      <c r="W208" s="18"/>
      <c r="X208" s="18"/>
      <c r="Y208" s="18"/>
      <c r="Z208" s="18"/>
    </row>
    <row r="209" spans="4:26" x14ac:dyDescent="0.4">
      <c r="D209" s="18"/>
      <c r="E209"/>
      <c r="F209"/>
      <c r="G209"/>
      <c r="H209"/>
      <c r="I209"/>
      <c r="J209"/>
      <c r="K209"/>
      <c r="L209"/>
      <c r="M209"/>
      <c r="N209"/>
      <c r="O209" s="18"/>
      <c r="P209" s="18"/>
      <c r="Q209" s="18"/>
      <c r="R209" s="18"/>
      <c r="S209" s="18"/>
      <c r="T209" s="18"/>
      <c r="U209" s="18"/>
      <c r="V209" s="18"/>
      <c r="W209" s="18"/>
      <c r="X209" s="18"/>
      <c r="Y209" s="18"/>
      <c r="Z209" s="18"/>
    </row>
    <row r="210" spans="4:26" x14ac:dyDescent="0.4">
      <c r="D210" s="18"/>
      <c r="E210"/>
      <c r="F210"/>
      <c r="G210"/>
      <c r="H210"/>
      <c r="I210"/>
      <c r="J210"/>
      <c r="K210"/>
      <c r="L210"/>
      <c r="M210"/>
      <c r="N210"/>
      <c r="O210" s="18"/>
      <c r="P210" s="18"/>
      <c r="Q210" s="18"/>
      <c r="R210" s="18"/>
      <c r="S210" s="18"/>
      <c r="T210" s="18"/>
      <c r="U210" s="18"/>
      <c r="V210" s="18"/>
      <c r="W210" s="18"/>
      <c r="X210" s="18"/>
      <c r="Y210" s="18"/>
      <c r="Z210" s="18"/>
    </row>
    <row r="211" spans="4:26" x14ac:dyDescent="0.4">
      <c r="D211" s="18"/>
      <c r="E211"/>
      <c r="F211"/>
      <c r="G211"/>
      <c r="H211"/>
      <c r="I211"/>
      <c r="J211"/>
      <c r="K211"/>
      <c r="L211"/>
      <c r="M211"/>
      <c r="N211"/>
      <c r="O211" s="18"/>
      <c r="P211" s="18"/>
      <c r="Q211" s="18"/>
      <c r="R211" s="18"/>
      <c r="S211" s="18"/>
      <c r="T211" s="18"/>
      <c r="U211" s="18"/>
      <c r="V211" s="18"/>
      <c r="W211" s="18"/>
      <c r="X211" s="18"/>
      <c r="Y211" s="18"/>
      <c r="Z211" s="18"/>
    </row>
    <row r="212" spans="4:26" x14ac:dyDescent="0.4">
      <c r="D212" s="18"/>
      <c r="E212"/>
      <c r="F212"/>
      <c r="G212"/>
      <c r="H212"/>
      <c r="I212"/>
      <c r="J212"/>
      <c r="K212"/>
      <c r="L212"/>
      <c r="M212"/>
      <c r="N212"/>
      <c r="O212" s="18"/>
      <c r="P212" s="18"/>
      <c r="Q212" s="18"/>
      <c r="R212" s="18"/>
      <c r="S212" s="18"/>
      <c r="T212" s="18"/>
      <c r="U212" s="18"/>
      <c r="V212" s="18"/>
      <c r="W212" s="18"/>
      <c r="X212" s="18"/>
      <c r="Y212" s="18"/>
      <c r="Z212" s="18"/>
    </row>
    <row r="213" spans="4:26" x14ac:dyDescent="0.4">
      <c r="D213" s="18"/>
      <c r="E213"/>
      <c r="F213"/>
      <c r="G213"/>
      <c r="H213"/>
      <c r="I213"/>
      <c r="J213"/>
      <c r="K213"/>
      <c r="L213"/>
      <c r="M213"/>
      <c r="N213"/>
      <c r="O213" s="18"/>
      <c r="P213" s="18"/>
      <c r="Q213" s="18"/>
      <c r="R213" s="18"/>
      <c r="S213" s="18"/>
      <c r="T213" s="18"/>
      <c r="U213" s="18"/>
      <c r="V213" s="18"/>
      <c r="W213" s="18"/>
      <c r="X213" s="18"/>
      <c r="Y213" s="18"/>
      <c r="Z213" s="18"/>
    </row>
    <row r="214" spans="4:26" x14ac:dyDescent="0.4">
      <c r="D214" s="18"/>
      <c r="E214"/>
      <c r="F214"/>
      <c r="G214"/>
      <c r="H214"/>
      <c r="I214"/>
      <c r="J214"/>
      <c r="K214"/>
      <c r="L214"/>
      <c r="M214"/>
      <c r="N214"/>
      <c r="O214" s="18"/>
      <c r="P214" s="18"/>
      <c r="Q214" s="18"/>
      <c r="R214" s="18"/>
      <c r="S214" s="18"/>
      <c r="T214" s="18"/>
      <c r="U214" s="18"/>
      <c r="V214" s="18"/>
      <c r="W214" s="18"/>
      <c r="X214" s="18"/>
      <c r="Y214" s="18"/>
      <c r="Z214" s="18"/>
    </row>
    <row r="215" spans="4:26" x14ac:dyDescent="0.4">
      <c r="D215" s="18"/>
      <c r="E215"/>
      <c r="F215"/>
      <c r="G215"/>
      <c r="H215"/>
      <c r="I215"/>
      <c r="J215"/>
      <c r="K215"/>
      <c r="L215"/>
      <c r="M215"/>
      <c r="N215"/>
      <c r="O215" s="18"/>
      <c r="P215" s="18"/>
      <c r="Q215" s="18"/>
      <c r="R215" s="18"/>
      <c r="S215" s="18"/>
      <c r="T215" s="18"/>
      <c r="U215" s="18"/>
      <c r="V215" s="18"/>
      <c r="W215" s="18"/>
      <c r="X215" s="18"/>
      <c r="Y215" s="18"/>
      <c r="Z215" s="18"/>
    </row>
    <row r="216" spans="4:26" x14ac:dyDescent="0.4">
      <c r="D216" s="18"/>
      <c r="E216"/>
      <c r="F216"/>
      <c r="G216"/>
      <c r="H216"/>
      <c r="I216"/>
      <c r="J216"/>
      <c r="K216"/>
      <c r="L216"/>
      <c r="M216"/>
      <c r="N216"/>
      <c r="O216" s="18"/>
      <c r="P216" s="18"/>
      <c r="Q216" s="18"/>
      <c r="R216" s="18"/>
      <c r="S216" s="18"/>
      <c r="T216" s="18"/>
      <c r="U216" s="18"/>
      <c r="V216" s="18"/>
      <c r="W216" s="18"/>
      <c r="X216" s="18"/>
      <c r="Y216" s="18"/>
      <c r="Z216" s="18"/>
    </row>
    <row r="217" spans="4:26" x14ac:dyDescent="0.4">
      <c r="D217" s="18"/>
      <c r="E217"/>
      <c r="F217"/>
      <c r="G217"/>
      <c r="H217"/>
      <c r="I217"/>
      <c r="J217"/>
      <c r="K217"/>
      <c r="L217"/>
      <c r="M217"/>
      <c r="N217"/>
      <c r="O217" s="18"/>
      <c r="P217" s="18"/>
      <c r="Q217" s="18"/>
      <c r="R217" s="18"/>
      <c r="S217" s="18"/>
      <c r="T217" s="18"/>
      <c r="U217" s="18"/>
      <c r="V217" s="18"/>
      <c r="W217" s="18"/>
      <c r="X217" s="18"/>
      <c r="Y217" s="18"/>
      <c r="Z217" s="18"/>
    </row>
    <row r="218" spans="4:26" x14ac:dyDescent="0.4">
      <c r="D218" s="18"/>
      <c r="E218"/>
      <c r="F218"/>
      <c r="G218"/>
      <c r="H218"/>
      <c r="I218"/>
      <c r="J218"/>
      <c r="K218"/>
      <c r="L218"/>
      <c r="M218"/>
      <c r="N218"/>
      <c r="O218" s="18"/>
      <c r="P218" s="18"/>
      <c r="Q218" s="18"/>
      <c r="R218" s="18"/>
      <c r="S218" s="18"/>
      <c r="T218" s="18"/>
      <c r="U218" s="18"/>
      <c r="V218" s="18"/>
      <c r="W218" s="18"/>
      <c r="X218" s="18"/>
      <c r="Y218" s="18"/>
      <c r="Z218" s="18"/>
    </row>
    <row r="219" spans="4:26" x14ac:dyDescent="0.4">
      <c r="D219" s="18"/>
      <c r="E219"/>
      <c r="F219"/>
      <c r="G219"/>
      <c r="H219"/>
      <c r="I219"/>
      <c r="J219"/>
      <c r="K219"/>
      <c r="L219"/>
      <c r="M219"/>
      <c r="N219"/>
      <c r="O219" s="18"/>
      <c r="P219" s="18"/>
      <c r="Q219" s="18"/>
      <c r="R219" s="18"/>
      <c r="S219" s="18"/>
      <c r="T219" s="18"/>
      <c r="U219" s="18"/>
      <c r="V219" s="18"/>
      <c r="W219" s="18"/>
      <c r="X219" s="18"/>
      <c r="Y219" s="18"/>
      <c r="Z219" s="18"/>
    </row>
    <row r="220" spans="4:26" x14ac:dyDescent="0.4">
      <c r="D220" s="18"/>
      <c r="E220"/>
      <c r="F220"/>
      <c r="G220"/>
      <c r="H220"/>
      <c r="I220"/>
      <c r="J220"/>
      <c r="K220"/>
      <c r="L220"/>
      <c r="M220"/>
      <c r="N220"/>
      <c r="O220" s="18"/>
      <c r="P220" s="18"/>
      <c r="Q220" s="18"/>
      <c r="R220" s="18"/>
      <c r="S220" s="18"/>
      <c r="T220" s="18"/>
      <c r="U220" s="18"/>
      <c r="V220" s="18"/>
      <c r="W220" s="18"/>
      <c r="X220" s="18"/>
      <c r="Y220" s="18"/>
      <c r="Z220" s="18"/>
    </row>
    <row r="221" spans="4:26" x14ac:dyDescent="0.4">
      <c r="D221" s="18"/>
      <c r="E221"/>
      <c r="F221"/>
      <c r="G221"/>
      <c r="H221"/>
      <c r="I221"/>
      <c r="J221"/>
      <c r="K221"/>
      <c r="L221"/>
      <c r="M221"/>
      <c r="N221"/>
      <c r="O221" s="18"/>
      <c r="P221" s="18"/>
      <c r="Q221" s="18"/>
      <c r="R221" s="18"/>
      <c r="S221" s="18"/>
      <c r="T221" s="18"/>
      <c r="U221" s="18"/>
      <c r="V221" s="18"/>
      <c r="W221" s="18"/>
      <c r="X221" s="18"/>
      <c r="Y221" s="18"/>
      <c r="Z221" s="18"/>
    </row>
    <row r="222" spans="4:26" x14ac:dyDescent="0.4">
      <c r="D222" s="18"/>
      <c r="E222"/>
      <c r="F222"/>
      <c r="G222"/>
      <c r="H222"/>
      <c r="I222"/>
      <c r="J222"/>
      <c r="K222"/>
      <c r="L222"/>
      <c r="M222"/>
      <c r="N222"/>
      <c r="O222" s="18"/>
      <c r="P222" s="18"/>
      <c r="Q222" s="18"/>
      <c r="R222" s="18"/>
      <c r="S222" s="18"/>
      <c r="T222" s="18"/>
      <c r="U222" s="18"/>
      <c r="V222" s="18"/>
      <c r="W222" s="18"/>
      <c r="X222" s="18"/>
      <c r="Y222" s="18"/>
      <c r="Z222" s="18"/>
    </row>
    <row r="223" spans="4:26" x14ac:dyDescent="0.4">
      <c r="D223" s="18"/>
      <c r="E223"/>
      <c r="F223"/>
      <c r="G223"/>
      <c r="H223"/>
      <c r="I223"/>
      <c r="J223"/>
      <c r="K223"/>
      <c r="L223"/>
      <c r="M223"/>
      <c r="N223"/>
      <c r="O223" s="18"/>
      <c r="P223" s="18"/>
      <c r="Q223" s="18"/>
      <c r="R223" s="18"/>
      <c r="S223" s="18"/>
      <c r="T223" s="18"/>
      <c r="U223" s="18"/>
      <c r="V223" s="18"/>
      <c r="W223" s="18"/>
      <c r="X223" s="18"/>
      <c r="Y223" s="18"/>
      <c r="Z223" s="18"/>
    </row>
    <row r="224" spans="4:26" x14ac:dyDescent="0.4">
      <c r="D224" s="18"/>
      <c r="E224"/>
      <c r="F224"/>
      <c r="G224"/>
      <c r="H224"/>
      <c r="I224"/>
      <c r="J224"/>
      <c r="K224"/>
      <c r="L224"/>
      <c r="M224"/>
      <c r="N224"/>
      <c r="O224" s="18"/>
      <c r="P224" s="18"/>
      <c r="Q224" s="18"/>
      <c r="R224" s="18"/>
      <c r="S224" s="18"/>
      <c r="T224" s="18"/>
      <c r="U224" s="18"/>
      <c r="V224" s="18"/>
      <c r="W224" s="18"/>
      <c r="X224" s="18"/>
      <c r="Y224" s="18"/>
      <c r="Z224" s="18"/>
    </row>
    <row r="225" spans="4:26" x14ac:dyDescent="0.4">
      <c r="D225" s="18"/>
      <c r="E225"/>
      <c r="F225"/>
      <c r="G225"/>
      <c r="H225"/>
      <c r="I225"/>
      <c r="J225"/>
      <c r="K225"/>
      <c r="L225"/>
      <c r="M225"/>
      <c r="N225"/>
      <c r="O225" s="18"/>
      <c r="P225" s="18"/>
      <c r="Q225" s="18"/>
      <c r="R225" s="18"/>
      <c r="S225" s="18"/>
      <c r="T225" s="18"/>
      <c r="U225" s="18"/>
      <c r="V225" s="18"/>
      <c r="W225" s="18"/>
      <c r="X225" s="18"/>
      <c r="Y225" s="18"/>
      <c r="Z225" s="18"/>
    </row>
    <row r="226" spans="4:26" x14ac:dyDescent="0.4">
      <c r="D226" s="18"/>
      <c r="E226"/>
      <c r="F226"/>
      <c r="G226"/>
      <c r="H226"/>
      <c r="I226"/>
      <c r="J226"/>
      <c r="K226"/>
      <c r="L226"/>
      <c r="M226"/>
      <c r="N226"/>
      <c r="O226" s="18"/>
      <c r="P226" s="18"/>
      <c r="Q226" s="18"/>
      <c r="R226" s="18"/>
      <c r="S226" s="18"/>
      <c r="T226" s="18"/>
      <c r="U226" s="18"/>
      <c r="V226" s="18"/>
      <c r="W226" s="18"/>
      <c r="X226" s="18"/>
      <c r="Y226" s="18"/>
      <c r="Z226" s="18"/>
    </row>
    <row r="227" spans="4:26" x14ac:dyDescent="0.4">
      <c r="D227" s="18"/>
      <c r="E227"/>
      <c r="F227"/>
      <c r="G227"/>
      <c r="H227"/>
      <c r="I227"/>
      <c r="J227"/>
      <c r="K227"/>
      <c r="L227"/>
      <c r="M227"/>
      <c r="N227"/>
      <c r="O227" s="18"/>
      <c r="P227" s="18"/>
      <c r="Q227" s="18"/>
      <c r="R227" s="18"/>
      <c r="S227" s="18"/>
      <c r="T227" s="18"/>
      <c r="U227" s="18"/>
      <c r="V227" s="18"/>
      <c r="W227" s="18"/>
      <c r="X227" s="18"/>
      <c r="Y227" s="18"/>
      <c r="Z227" s="18"/>
    </row>
    <row r="228" spans="4:26" x14ac:dyDescent="0.4">
      <c r="D228" s="18"/>
      <c r="E228"/>
      <c r="F228"/>
      <c r="G228"/>
      <c r="H228"/>
      <c r="I228"/>
      <c r="J228"/>
      <c r="K228"/>
      <c r="L228"/>
      <c r="M228"/>
      <c r="N228"/>
      <c r="O228" s="18"/>
      <c r="P228" s="18"/>
      <c r="Q228" s="18"/>
      <c r="R228" s="18"/>
      <c r="S228" s="18"/>
      <c r="T228" s="18"/>
      <c r="U228" s="18"/>
      <c r="V228" s="18"/>
      <c r="W228" s="18"/>
      <c r="X228" s="18"/>
      <c r="Y228" s="18"/>
      <c r="Z228" s="18"/>
    </row>
    <row r="229" spans="4:26" x14ac:dyDescent="0.4">
      <c r="D229" s="18"/>
      <c r="E229"/>
      <c r="F229"/>
      <c r="G229"/>
      <c r="H229"/>
      <c r="I229"/>
      <c r="J229"/>
      <c r="K229"/>
      <c r="L229"/>
      <c r="M229"/>
      <c r="N229"/>
      <c r="O229" s="18"/>
      <c r="P229" s="18"/>
      <c r="Q229" s="18"/>
      <c r="R229" s="18"/>
      <c r="S229" s="18"/>
      <c r="T229" s="18"/>
      <c r="U229" s="18"/>
      <c r="V229" s="18"/>
      <c r="W229" s="18"/>
      <c r="X229" s="18"/>
      <c r="Y229" s="18"/>
      <c r="Z229" s="18"/>
    </row>
    <row r="230" spans="4:26" x14ac:dyDescent="0.4">
      <c r="D230" s="18"/>
      <c r="E230"/>
      <c r="F230"/>
      <c r="G230"/>
      <c r="H230"/>
      <c r="I230"/>
      <c r="J230"/>
      <c r="K230"/>
      <c r="L230"/>
      <c r="M230"/>
      <c r="N230"/>
      <c r="O230" s="18"/>
      <c r="P230" s="18"/>
      <c r="Q230" s="18"/>
      <c r="R230" s="18"/>
      <c r="S230" s="18"/>
      <c r="T230" s="18"/>
      <c r="U230" s="18"/>
      <c r="V230" s="18"/>
      <c r="W230" s="18"/>
      <c r="X230" s="18"/>
      <c r="Y230" s="18"/>
      <c r="Z230" s="18"/>
    </row>
    <row r="231" spans="4:26" x14ac:dyDescent="0.4">
      <c r="D231" s="18"/>
      <c r="E231"/>
      <c r="F231"/>
      <c r="G231"/>
      <c r="H231"/>
      <c r="I231"/>
      <c r="J231"/>
      <c r="K231"/>
      <c r="L231"/>
      <c r="M231"/>
      <c r="N231"/>
      <c r="O231" s="18"/>
      <c r="P231" s="18"/>
      <c r="Q231" s="18"/>
      <c r="R231" s="18"/>
      <c r="S231" s="18"/>
      <c r="T231" s="18"/>
      <c r="U231" s="18"/>
      <c r="V231" s="18"/>
      <c r="W231" s="18"/>
      <c r="X231" s="18"/>
      <c r="Y231" s="18"/>
      <c r="Z231" s="18"/>
    </row>
    <row r="232" spans="4:26" x14ac:dyDescent="0.4">
      <c r="D232" s="18"/>
      <c r="E232"/>
      <c r="F232"/>
      <c r="G232"/>
      <c r="H232"/>
      <c r="I232"/>
      <c r="J232"/>
      <c r="K232"/>
      <c r="L232"/>
      <c r="M232"/>
      <c r="N232"/>
      <c r="O232" s="18"/>
      <c r="P232" s="18"/>
      <c r="Q232" s="18"/>
      <c r="R232" s="18"/>
      <c r="S232" s="18"/>
      <c r="T232" s="18"/>
      <c r="U232" s="18"/>
      <c r="V232" s="18"/>
      <c r="W232" s="18"/>
      <c r="X232" s="18"/>
      <c r="Y232" s="18"/>
      <c r="Z232" s="18"/>
    </row>
    <row r="233" spans="4:26" x14ac:dyDescent="0.4">
      <c r="D233" s="18"/>
      <c r="E233"/>
      <c r="F233"/>
      <c r="G233"/>
      <c r="H233"/>
      <c r="I233"/>
      <c r="J233"/>
      <c r="K233"/>
      <c r="L233"/>
      <c r="M233"/>
      <c r="N233"/>
      <c r="O233" s="18"/>
      <c r="P233" s="18"/>
      <c r="Q233" s="18"/>
      <c r="R233" s="18"/>
      <c r="S233" s="18"/>
      <c r="T233" s="18"/>
      <c r="U233" s="18"/>
      <c r="V233" s="18"/>
      <c r="W233" s="18"/>
      <c r="X233" s="18"/>
      <c r="Y233" s="18"/>
      <c r="Z233" s="18"/>
    </row>
    <row r="234" spans="4:26" x14ac:dyDescent="0.4">
      <c r="D234" s="18"/>
      <c r="E234"/>
      <c r="F234"/>
      <c r="G234"/>
      <c r="H234"/>
      <c r="I234"/>
      <c r="J234"/>
      <c r="K234"/>
      <c r="L234"/>
      <c r="M234"/>
      <c r="N234"/>
      <c r="O234" s="18"/>
      <c r="P234" s="18"/>
      <c r="Q234" s="18"/>
      <c r="R234" s="18"/>
      <c r="S234" s="18"/>
      <c r="T234" s="18"/>
      <c r="U234" s="18"/>
      <c r="V234" s="18"/>
      <c r="W234" s="18"/>
      <c r="X234" s="18"/>
      <c r="Y234" s="18"/>
      <c r="Z234" s="18"/>
    </row>
    <row r="235" spans="4:26" x14ac:dyDescent="0.4">
      <c r="D235" s="18"/>
      <c r="E235"/>
      <c r="F235"/>
      <c r="G235"/>
      <c r="H235"/>
      <c r="I235"/>
      <c r="J235"/>
      <c r="K235"/>
      <c r="L235"/>
      <c r="M235"/>
      <c r="N235"/>
      <c r="O235" s="18"/>
      <c r="P235" s="18"/>
      <c r="Q235" s="18"/>
      <c r="R235" s="18"/>
      <c r="S235" s="18"/>
      <c r="T235" s="18"/>
      <c r="U235" s="18"/>
      <c r="V235" s="18"/>
      <c r="W235" s="18"/>
      <c r="X235" s="18"/>
      <c r="Y235" s="18"/>
      <c r="Z235" s="18"/>
    </row>
    <row r="236" spans="4:26" x14ac:dyDescent="0.4">
      <c r="D236" s="18"/>
      <c r="E236"/>
      <c r="F236"/>
      <c r="G236"/>
      <c r="H236"/>
      <c r="I236"/>
      <c r="J236"/>
      <c r="K236"/>
      <c r="L236"/>
      <c r="M236"/>
      <c r="N236"/>
      <c r="O236" s="18"/>
      <c r="P236" s="18"/>
      <c r="Q236" s="18"/>
      <c r="R236" s="18"/>
      <c r="S236" s="18"/>
      <c r="T236" s="18"/>
      <c r="U236" s="18"/>
      <c r="V236" s="18"/>
      <c r="W236" s="18"/>
      <c r="X236" s="18"/>
      <c r="Y236" s="18"/>
      <c r="Z236" s="18"/>
    </row>
    <row r="237" spans="4:26" x14ac:dyDescent="0.4">
      <c r="D237" s="18"/>
      <c r="E237"/>
      <c r="F237"/>
      <c r="G237"/>
      <c r="H237"/>
      <c r="I237"/>
      <c r="J237"/>
      <c r="K237"/>
      <c r="L237"/>
      <c r="M237"/>
      <c r="N237"/>
      <c r="O237" s="18"/>
      <c r="P237" s="18"/>
      <c r="Q237" s="18"/>
      <c r="R237" s="18"/>
      <c r="S237" s="18"/>
      <c r="T237" s="18"/>
      <c r="U237" s="18"/>
      <c r="V237" s="18"/>
      <c r="W237" s="18"/>
      <c r="X237" s="18"/>
      <c r="Y237" s="18"/>
      <c r="Z237" s="18"/>
    </row>
    <row r="238" spans="4:26" x14ac:dyDescent="0.4">
      <c r="D238" s="18"/>
      <c r="E238"/>
      <c r="F238"/>
      <c r="G238"/>
      <c r="H238"/>
      <c r="I238"/>
      <c r="J238"/>
      <c r="K238"/>
      <c r="L238"/>
      <c r="M238"/>
      <c r="N238"/>
      <c r="O238" s="18"/>
      <c r="P238" s="18"/>
      <c r="Q238" s="18"/>
      <c r="R238" s="18"/>
      <c r="S238" s="18"/>
      <c r="T238" s="18"/>
      <c r="U238" s="18"/>
      <c r="V238" s="18"/>
      <c r="W238" s="18"/>
      <c r="X238" s="18"/>
      <c r="Y238" s="18"/>
      <c r="Z238" s="18"/>
    </row>
    <row r="239" spans="4:26" x14ac:dyDescent="0.4">
      <c r="D239" s="18"/>
      <c r="E239"/>
      <c r="F239"/>
      <c r="G239"/>
      <c r="H239"/>
      <c r="I239"/>
      <c r="J239"/>
      <c r="K239"/>
      <c r="L239"/>
      <c r="M239"/>
      <c r="N239"/>
      <c r="O239" s="18"/>
      <c r="P239" s="18"/>
      <c r="Q239" s="18"/>
      <c r="R239" s="18"/>
      <c r="S239" s="18"/>
      <c r="T239" s="18"/>
      <c r="U239" s="18"/>
      <c r="V239" s="18"/>
      <c r="W239" s="18"/>
      <c r="X239" s="18"/>
      <c r="Y239" s="18"/>
      <c r="Z239" s="18"/>
    </row>
    <row r="240" spans="4:26" x14ac:dyDescent="0.4">
      <c r="D240" s="18"/>
      <c r="E240"/>
      <c r="F240"/>
      <c r="G240"/>
      <c r="H240"/>
      <c r="I240"/>
      <c r="J240"/>
      <c r="K240"/>
      <c r="L240"/>
      <c r="M240"/>
      <c r="N240"/>
      <c r="O240" s="18"/>
      <c r="P240" s="18"/>
      <c r="Q240" s="18"/>
      <c r="R240" s="18"/>
      <c r="S240" s="18"/>
      <c r="T240" s="18"/>
      <c r="U240" s="18"/>
      <c r="V240" s="18"/>
      <c r="W240" s="18"/>
      <c r="X240" s="18"/>
      <c r="Y240" s="18"/>
      <c r="Z240" s="18"/>
    </row>
    <row r="241" spans="4:26" x14ac:dyDescent="0.4">
      <c r="D241" s="18"/>
      <c r="E241"/>
      <c r="F241"/>
      <c r="G241"/>
      <c r="H241"/>
      <c r="I241"/>
      <c r="J241"/>
      <c r="K241"/>
      <c r="L241"/>
      <c r="M241"/>
      <c r="N241"/>
      <c r="O241" s="18"/>
      <c r="P241" s="18"/>
      <c r="Q241" s="18"/>
      <c r="R241" s="18"/>
      <c r="S241" s="18"/>
      <c r="T241" s="18"/>
      <c r="U241" s="18"/>
      <c r="V241" s="18"/>
      <c r="W241" s="18"/>
      <c r="X241" s="18"/>
      <c r="Y241" s="18"/>
      <c r="Z241" s="18"/>
    </row>
    <row r="242" spans="4:26" x14ac:dyDescent="0.4">
      <c r="D242" s="18"/>
      <c r="E242"/>
      <c r="F242"/>
      <c r="G242"/>
      <c r="H242"/>
      <c r="I242"/>
      <c r="J242"/>
      <c r="K242"/>
      <c r="L242"/>
      <c r="M242"/>
      <c r="N242"/>
      <c r="O242" s="18"/>
      <c r="P242" s="18"/>
      <c r="Q242" s="18"/>
      <c r="R242" s="18"/>
      <c r="S242" s="18"/>
      <c r="T242" s="18"/>
      <c r="U242" s="18"/>
      <c r="V242" s="18"/>
      <c r="W242" s="18"/>
      <c r="X242" s="18"/>
      <c r="Y242" s="18"/>
      <c r="Z242" s="18"/>
    </row>
    <row r="243" spans="4:26" x14ac:dyDescent="0.4">
      <c r="D243" s="18"/>
      <c r="E243"/>
      <c r="F243"/>
      <c r="G243"/>
      <c r="H243"/>
      <c r="I243"/>
      <c r="J243"/>
      <c r="K243"/>
      <c r="L243"/>
      <c r="M243"/>
      <c r="N243"/>
      <c r="O243" s="18"/>
      <c r="P243" s="18"/>
      <c r="Q243" s="18"/>
      <c r="R243" s="18"/>
      <c r="S243" s="18"/>
      <c r="T243" s="18"/>
      <c r="U243" s="18"/>
      <c r="V243" s="18"/>
      <c r="W243" s="18"/>
      <c r="X243" s="18"/>
      <c r="Y243" s="18"/>
      <c r="Z243" s="18"/>
    </row>
    <row r="244" spans="4:26" x14ac:dyDescent="0.4">
      <c r="D244" s="18"/>
      <c r="E244"/>
      <c r="F244"/>
      <c r="G244"/>
      <c r="H244"/>
      <c r="I244"/>
      <c r="J244"/>
      <c r="K244"/>
      <c r="L244"/>
      <c r="M244"/>
      <c r="N244"/>
      <c r="O244" s="18"/>
      <c r="P244" s="18"/>
      <c r="Q244" s="18"/>
      <c r="R244" s="18"/>
      <c r="S244" s="18"/>
      <c r="T244" s="18"/>
      <c r="U244" s="18"/>
      <c r="V244" s="18"/>
      <c r="W244" s="18"/>
      <c r="X244" s="18"/>
      <c r="Y244" s="18"/>
      <c r="Z244" s="18"/>
    </row>
    <row r="245" spans="4:26" x14ac:dyDescent="0.4">
      <c r="D245" s="18"/>
      <c r="E245"/>
      <c r="F245"/>
      <c r="G245"/>
      <c r="H245"/>
      <c r="I245"/>
      <c r="J245"/>
      <c r="K245"/>
      <c r="L245"/>
      <c r="M245"/>
      <c r="N245"/>
      <c r="O245" s="18"/>
      <c r="P245" s="18"/>
      <c r="Q245" s="18"/>
      <c r="R245" s="18"/>
      <c r="S245" s="18"/>
      <c r="T245" s="18"/>
      <c r="U245" s="18"/>
      <c r="V245" s="18"/>
      <c r="W245" s="18"/>
      <c r="X245" s="18"/>
      <c r="Y245" s="18"/>
      <c r="Z245" s="18"/>
    </row>
    <row r="246" spans="4:26" x14ac:dyDescent="0.4">
      <c r="D246" s="18"/>
      <c r="E246"/>
      <c r="F246"/>
      <c r="G246"/>
      <c r="H246"/>
      <c r="I246"/>
      <c r="J246"/>
      <c r="K246"/>
      <c r="L246"/>
      <c r="M246"/>
      <c r="N246"/>
      <c r="O246" s="18"/>
      <c r="P246" s="18"/>
      <c r="Q246" s="18"/>
      <c r="R246" s="18"/>
      <c r="S246" s="18"/>
      <c r="T246" s="18"/>
      <c r="U246" s="18"/>
      <c r="V246" s="18"/>
      <c r="W246" s="18"/>
      <c r="X246" s="18"/>
      <c r="Y246" s="18"/>
      <c r="Z246" s="18"/>
    </row>
    <row r="247" spans="4:26" x14ac:dyDescent="0.4">
      <c r="D247" s="18"/>
      <c r="E247"/>
      <c r="F247"/>
      <c r="G247"/>
      <c r="H247"/>
      <c r="I247"/>
      <c r="J247"/>
      <c r="K247"/>
      <c r="L247"/>
      <c r="M247"/>
      <c r="N247"/>
      <c r="O247" s="18"/>
      <c r="P247" s="18"/>
      <c r="Q247" s="18"/>
      <c r="R247" s="18"/>
      <c r="S247" s="18"/>
      <c r="T247" s="18"/>
      <c r="U247" s="18"/>
      <c r="V247" s="18"/>
      <c r="W247" s="18"/>
      <c r="X247" s="18"/>
      <c r="Y247" s="18"/>
      <c r="Z247" s="18"/>
    </row>
    <row r="248" spans="4:26" x14ac:dyDescent="0.4">
      <c r="D248" s="18"/>
      <c r="E248"/>
      <c r="F248"/>
      <c r="G248"/>
      <c r="H248"/>
      <c r="I248"/>
      <c r="J248"/>
      <c r="K248"/>
      <c r="L248"/>
      <c r="M248"/>
      <c r="N248"/>
      <c r="O248" s="18"/>
      <c r="P248" s="18"/>
      <c r="Q248" s="18"/>
      <c r="R248" s="18"/>
      <c r="S248" s="18"/>
      <c r="T248" s="18"/>
      <c r="U248" s="18"/>
      <c r="V248" s="18"/>
      <c r="W248" s="18"/>
      <c r="X248" s="18"/>
      <c r="Y248" s="18"/>
      <c r="Z248" s="18"/>
    </row>
    <row r="249" spans="4:26" x14ac:dyDescent="0.4">
      <c r="D249" s="18"/>
      <c r="E249"/>
      <c r="F249"/>
      <c r="G249"/>
      <c r="H249"/>
      <c r="I249"/>
      <c r="J249"/>
      <c r="K249"/>
      <c r="L249"/>
      <c r="M249"/>
      <c r="N249"/>
      <c r="O249" s="18"/>
      <c r="P249" s="18"/>
      <c r="Q249" s="18"/>
      <c r="R249" s="18"/>
      <c r="S249" s="18"/>
      <c r="T249" s="18"/>
      <c r="U249" s="18"/>
      <c r="V249" s="18"/>
      <c r="W249" s="18"/>
      <c r="X249" s="18"/>
      <c r="Y249" s="18"/>
      <c r="Z249" s="18"/>
    </row>
    <row r="250" spans="4:26" x14ac:dyDescent="0.4">
      <c r="D250" s="18"/>
      <c r="E250"/>
      <c r="F250"/>
      <c r="G250"/>
      <c r="H250"/>
      <c r="I250"/>
      <c r="J250"/>
      <c r="K250"/>
      <c r="L250"/>
      <c r="M250"/>
      <c r="N250"/>
      <c r="O250" s="18"/>
      <c r="P250" s="18"/>
      <c r="Q250" s="18"/>
      <c r="R250" s="18"/>
      <c r="S250" s="18"/>
      <c r="T250" s="18"/>
      <c r="U250" s="18"/>
      <c r="V250" s="18"/>
      <c r="W250" s="18"/>
      <c r="X250" s="18"/>
      <c r="Y250" s="18"/>
      <c r="Z250" s="18"/>
    </row>
    <row r="251" spans="4:26" x14ac:dyDescent="0.4">
      <c r="D251" s="18"/>
      <c r="E251"/>
      <c r="F251"/>
      <c r="G251"/>
      <c r="H251"/>
      <c r="I251"/>
      <c r="J251"/>
      <c r="K251"/>
      <c r="L251"/>
      <c r="M251"/>
      <c r="N251"/>
      <c r="O251" s="18"/>
      <c r="P251" s="18"/>
      <c r="Q251" s="18"/>
      <c r="R251" s="18"/>
      <c r="S251" s="18"/>
      <c r="T251" s="18"/>
      <c r="U251" s="18"/>
      <c r="V251" s="18"/>
      <c r="W251" s="18"/>
      <c r="X251" s="18"/>
      <c r="Y251" s="18"/>
      <c r="Z251" s="18"/>
    </row>
    <row r="252" spans="4:26" x14ac:dyDescent="0.4">
      <c r="D252" s="18"/>
      <c r="E252"/>
      <c r="F252"/>
      <c r="G252"/>
      <c r="H252"/>
      <c r="I252"/>
      <c r="J252"/>
      <c r="K252"/>
      <c r="L252"/>
      <c r="M252"/>
      <c r="N252"/>
      <c r="O252" s="18"/>
      <c r="P252" s="18"/>
      <c r="Q252" s="18"/>
      <c r="R252" s="18"/>
      <c r="S252" s="18"/>
      <c r="T252" s="18"/>
      <c r="U252" s="18"/>
      <c r="V252" s="18"/>
      <c r="W252" s="18"/>
      <c r="X252" s="18"/>
      <c r="Y252" s="18"/>
      <c r="Z252" s="18"/>
    </row>
    <row r="253" spans="4:26" x14ac:dyDescent="0.4">
      <c r="D253" s="18"/>
      <c r="E253"/>
      <c r="F253"/>
      <c r="G253"/>
      <c r="H253"/>
      <c r="I253"/>
      <c r="J253"/>
      <c r="K253"/>
      <c r="L253"/>
      <c r="M253"/>
      <c r="N253"/>
      <c r="O253" s="18"/>
      <c r="P253" s="18"/>
      <c r="Q253" s="18"/>
      <c r="R253" s="18"/>
      <c r="S253" s="18"/>
      <c r="T253" s="18"/>
      <c r="U253" s="18"/>
      <c r="V253" s="18"/>
      <c r="W253" s="18"/>
      <c r="X253" s="18"/>
      <c r="Y253" s="18"/>
      <c r="Z253" s="18"/>
    </row>
    <row r="254" spans="4:26" x14ac:dyDescent="0.4">
      <c r="D254" s="18"/>
      <c r="E254"/>
      <c r="F254"/>
      <c r="G254"/>
      <c r="H254"/>
      <c r="I254"/>
      <c r="J254"/>
      <c r="K254"/>
      <c r="L254"/>
      <c r="M254"/>
      <c r="N254"/>
      <c r="O254" s="18"/>
      <c r="P254" s="18"/>
      <c r="Q254" s="18"/>
      <c r="R254" s="18"/>
      <c r="S254" s="18"/>
      <c r="T254" s="18"/>
      <c r="U254" s="18"/>
      <c r="V254" s="18"/>
      <c r="W254" s="18"/>
      <c r="X254" s="18"/>
      <c r="Y254" s="18"/>
      <c r="Z254" s="18"/>
    </row>
    <row r="255" spans="4:26" x14ac:dyDescent="0.4">
      <c r="D255" s="18"/>
      <c r="E255"/>
      <c r="F255"/>
      <c r="G255"/>
      <c r="H255"/>
      <c r="I255"/>
      <c r="J255"/>
      <c r="K255"/>
      <c r="L255"/>
      <c r="M255"/>
      <c r="N255"/>
      <c r="O255" s="18"/>
      <c r="P255" s="18"/>
      <c r="Q255" s="18"/>
      <c r="R255" s="18"/>
      <c r="S255" s="18"/>
      <c r="T255" s="18"/>
      <c r="U255" s="18"/>
      <c r="V255" s="18"/>
      <c r="W255" s="18"/>
      <c r="X255" s="18"/>
      <c r="Y255" s="18"/>
      <c r="Z255" s="18"/>
    </row>
    <row r="256" spans="4:26" x14ac:dyDescent="0.4">
      <c r="D256" s="18"/>
      <c r="E256"/>
      <c r="F256"/>
      <c r="G256"/>
      <c r="H256"/>
      <c r="I256"/>
      <c r="J256"/>
      <c r="K256"/>
      <c r="L256"/>
      <c r="M256"/>
      <c r="N256"/>
      <c r="O256" s="18"/>
      <c r="P256" s="18"/>
      <c r="Q256" s="18"/>
      <c r="R256" s="18"/>
      <c r="S256" s="18"/>
      <c r="T256" s="18"/>
      <c r="U256" s="18"/>
      <c r="V256" s="18"/>
      <c r="W256" s="18"/>
      <c r="X256" s="18"/>
      <c r="Y256" s="18"/>
      <c r="Z256" s="18"/>
    </row>
    <row r="257" spans="4:26" x14ac:dyDescent="0.4">
      <c r="D257" s="18"/>
      <c r="E257"/>
      <c r="F257"/>
      <c r="G257"/>
      <c r="H257"/>
      <c r="I257"/>
      <c r="J257"/>
      <c r="K257"/>
      <c r="L257"/>
      <c r="M257"/>
      <c r="N257"/>
      <c r="O257" s="18"/>
      <c r="P257" s="18"/>
      <c r="Q257" s="18"/>
      <c r="R257" s="18"/>
      <c r="S257" s="18"/>
      <c r="T257" s="18"/>
      <c r="U257" s="18"/>
      <c r="V257" s="18"/>
      <c r="W257" s="18"/>
      <c r="X257" s="18"/>
      <c r="Y257" s="18"/>
      <c r="Z257" s="18"/>
    </row>
    <row r="258" spans="4:26" x14ac:dyDescent="0.4">
      <c r="D258" s="18"/>
      <c r="E258"/>
      <c r="F258"/>
      <c r="G258"/>
      <c r="H258"/>
      <c r="I258"/>
      <c r="J258"/>
      <c r="K258"/>
      <c r="L258"/>
      <c r="M258"/>
      <c r="N258"/>
      <c r="O258" s="18"/>
      <c r="P258" s="18"/>
      <c r="Q258" s="18"/>
      <c r="R258" s="18"/>
      <c r="S258" s="18"/>
      <c r="T258" s="18"/>
      <c r="U258" s="18"/>
      <c r="V258" s="18"/>
      <c r="W258" s="18"/>
      <c r="X258" s="18"/>
      <c r="Y258" s="18"/>
      <c r="Z258" s="18"/>
    </row>
    <row r="259" spans="4:26" x14ac:dyDescent="0.4">
      <c r="D259" s="18"/>
      <c r="E259"/>
      <c r="F259"/>
      <c r="G259"/>
      <c r="H259"/>
      <c r="I259"/>
      <c r="J259"/>
      <c r="K259"/>
      <c r="L259"/>
      <c r="M259"/>
      <c r="N259"/>
      <c r="O259" s="18"/>
      <c r="P259" s="18"/>
      <c r="Q259" s="18"/>
      <c r="R259" s="18"/>
      <c r="S259" s="18"/>
      <c r="T259" s="18"/>
      <c r="U259" s="18"/>
      <c r="V259" s="18"/>
      <c r="W259" s="18"/>
      <c r="X259" s="18"/>
      <c r="Y259" s="18"/>
      <c r="Z259" s="18"/>
    </row>
    <row r="260" spans="4:26" x14ac:dyDescent="0.4">
      <c r="D260" s="18"/>
      <c r="E260"/>
      <c r="F260"/>
      <c r="G260"/>
      <c r="H260"/>
      <c r="I260"/>
      <c r="J260"/>
      <c r="K260"/>
      <c r="L260"/>
      <c r="M260"/>
      <c r="N260"/>
      <c r="O260" s="18"/>
      <c r="P260" s="18"/>
      <c r="Q260" s="18"/>
      <c r="R260" s="18"/>
      <c r="S260" s="18"/>
      <c r="T260" s="18"/>
      <c r="U260" s="18"/>
      <c r="V260" s="18"/>
      <c r="W260" s="18"/>
      <c r="X260" s="18"/>
      <c r="Y260" s="18"/>
      <c r="Z260" s="18"/>
    </row>
    <row r="261" spans="4:26" x14ac:dyDescent="0.4">
      <c r="D261" s="18"/>
      <c r="E261"/>
      <c r="F261"/>
      <c r="G261"/>
      <c r="H261"/>
      <c r="I261"/>
      <c r="J261"/>
      <c r="K261"/>
      <c r="L261"/>
      <c r="M261"/>
      <c r="N261"/>
      <c r="O261" s="18"/>
      <c r="P261" s="18"/>
      <c r="Q261" s="18"/>
      <c r="R261" s="18"/>
      <c r="S261" s="18"/>
      <c r="T261" s="18"/>
      <c r="U261" s="18"/>
      <c r="V261" s="18"/>
      <c r="W261" s="18"/>
      <c r="X261" s="18"/>
      <c r="Y261" s="18"/>
      <c r="Z261" s="18"/>
    </row>
    <row r="262" spans="4:26" x14ac:dyDescent="0.4">
      <c r="D262" s="18"/>
      <c r="E262"/>
      <c r="F262"/>
      <c r="G262"/>
      <c r="H262"/>
      <c r="I262"/>
      <c r="J262"/>
      <c r="K262"/>
      <c r="L262"/>
      <c r="M262"/>
      <c r="N262"/>
      <c r="O262" s="18"/>
      <c r="P262" s="18"/>
      <c r="Q262" s="18"/>
      <c r="R262" s="18"/>
      <c r="S262" s="18"/>
      <c r="T262" s="18"/>
      <c r="U262" s="18"/>
      <c r="V262" s="18"/>
      <c r="W262" s="18"/>
      <c r="X262" s="18"/>
      <c r="Y262" s="18"/>
      <c r="Z262" s="18"/>
    </row>
    <row r="263" spans="4:26" x14ac:dyDescent="0.4">
      <c r="D263" s="18"/>
      <c r="E263"/>
      <c r="F263"/>
      <c r="G263"/>
      <c r="H263"/>
      <c r="I263"/>
      <c r="J263"/>
      <c r="K263"/>
      <c r="L263"/>
      <c r="M263"/>
      <c r="N263"/>
      <c r="O263" s="18"/>
      <c r="P263" s="18"/>
      <c r="Q263" s="18"/>
      <c r="R263" s="18"/>
      <c r="S263" s="18"/>
      <c r="T263" s="18"/>
      <c r="U263" s="18"/>
      <c r="V263" s="18"/>
      <c r="W263" s="18"/>
      <c r="X263" s="18"/>
      <c r="Y263" s="18"/>
      <c r="Z263" s="18"/>
    </row>
    <row r="264" spans="4:26" x14ac:dyDescent="0.4">
      <c r="D264" s="18"/>
      <c r="E264"/>
      <c r="F264"/>
      <c r="G264"/>
      <c r="H264"/>
      <c r="I264"/>
      <c r="J264"/>
      <c r="K264"/>
      <c r="L264"/>
      <c r="M264"/>
      <c r="N264"/>
      <c r="O264" s="18"/>
      <c r="P264" s="18"/>
      <c r="Q264" s="18"/>
      <c r="R264" s="18"/>
      <c r="S264" s="18"/>
      <c r="T264" s="18"/>
      <c r="U264" s="18"/>
      <c r="V264" s="18"/>
      <c r="W264" s="18"/>
      <c r="X264" s="18"/>
      <c r="Y264" s="18"/>
      <c r="Z264" s="18"/>
    </row>
    <row r="265" spans="4:26" x14ac:dyDescent="0.4">
      <c r="D265" s="18"/>
      <c r="E265"/>
      <c r="F265"/>
      <c r="G265"/>
      <c r="H265"/>
      <c r="I265"/>
      <c r="J265"/>
      <c r="K265"/>
      <c r="L265"/>
      <c r="M265"/>
      <c r="N265"/>
      <c r="O265" s="18"/>
      <c r="P265" s="18"/>
      <c r="Q265" s="18"/>
      <c r="R265" s="18"/>
      <c r="S265" s="18"/>
      <c r="T265" s="18"/>
      <c r="U265" s="18"/>
      <c r="V265" s="18"/>
      <c r="W265" s="18"/>
      <c r="X265" s="18"/>
      <c r="Y265" s="18"/>
      <c r="Z265" s="18"/>
    </row>
    <row r="266" spans="4:26" x14ac:dyDescent="0.4">
      <c r="D266" s="18"/>
      <c r="E266"/>
      <c r="F266"/>
      <c r="G266"/>
      <c r="H266"/>
      <c r="I266"/>
      <c r="J266"/>
      <c r="K266"/>
      <c r="L266"/>
      <c r="M266"/>
      <c r="N266"/>
      <c r="O266" s="18"/>
      <c r="P266" s="18"/>
      <c r="Q266" s="18"/>
      <c r="R266" s="18"/>
      <c r="S266" s="18"/>
      <c r="T266" s="18"/>
      <c r="U266" s="18"/>
      <c r="V266" s="18"/>
      <c r="W266" s="18"/>
      <c r="X266" s="18"/>
      <c r="Y266" s="18"/>
      <c r="Z266" s="18"/>
    </row>
    <row r="267" spans="4:26" x14ac:dyDescent="0.4">
      <c r="D267" s="18"/>
      <c r="E267"/>
      <c r="F267"/>
      <c r="G267"/>
      <c r="H267"/>
      <c r="I267"/>
      <c r="J267"/>
      <c r="K267"/>
      <c r="L267"/>
      <c r="M267"/>
      <c r="N267"/>
      <c r="O267" s="18"/>
      <c r="P267" s="18"/>
      <c r="Q267" s="18"/>
      <c r="R267" s="18"/>
      <c r="S267" s="18"/>
      <c r="T267" s="18"/>
      <c r="U267" s="18"/>
      <c r="V267" s="18"/>
      <c r="W267" s="18"/>
      <c r="X267" s="18"/>
      <c r="Y267" s="18"/>
      <c r="Z267" s="18"/>
    </row>
    <row r="268" spans="4:26" x14ac:dyDescent="0.4">
      <c r="D268" s="18"/>
      <c r="E268"/>
      <c r="F268"/>
      <c r="G268"/>
      <c r="H268"/>
      <c r="I268"/>
      <c r="J268"/>
      <c r="K268"/>
      <c r="L268"/>
      <c r="M268"/>
      <c r="N268"/>
      <c r="O268" s="18"/>
      <c r="P268" s="18"/>
      <c r="Q268" s="18"/>
      <c r="R268" s="18"/>
      <c r="S268" s="18"/>
      <c r="T268" s="18"/>
      <c r="U268" s="18"/>
      <c r="V268" s="18"/>
      <c r="W268" s="18"/>
      <c r="X268" s="18"/>
      <c r="Y268" s="18"/>
      <c r="Z268" s="18"/>
    </row>
    <row r="269" spans="4:26" x14ac:dyDescent="0.4">
      <c r="D269" s="18"/>
      <c r="E269"/>
      <c r="F269"/>
      <c r="G269"/>
      <c r="H269"/>
      <c r="I269"/>
      <c r="J269"/>
      <c r="K269"/>
      <c r="L269"/>
      <c r="M269"/>
      <c r="N269"/>
      <c r="O269" s="18"/>
      <c r="P269" s="18"/>
      <c r="Q269" s="18"/>
      <c r="R269" s="18"/>
      <c r="S269" s="18"/>
      <c r="T269" s="18"/>
      <c r="U269" s="18"/>
      <c r="V269" s="18"/>
      <c r="W269" s="18"/>
      <c r="X269" s="18"/>
      <c r="Y269" s="18"/>
      <c r="Z269" s="18"/>
    </row>
    <row r="270" spans="4:26" x14ac:dyDescent="0.4">
      <c r="D270" s="18"/>
      <c r="E270"/>
      <c r="F270"/>
      <c r="G270"/>
      <c r="H270"/>
      <c r="I270"/>
      <c r="J270"/>
      <c r="K270"/>
      <c r="L270"/>
      <c r="M270"/>
      <c r="N270"/>
      <c r="O270" s="18"/>
      <c r="P270" s="18"/>
      <c r="Q270" s="18"/>
      <c r="R270" s="18"/>
      <c r="S270" s="18"/>
      <c r="T270" s="18"/>
      <c r="U270" s="18"/>
      <c r="V270" s="18"/>
      <c r="W270" s="18"/>
      <c r="X270" s="18"/>
      <c r="Y270" s="18"/>
      <c r="Z270" s="18"/>
    </row>
    <row r="271" spans="4:26" x14ac:dyDescent="0.4">
      <c r="D271" s="18"/>
      <c r="E271"/>
      <c r="F271"/>
      <c r="G271"/>
      <c r="H271"/>
      <c r="I271"/>
      <c r="J271"/>
      <c r="K271"/>
      <c r="L271"/>
      <c r="M271"/>
      <c r="N271"/>
      <c r="O271" s="18"/>
      <c r="P271" s="18"/>
      <c r="Q271" s="18"/>
      <c r="R271" s="18"/>
      <c r="S271" s="18"/>
      <c r="T271" s="18"/>
      <c r="U271" s="18"/>
      <c r="V271" s="18"/>
      <c r="W271" s="18"/>
      <c r="X271" s="18"/>
      <c r="Y271" s="18"/>
      <c r="Z271" s="18"/>
    </row>
    <row r="272" spans="4:26" x14ac:dyDescent="0.4">
      <c r="D272" s="18"/>
      <c r="E272"/>
      <c r="F272"/>
      <c r="G272"/>
      <c r="H272"/>
      <c r="I272"/>
      <c r="J272"/>
      <c r="K272"/>
      <c r="L272"/>
      <c r="M272"/>
      <c r="N272"/>
      <c r="O272" s="18"/>
      <c r="P272" s="18"/>
      <c r="Q272" s="18"/>
      <c r="R272" s="18"/>
      <c r="S272" s="18"/>
      <c r="T272" s="18"/>
      <c r="U272" s="18"/>
      <c r="V272" s="18"/>
      <c r="W272" s="18"/>
      <c r="X272" s="18"/>
      <c r="Y272" s="18"/>
      <c r="Z272" s="18"/>
    </row>
    <row r="273" spans="4:26" x14ac:dyDescent="0.4">
      <c r="D273" s="18"/>
      <c r="E273"/>
      <c r="F273"/>
      <c r="G273"/>
      <c r="H273"/>
      <c r="I273"/>
      <c r="J273"/>
      <c r="K273"/>
      <c r="L273"/>
      <c r="M273"/>
      <c r="N273"/>
      <c r="O273" s="18"/>
      <c r="P273" s="18"/>
      <c r="Q273" s="18"/>
      <c r="R273" s="18"/>
      <c r="S273" s="18"/>
      <c r="T273" s="18"/>
      <c r="U273" s="18"/>
      <c r="V273" s="18"/>
      <c r="W273" s="18"/>
      <c r="X273" s="18"/>
      <c r="Y273" s="18"/>
      <c r="Z273" s="18"/>
    </row>
    <row r="274" spans="4:26" x14ac:dyDescent="0.4">
      <c r="D274" s="18"/>
      <c r="E274"/>
      <c r="F274"/>
      <c r="G274"/>
      <c r="H274"/>
      <c r="I274"/>
      <c r="J274"/>
      <c r="K274"/>
      <c r="L274"/>
      <c r="M274"/>
      <c r="N274"/>
      <c r="O274" s="18"/>
      <c r="P274" s="18"/>
      <c r="Q274" s="18"/>
      <c r="R274" s="18"/>
      <c r="S274" s="18"/>
      <c r="T274" s="18"/>
      <c r="U274" s="18"/>
      <c r="V274" s="18"/>
      <c r="W274" s="18"/>
      <c r="X274" s="18"/>
      <c r="Y274" s="18"/>
      <c r="Z274" s="18"/>
    </row>
    <row r="275" spans="4:26" x14ac:dyDescent="0.4">
      <c r="D275" s="18"/>
      <c r="E275"/>
      <c r="F275"/>
      <c r="G275"/>
      <c r="H275"/>
      <c r="I275"/>
      <c r="J275"/>
      <c r="K275"/>
      <c r="L275"/>
      <c r="M275"/>
      <c r="N275"/>
      <c r="O275" s="18"/>
      <c r="P275" s="18"/>
      <c r="Q275" s="18"/>
      <c r="R275" s="18"/>
      <c r="S275" s="18"/>
      <c r="T275" s="18"/>
      <c r="U275" s="18"/>
      <c r="V275" s="18"/>
      <c r="W275" s="18"/>
      <c r="X275" s="18"/>
      <c r="Y275" s="18"/>
      <c r="Z275" s="18"/>
    </row>
    <row r="276" spans="4:26" x14ac:dyDescent="0.4">
      <c r="D276" s="18"/>
      <c r="E276"/>
      <c r="F276"/>
      <c r="G276"/>
      <c r="H276"/>
      <c r="I276"/>
      <c r="J276"/>
      <c r="K276"/>
      <c r="L276"/>
      <c r="M276"/>
      <c r="N276"/>
      <c r="O276" s="18"/>
      <c r="P276" s="18"/>
      <c r="Q276" s="18"/>
      <c r="R276" s="18"/>
      <c r="S276" s="18"/>
      <c r="T276" s="18"/>
      <c r="U276" s="18"/>
      <c r="V276" s="18"/>
      <c r="W276" s="18"/>
      <c r="X276" s="18"/>
      <c r="Y276" s="18"/>
      <c r="Z276" s="18"/>
    </row>
    <row r="277" spans="4:26" x14ac:dyDescent="0.4">
      <c r="D277" s="18"/>
      <c r="E277"/>
      <c r="F277"/>
      <c r="G277"/>
      <c r="H277"/>
      <c r="I277"/>
      <c r="J277"/>
      <c r="K277"/>
      <c r="L277"/>
      <c r="M277"/>
      <c r="N277"/>
      <c r="O277" s="18"/>
      <c r="P277" s="18"/>
      <c r="Q277" s="18"/>
      <c r="R277" s="18"/>
      <c r="S277" s="18"/>
      <c r="T277" s="18"/>
      <c r="U277" s="18"/>
      <c r="V277" s="18"/>
      <c r="W277" s="18"/>
      <c r="X277" s="18"/>
      <c r="Y277" s="18"/>
      <c r="Z277" s="18"/>
    </row>
    <row r="278" spans="4:26" x14ac:dyDescent="0.4">
      <c r="D278" s="18"/>
      <c r="E278"/>
      <c r="F278"/>
      <c r="G278"/>
      <c r="H278"/>
      <c r="I278"/>
      <c r="J278"/>
      <c r="K278"/>
      <c r="L278"/>
      <c r="M278"/>
      <c r="N278"/>
      <c r="O278" s="18"/>
      <c r="P278" s="18"/>
      <c r="Q278" s="18"/>
      <c r="R278" s="18"/>
      <c r="S278" s="18"/>
      <c r="T278" s="18"/>
      <c r="U278" s="18"/>
      <c r="V278" s="18"/>
      <c r="W278" s="18"/>
      <c r="X278" s="18"/>
      <c r="Y278" s="18"/>
      <c r="Z278" s="18"/>
    </row>
    <row r="279" spans="4:26" x14ac:dyDescent="0.4">
      <c r="D279" s="18"/>
      <c r="E279"/>
      <c r="F279"/>
      <c r="G279"/>
      <c r="H279"/>
      <c r="I279"/>
      <c r="J279"/>
      <c r="K279"/>
      <c r="L279"/>
      <c r="M279"/>
      <c r="N279"/>
      <c r="O279" s="18"/>
      <c r="P279" s="18"/>
      <c r="Q279" s="18"/>
      <c r="R279" s="18"/>
      <c r="S279" s="18"/>
      <c r="T279" s="18"/>
      <c r="U279" s="18"/>
      <c r="V279" s="18"/>
      <c r="W279" s="18"/>
      <c r="X279" s="18"/>
      <c r="Y279" s="18"/>
      <c r="Z279" s="18"/>
    </row>
    <row r="280" spans="4:26" x14ac:dyDescent="0.4">
      <c r="D280" s="18"/>
      <c r="E280"/>
      <c r="F280"/>
      <c r="G280"/>
      <c r="H280"/>
      <c r="I280"/>
      <c r="J280"/>
      <c r="K280"/>
      <c r="L280"/>
      <c r="M280"/>
      <c r="N280"/>
      <c r="O280" s="18"/>
      <c r="P280" s="18"/>
      <c r="Q280" s="18"/>
      <c r="R280" s="18"/>
      <c r="S280" s="18"/>
      <c r="T280" s="18"/>
      <c r="U280" s="18"/>
      <c r="V280" s="18"/>
      <c r="W280" s="18"/>
      <c r="X280" s="18"/>
      <c r="Y280" s="18"/>
      <c r="Z280" s="18"/>
    </row>
    <row r="281" spans="4:26" x14ac:dyDescent="0.4">
      <c r="D281" s="18"/>
      <c r="E281"/>
      <c r="F281"/>
      <c r="G281"/>
      <c r="H281"/>
      <c r="I281"/>
      <c r="J281"/>
      <c r="K281"/>
      <c r="L281"/>
      <c r="M281"/>
      <c r="N281"/>
      <c r="O281" s="18"/>
      <c r="P281" s="18"/>
      <c r="Q281" s="18"/>
      <c r="R281" s="18"/>
      <c r="S281" s="18"/>
      <c r="T281" s="18"/>
      <c r="U281" s="18"/>
      <c r="V281" s="18"/>
      <c r="W281" s="18"/>
      <c r="X281" s="18"/>
      <c r="Y281" s="18"/>
      <c r="Z281" s="18"/>
    </row>
    <row r="282" spans="4:26" x14ac:dyDescent="0.4">
      <c r="D282" s="18"/>
      <c r="E282"/>
      <c r="F282"/>
      <c r="G282"/>
      <c r="H282"/>
      <c r="I282"/>
      <c r="J282"/>
      <c r="K282"/>
      <c r="L282"/>
      <c r="M282"/>
      <c r="N282"/>
      <c r="O282" s="18"/>
      <c r="P282" s="18"/>
      <c r="Q282" s="18"/>
      <c r="R282" s="18"/>
      <c r="S282" s="18"/>
      <c r="T282" s="18"/>
      <c r="U282" s="18"/>
      <c r="V282" s="18"/>
      <c r="W282" s="18"/>
      <c r="X282" s="18"/>
      <c r="Y282" s="18"/>
      <c r="Z282" s="18"/>
    </row>
    <row r="283" spans="4:26" x14ac:dyDescent="0.4">
      <c r="D283" s="18"/>
      <c r="E283"/>
      <c r="F283"/>
      <c r="G283"/>
      <c r="H283"/>
      <c r="I283"/>
      <c r="J283"/>
      <c r="K283"/>
      <c r="L283"/>
      <c r="M283"/>
      <c r="N283"/>
      <c r="O283" s="18"/>
      <c r="P283" s="18"/>
      <c r="Q283" s="18"/>
      <c r="R283" s="18"/>
      <c r="S283" s="18"/>
      <c r="T283" s="18"/>
      <c r="U283" s="18"/>
      <c r="V283" s="18"/>
      <c r="W283" s="18"/>
      <c r="X283" s="18"/>
      <c r="Y283" s="18"/>
      <c r="Z283" s="18"/>
    </row>
    <row r="284" spans="4:26" x14ac:dyDescent="0.4">
      <c r="D284" s="18"/>
      <c r="E284"/>
      <c r="F284"/>
      <c r="G284"/>
      <c r="H284"/>
      <c r="I284"/>
      <c r="J284"/>
      <c r="K284"/>
      <c r="L284"/>
      <c r="M284"/>
      <c r="N284"/>
      <c r="O284" s="18"/>
      <c r="P284" s="18"/>
      <c r="Q284" s="18"/>
      <c r="R284" s="18"/>
      <c r="S284" s="18"/>
      <c r="T284" s="18"/>
      <c r="U284" s="18"/>
      <c r="V284" s="18"/>
      <c r="W284" s="18"/>
      <c r="X284" s="18"/>
      <c r="Y284" s="18"/>
      <c r="Z284" s="18"/>
    </row>
    <row r="285" spans="4:26" x14ac:dyDescent="0.4">
      <c r="D285" s="18"/>
      <c r="E285"/>
      <c r="F285"/>
      <c r="G285"/>
      <c r="H285"/>
      <c r="I285"/>
      <c r="J285"/>
      <c r="K285"/>
      <c r="L285"/>
      <c r="M285"/>
      <c r="N285"/>
      <c r="O285" s="18"/>
      <c r="P285" s="18"/>
      <c r="Q285" s="18"/>
      <c r="R285" s="18"/>
      <c r="S285" s="18"/>
      <c r="T285" s="18"/>
      <c r="U285" s="18"/>
      <c r="V285" s="18"/>
      <c r="W285" s="18"/>
      <c r="X285" s="18"/>
      <c r="Y285" s="18"/>
      <c r="Z285" s="18"/>
    </row>
    <row r="286" spans="4:26" x14ac:dyDescent="0.4">
      <c r="D286" s="18"/>
      <c r="E286"/>
      <c r="F286"/>
      <c r="G286"/>
      <c r="H286"/>
      <c r="I286"/>
      <c r="J286"/>
      <c r="K286"/>
      <c r="L286"/>
      <c r="M286"/>
      <c r="N286"/>
      <c r="O286" s="18"/>
      <c r="P286" s="18"/>
      <c r="Q286" s="18"/>
      <c r="R286" s="18"/>
      <c r="S286" s="18"/>
      <c r="T286" s="18"/>
      <c r="U286" s="18"/>
      <c r="V286" s="18"/>
      <c r="W286" s="18"/>
      <c r="X286" s="18"/>
      <c r="Y286" s="18"/>
      <c r="Z286" s="18"/>
    </row>
    <row r="287" spans="4:26" x14ac:dyDescent="0.4">
      <c r="D287" s="18"/>
      <c r="E287"/>
      <c r="F287"/>
      <c r="G287"/>
      <c r="H287"/>
      <c r="I287"/>
      <c r="J287"/>
      <c r="K287"/>
      <c r="L287"/>
      <c r="M287"/>
      <c r="N287"/>
      <c r="O287" s="18"/>
      <c r="P287" s="18"/>
      <c r="Q287" s="18"/>
      <c r="R287" s="18"/>
      <c r="S287" s="18"/>
      <c r="T287" s="18"/>
      <c r="U287" s="18"/>
      <c r="V287" s="18"/>
      <c r="W287" s="18"/>
      <c r="X287" s="18"/>
      <c r="Y287" s="18"/>
      <c r="Z287" s="18"/>
    </row>
    <row r="288" spans="4:26" x14ac:dyDescent="0.4">
      <c r="D288" s="18"/>
      <c r="E288"/>
      <c r="F288"/>
      <c r="G288"/>
      <c r="H288"/>
      <c r="I288"/>
      <c r="J288"/>
      <c r="K288"/>
      <c r="L288"/>
      <c r="M288"/>
      <c r="N288"/>
      <c r="O288" s="18"/>
      <c r="P288" s="18"/>
      <c r="Q288" s="18"/>
      <c r="R288" s="18"/>
      <c r="S288" s="18"/>
      <c r="T288" s="18"/>
      <c r="U288" s="18"/>
      <c r="V288" s="18"/>
      <c r="W288" s="18"/>
      <c r="X288" s="18"/>
      <c r="Y288" s="18"/>
      <c r="Z288" s="18"/>
    </row>
    <row r="289" spans="4:26" x14ac:dyDescent="0.4">
      <c r="D289" s="18"/>
      <c r="E289"/>
      <c r="F289"/>
      <c r="G289"/>
      <c r="H289"/>
      <c r="I289"/>
      <c r="J289"/>
      <c r="K289"/>
      <c r="L289"/>
      <c r="M289"/>
      <c r="N289"/>
      <c r="O289" s="18"/>
      <c r="P289" s="18"/>
      <c r="Q289" s="18"/>
      <c r="R289" s="18"/>
      <c r="S289" s="18"/>
      <c r="T289" s="18"/>
      <c r="U289" s="18"/>
      <c r="V289" s="18"/>
      <c r="W289" s="18"/>
      <c r="X289" s="18"/>
      <c r="Y289" s="18"/>
      <c r="Z289" s="18"/>
    </row>
    <row r="290" spans="4:26" x14ac:dyDescent="0.4">
      <c r="D290" s="18"/>
      <c r="E290"/>
      <c r="F290"/>
      <c r="G290"/>
      <c r="H290"/>
      <c r="I290"/>
      <c r="J290"/>
      <c r="K290"/>
      <c r="L290"/>
      <c r="M290"/>
      <c r="N290"/>
      <c r="O290" s="18"/>
      <c r="P290" s="18"/>
      <c r="Q290" s="18"/>
      <c r="R290" s="18"/>
      <c r="S290" s="18"/>
      <c r="T290" s="18"/>
      <c r="U290" s="18"/>
      <c r="V290" s="18"/>
      <c r="W290" s="18"/>
      <c r="X290" s="18"/>
      <c r="Y290" s="18"/>
      <c r="Z290" s="18"/>
    </row>
    <row r="291" spans="4:26" x14ac:dyDescent="0.4">
      <c r="D291" s="18"/>
      <c r="E291"/>
      <c r="F291"/>
      <c r="G291"/>
      <c r="H291"/>
      <c r="I291"/>
      <c r="J291"/>
      <c r="K291"/>
      <c r="L291"/>
      <c r="M291"/>
      <c r="N291"/>
      <c r="O291" s="18"/>
      <c r="P291" s="18"/>
      <c r="Q291" s="18"/>
      <c r="R291" s="18"/>
      <c r="S291" s="18"/>
      <c r="T291" s="18"/>
      <c r="U291" s="18"/>
      <c r="V291" s="18"/>
      <c r="W291" s="18"/>
      <c r="X291" s="18"/>
      <c r="Y291" s="18"/>
      <c r="Z291" s="18"/>
    </row>
    <row r="292" spans="4:26" x14ac:dyDescent="0.4">
      <c r="D292" s="18"/>
      <c r="E292"/>
      <c r="F292"/>
      <c r="G292"/>
      <c r="H292"/>
      <c r="I292"/>
      <c r="J292"/>
      <c r="K292"/>
      <c r="L292"/>
      <c r="M292"/>
      <c r="N292"/>
      <c r="O292" s="18"/>
      <c r="P292" s="18"/>
      <c r="Q292" s="18"/>
      <c r="R292" s="18"/>
      <c r="S292" s="18"/>
      <c r="T292" s="18"/>
      <c r="U292" s="18"/>
      <c r="V292" s="18"/>
      <c r="W292" s="18"/>
      <c r="X292" s="18"/>
      <c r="Y292" s="18"/>
      <c r="Z292" s="18"/>
    </row>
    <row r="293" spans="4:26" x14ac:dyDescent="0.4">
      <c r="D293" s="18"/>
      <c r="E293"/>
      <c r="F293"/>
      <c r="G293"/>
      <c r="H293"/>
      <c r="I293"/>
      <c r="J293"/>
      <c r="K293"/>
      <c r="L293"/>
      <c r="M293"/>
      <c r="N293"/>
      <c r="O293" s="18"/>
      <c r="P293" s="18"/>
      <c r="Q293" s="18"/>
      <c r="R293" s="18"/>
      <c r="S293" s="18"/>
      <c r="T293" s="18"/>
      <c r="U293" s="18"/>
      <c r="V293" s="18"/>
      <c r="W293" s="18"/>
      <c r="X293" s="18"/>
      <c r="Y293" s="18"/>
      <c r="Z293" s="18"/>
    </row>
    <row r="294" spans="4:26" x14ac:dyDescent="0.4">
      <c r="D294" s="18"/>
      <c r="E294"/>
      <c r="F294"/>
      <c r="G294"/>
      <c r="H294"/>
      <c r="I294"/>
      <c r="J294"/>
      <c r="K294"/>
      <c r="L294"/>
      <c r="M294"/>
      <c r="N294"/>
      <c r="O294" s="18"/>
      <c r="P294" s="18"/>
      <c r="Q294" s="18"/>
      <c r="R294" s="18"/>
      <c r="S294" s="18"/>
      <c r="T294" s="18"/>
      <c r="U294" s="18"/>
      <c r="V294" s="18"/>
      <c r="W294" s="18"/>
      <c r="X294" s="18"/>
      <c r="Y294" s="18"/>
      <c r="Z294" s="18"/>
    </row>
    <row r="295" spans="4:26" x14ac:dyDescent="0.4">
      <c r="D295" s="18"/>
      <c r="E295"/>
      <c r="F295"/>
      <c r="G295"/>
      <c r="H295"/>
      <c r="I295"/>
      <c r="J295"/>
      <c r="K295"/>
      <c r="L295"/>
      <c r="M295"/>
      <c r="N295"/>
      <c r="O295" s="18"/>
      <c r="P295" s="18"/>
      <c r="Q295" s="18"/>
      <c r="R295" s="18"/>
      <c r="S295" s="18"/>
      <c r="T295" s="18"/>
      <c r="U295" s="18"/>
      <c r="V295" s="18"/>
      <c r="W295" s="18"/>
      <c r="X295" s="18"/>
      <c r="Y295" s="18"/>
      <c r="Z295" s="18"/>
    </row>
    <row r="296" spans="4:26" x14ac:dyDescent="0.4">
      <c r="D296" s="18"/>
      <c r="E296"/>
      <c r="F296"/>
      <c r="G296"/>
      <c r="H296"/>
      <c r="I296"/>
      <c r="J296"/>
      <c r="K296"/>
      <c r="L296"/>
      <c r="M296"/>
      <c r="N296"/>
      <c r="O296" s="18"/>
      <c r="P296" s="18"/>
      <c r="Q296" s="18"/>
      <c r="R296" s="18"/>
      <c r="S296" s="18"/>
      <c r="T296" s="18"/>
      <c r="U296" s="18"/>
      <c r="V296" s="18"/>
      <c r="W296" s="18"/>
      <c r="X296" s="18"/>
      <c r="Y296" s="18"/>
      <c r="Z296" s="18"/>
    </row>
    <row r="297" spans="4:26" x14ac:dyDescent="0.4">
      <c r="D297" s="18"/>
      <c r="E297"/>
      <c r="F297"/>
      <c r="G297"/>
      <c r="H297"/>
      <c r="I297"/>
      <c r="J297"/>
      <c r="K297"/>
      <c r="L297"/>
      <c r="M297"/>
      <c r="N297"/>
      <c r="O297" s="18"/>
      <c r="P297" s="18"/>
      <c r="Q297" s="18"/>
      <c r="R297" s="18"/>
      <c r="S297" s="18"/>
      <c r="T297" s="18"/>
      <c r="U297" s="18"/>
      <c r="V297" s="18"/>
      <c r="W297" s="18"/>
      <c r="X297" s="18"/>
      <c r="Y297" s="18"/>
      <c r="Z297" s="18"/>
    </row>
    <row r="298" spans="4:26" x14ac:dyDescent="0.4">
      <c r="D298" s="18"/>
      <c r="E298"/>
      <c r="F298"/>
      <c r="G298"/>
      <c r="H298"/>
      <c r="I298"/>
      <c r="J298"/>
      <c r="K298"/>
      <c r="L298"/>
      <c r="M298"/>
      <c r="N298"/>
      <c r="O298" s="18"/>
      <c r="P298" s="18"/>
      <c r="Q298" s="18"/>
      <c r="R298" s="18"/>
      <c r="S298" s="18"/>
      <c r="T298" s="18"/>
      <c r="U298" s="18"/>
      <c r="V298" s="18"/>
      <c r="W298" s="18"/>
      <c r="X298" s="18"/>
      <c r="Y298" s="18"/>
      <c r="Z298" s="18"/>
    </row>
    <row r="299" spans="4:26" x14ac:dyDescent="0.4">
      <c r="D299" s="18"/>
      <c r="E299"/>
      <c r="F299"/>
      <c r="G299"/>
      <c r="H299"/>
      <c r="I299"/>
      <c r="J299"/>
      <c r="K299"/>
      <c r="L299"/>
      <c r="M299"/>
      <c r="N299"/>
      <c r="O299" s="18"/>
      <c r="P299" s="18"/>
      <c r="Q299" s="18"/>
      <c r="R299" s="18"/>
      <c r="S299" s="18"/>
      <c r="T299" s="18"/>
      <c r="U299" s="18"/>
      <c r="V299" s="18"/>
      <c r="W299" s="18"/>
      <c r="X299" s="18"/>
      <c r="Y299" s="18"/>
      <c r="Z299" s="18"/>
    </row>
    <row r="300" spans="4:26" x14ac:dyDescent="0.4">
      <c r="D300" s="18"/>
      <c r="E300"/>
      <c r="F300"/>
      <c r="G300"/>
      <c r="H300"/>
      <c r="I300"/>
      <c r="J300"/>
      <c r="K300"/>
      <c r="L300"/>
      <c r="M300"/>
      <c r="N300"/>
      <c r="O300" s="18"/>
      <c r="P300" s="18"/>
      <c r="Q300" s="18"/>
      <c r="R300" s="18"/>
      <c r="S300" s="18"/>
      <c r="T300" s="18"/>
      <c r="U300" s="18"/>
      <c r="V300" s="18"/>
      <c r="W300" s="18"/>
      <c r="X300" s="18"/>
      <c r="Y300" s="18"/>
      <c r="Z300" s="18"/>
    </row>
    <row r="301" spans="4:26" x14ac:dyDescent="0.4">
      <c r="D301" s="18"/>
      <c r="E301"/>
      <c r="F301"/>
      <c r="G301"/>
      <c r="H301"/>
      <c r="I301"/>
      <c r="J301"/>
      <c r="K301"/>
      <c r="L301"/>
      <c r="M301"/>
      <c r="N301"/>
      <c r="O301" s="18"/>
      <c r="P301" s="18"/>
      <c r="Q301" s="18"/>
      <c r="R301" s="18"/>
      <c r="S301" s="18"/>
      <c r="T301" s="18"/>
      <c r="U301" s="18"/>
      <c r="V301" s="18"/>
      <c r="W301" s="18"/>
      <c r="X301" s="18"/>
      <c r="Y301" s="18"/>
      <c r="Z301" s="18"/>
    </row>
    <row r="302" spans="4:26" x14ac:dyDescent="0.4">
      <c r="D302" s="18"/>
      <c r="E302"/>
      <c r="F302"/>
      <c r="G302"/>
      <c r="H302"/>
      <c r="I302"/>
      <c r="J302"/>
      <c r="K302"/>
      <c r="L302"/>
      <c r="M302"/>
      <c r="N302"/>
      <c r="O302" s="18"/>
      <c r="P302" s="18"/>
      <c r="Q302" s="18"/>
      <c r="R302" s="18"/>
      <c r="S302" s="18"/>
      <c r="T302" s="18"/>
      <c r="U302" s="18"/>
      <c r="V302" s="18"/>
      <c r="W302" s="18"/>
      <c r="X302" s="18"/>
      <c r="Y302" s="18"/>
      <c r="Z302" s="18"/>
    </row>
    <row r="303" spans="4:26" x14ac:dyDescent="0.4">
      <c r="D303" s="18"/>
      <c r="E303"/>
      <c r="F303"/>
      <c r="G303"/>
      <c r="H303"/>
      <c r="I303"/>
      <c r="J303"/>
      <c r="K303"/>
      <c r="L303"/>
      <c r="M303"/>
      <c r="N303"/>
      <c r="O303" s="18"/>
      <c r="P303" s="18"/>
      <c r="Q303" s="18"/>
      <c r="R303" s="18"/>
      <c r="S303" s="18"/>
      <c r="T303" s="18"/>
      <c r="U303" s="18"/>
      <c r="V303" s="18"/>
      <c r="W303" s="18"/>
      <c r="X303" s="18"/>
      <c r="Y303" s="18"/>
      <c r="Z303" s="18"/>
    </row>
    <row r="304" spans="4:26" x14ac:dyDescent="0.4">
      <c r="D304" s="18"/>
      <c r="E304"/>
      <c r="F304"/>
      <c r="G304"/>
      <c r="H304"/>
      <c r="I304"/>
      <c r="J304"/>
      <c r="K304"/>
      <c r="L304"/>
      <c r="M304"/>
      <c r="N304"/>
      <c r="O304" s="18"/>
      <c r="P304" s="18"/>
      <c r="Q304" s="18"/>
      <c r="R304" s="18"/>
      <c r="S304" s="18"/>
      <c r="T304" s="18"/>
      <c r="U304" s="18"/>
      <c r="V304" s="18"/>
      <c r="W304" s="18"/>
      <c r="X304" s="18"/>
      <c r="Y304" s="18"/>
      <c r="Z304" s="18"/>
    </row>
    <row r="305" spans="4:26" x14ac:dyDescent="0.4">
      <c r="D305" s="18"/>
      <c r="E305"/>
      <c r="F305"/>
      <c r="G305"/>
      <c r="H305"/>
      <c r="I305"/>
      <c r="J305"/>
      <c r="K305"/>
      <c r="L305"/>
      <c r="M305"/>
      <c r="N305"/>
      <c r="O305" s="18"/>
      <c r="P305" s="18"/>
      <c r="Q305" s="18"/>
      <c r="R305" s="18"/>
      <c r="S305" s="18"/>
      <c r="T305" s="18"/>
      <c r="U305" s="18"/>
      <c r="V305" s="18"/>
      <c r="W305" s="18"/>
      <c r="X305" s="18"/>
      <c r="Y305" s="18"/>
      <c r="Z305" s="18"/>
    </row>
    <row r="306" spans="4:26" x14ac:dyDescent="0.4">
      <c r="D306" s="18"/>
      <c r="E306"/>
      <c r="F306"/>
      <c r="G306"/>
      <c r="H306"/>
      <c r="I306"/>
      <c r="J306"/>
      <c r="K306"/>
      <c r="L306"/>
      <c r="M306"/>
      <c r="N306"/>
      <c r="O306" s="18"/>
      <c r="P306" s="18"/>
      <c r="Q306" s="18"/>
      <c r="R306" s="18"/>
      <c r="S306" s="18"/>
      <c r="T306" s="18"/>
      <c r="U306" s="18"/>
      <c r="V306" s="18"/>
      <c r="W306" s="18"/>
      <c r="X306" s="18"/>
      <c r="Y306" s="18"/>
      <c r="Z306" s="18"/>
    </row>
    <row r="307" spans="4:26" x14ac:dyDescent="0.4">
      <c r="D307" s="18"/>
      <c r="E307"/>
      <c r="F307"/>
      <c r="G307"/>
      <c r="H307"/>
      <c r="I307"/>
      <c r="J307"/>
      <c r="K307"/>
      <c r="L307"/>
      <c r="M307"/>
      <c r="N307"/>
      <c r="O307" s="18"/>
      <c r="P307" s="18"/>
      <c r="Q307" s="18"/>
      <c r="R307" s="18"/>
      <c r="S307" s="18"/>
      <c r="T307" s="18"/>
      <c r="U307" s="18"/>
      <c r="V307" s="18"/>
      <c r="W307" s="18"/>
      <c r="X307" s="18"/>
      <c r="Y307" s="18"/>
      <c r="Z307" s="18"/>
    </row>
    <row r="308" spans="4:26" x14ac:dyDescent="0.4">
      <c r="D308" s="18"/>
      <c r="E308"/>
      <c r="F308"/>
      <c r="G308"/>
      <c r="H308"/>
      <c r="I308"/>
      <c r="J308"/>
      <c r="K308"/>
      <c r="L308"/>
      <c r="M308"/>
      <c r="N308"/>
      <c r="O308" s="18"/>
      <c r="P308" s="18"/>
      <c r="Q308" s="18"/>
      <c r="R308" s="18"/>
      <c r="S308" s="18"/>
      <c r="T308" s="18"/>
      <c r="U308" s="18"/>
      <c r="V308" s="18"/>
      <c r="W308" s="18"/>
      <c r="X308" s="18"/>
      <c r="Y308" s="18"/>
      <c r="Z308" s="18"/>
    </row>
    <row r="309" spans="4:26" x14ac:dyDescent="0.4">
      <c r="D309" s="18"/>
      <c r="E309"/>
      <c r="F309"/>
      <c r="G309"/>
      <c r="H309"/>
      <c r="I309"/>
      <c r="J309"/>
      <c r="K309"/>
      <c r="L309"/>
      <c r="M309"/>
      <c r="N309"/>
      <c r="O309" s="18"/>
      <c r="P309" s="18"/>
      <c r="Q309" s="18"/>
      <c r="R309" s="18"/>
      <c r="S309" s="18"/>
      <c r="T309" s="18"/>
      <c r="U309" s="18"/>
      <c r="V309" s="18"/>
      <c r="W309" s="18"/>
      <c r="X309" s="18"/>
      <c r="Y309" s="18"/>
      <c r="Z309" s="18"/>
    </row>
    <row r="310" spans="4:26" x14ac:dyDescent="0.4">
      <c r="D310" s="18"/>
      <c r="E310"/>
      <c r="F310"/>
      <c r="G310"/>
      <c r="H310"/>
      <c r="I310"/>
      <c r="J310"/>
      <c r="K310"/>
      <c r="L310"/>
      <c r="M310"/>
      <c r="N310"/>
      <c r="O310" s="18"/>
      <c r="P310" s="18"/>
      <c r="Q310" s="18"/>
      <c r="R310" s="18"/>
      <c r="S310" s="18"/>
      <c r="T310" s="18"/>
      <c r="U310" s="18"/>
      <c r="V310" s="18"/>
      <c r="W310" s="18"/>
      <c r="X310" s="18"/>
      <c r="Y310" s="18"/>
      <c r="Z310" s="18"/>
    </row>
    <row r="311" spans="4:26" x14ac:dyDescent="0.4">
      <c r="D311" s="18"/>
      <c r="E311"/>
      <c r="F311"/>
      <c r="G311"/>
      <c r="H311"/>
      <c r="I311"/>
      <c r="J311"/>
      <c r="K311"/>
      <c r="L311"/>
      <c r="M311"/>
      <c r="N311"/>
      <c r="O311" s="18"/>
      <c r="P311" s="18"/>
      <c r="Q311" s="18"/>
      <c r="R311" s="18"/>
      <c r="S311" s="18"/>
      <c r="T311" s="18"/>
      <c r="U311" s="18"/>
      <c r="V311" s="18"/>
      <c r="W311" s="18"/>
      <c r="X311" s="18"/>
      <c r="Y311" s="18"/>
      <c r="Z311" s="18"/>
    </row>
    <row r="312" spans="4:26" x14ac:dyDescent="0.4">
      <c r="D312" s="18"/>
      <c r="E312"/>
      <c r="F312"/>
      <c r="G312"/>
      <c r="H312"/>
      <c r="I312"/>
      <c r="J312"/>
      <c r="K312"/>
      <c r="L312"/>
      <c r="M312"/>
      <c r="N312"/>
      <c r="O312" s="18"/>
      <c r="P312" s="18"/>
      <c r="Q312" s="18"/>
      <c r="R312" s="18"/>
      <c r="S312" s="18"/>
      <c r="T312" s="18"/>
      <c r="U312" s="18"/>
      <c r="V312" s="18"/>
      <c r="W312" s="18"/>
      <c r="X312" s="18"/>
      <c r="Y312" s="18"/>
      <c r="Z312" s="18"/>
    </row>
    <row r="313" spans="4:26" x14ac:dyDescent="0.4">
      <c r="D313" s="18"/>
      <c r="E313"/>
      <c r="F313"/>
      <c r="G313"/>
      <c r="H313"/>
      <c r="I313"/>
      <c r="J313"/>
      <c r="K313"/>
      <c r="L313"/>
      <c r="M313"/>
      <c r="N313"/>
      <c r="O313" s="18"/>
      <c r="P313" s="18"/>
      <c r="Q313" s="18"/>
      <c r="R313" s="18"/>
      <c r="S313" s="18"/>
      <c r="T313" s="18"/>
      <c r="U313" s="18"/>
      <c r="V313" s="18"/>
      <c r="W313" s="18"/>
      <c r="X313" s="18"/>
      <c r="Y313" s="18"/>
      <c r="Z313" s="18"/>
    </row>
    <row r="314" spans="4:26" x14ac:dyDescent="0.4">
      <c r="D314" s="18"/>
      <c r="E314"/>
      <c r="F314"/>
      <c r="G314"/>
      <c r="H314"/>
      <c r="I314"/>
      <c r="J314"/>
      <c r="K314"/>
      <c r="L314"/>
      <c r="M314"/>
      <c r="N314"/>
      <c r="O314" s="18"/>
      <c r="P314" s="18"/>
      <c r="Q314" s="18"/>
      <c r="R314" s="18"/>
      <c r="S314" s="18"/>
      <c r="T314" s="18"/>
      <c r="U314" s="18"/>
      <c r="V314" s="18"/>
      <c r="W314" s="18"/>
      <c r="X314" s="18"/>
      <c r="Y314" s="18"/>
      <c r="Z314" s="18"/>
    </row>
    <row r="315" spans="4:26" x14ac:dyDescent="0.4">
      <c r="D315" s="18"/>
      <c r="E315"/>
      <c r="F315"/>
      <c r="G315"/>
      <c r="H315"/>
      <c r="I315"/>
      <c r="J315"/>
      <c r="K315"/>
      <c r="L315"/>
      <c r="M315"/>
      <c r="N315"/>
      <c r="O315" s="18"/>
      <c r="P315" s="18"/>
      <c r="Q315" s="18"/>
      <c r="R315" s="18"/>
      <c r="S315" s="18"/>
      <c r="T315" s="18"/>
      <c r="U315" s="18"/>
      <c r="V315" s="18"/>
      <c r="W315" s="18"/>
      <c r="X315" s="18"/>
      <c r="Y315" s="18"/>
      <c r="Z315" s="18"/>
    </row>
    <row r="316" spans="4:26" x14ac:dyDescent="0.4">
      <c r="D316" s="18"/>
      <c r="E316"/>
      <c r="F316"/>
      <c r="G316"/>
      <c r="H316"/>
      <c r="I316"/>
      <c r="J316"/>
      <c r="K316"/>
      <c r="L316"/>
      <c r="M316"/>
      <c r="N316"/>
      <c r="O316" s="18"/>
      <c r="P316" s="18"/>
      <c r="Q316" s="18"/>
      <c r="R316" s="18"/>
      <c r="S316" s="18"/>
      <c r="T316" s="18"/>
      <c r="U316" s="18"/>
      <c r="V316" s="18"/>
      <c r="W316" s="18"/>
      <c r="X316" s="18"/>
      <c r="Y316" s="18"/>
      <c r="Z316" s="18"/>
    </row>
    <row r="317" spans="4:26" x14ac:dyDescent="0.4">
      <c r="D317" s="18"/>
      <c r="E317"/>
      <c r="F317"/>
      <c r="G317"/>
      <c r="H317"/>
      <c r="I317"/>
      <c r="J317"/>
      <c r="K317"/>
      <c r="L317"/>
      <c r="M317"/>
      <c r="N317"/>
      <c r="O317" s="18"/>
      <c r="P317" s="18"/>
      <c r="Q317" s="18"/>
      <c r="R317" s="18"/>
      <c r="S317" s="18"/>
      <c r="T317" s="18"/>
      <c r="U317" s="18"/>
      <c r="V317" s="18"/>
      <c r="W317" s="18"/>
      <c r="X317" s="18"/>
      <c r="Y317" s="18"/>
      <c r="Z317" s="18"/>
    </row>
    <row r="318" spans="4:26" x14ac:dyDescent="0.4">
      <c r="D318" s="18"/>
      <c r="E318"/>
      <c r="F318"/>
      <c r="G318"/>
      <c r="H318"/>
      <c r="I318"/>
      <c r="J318"/>
      <c r="K318"/>
      <c r="L318"/>
      <c r="M318"/>
      <c r="N318"/>
      <c r="O318" s="18"/>
      <c r="P318" s="18"/>
      <c r="Q318" s="18"/>
      <c r="R318" s="18"/>
      <c r="S318" s="18"/>
      <c r="T318" s="18"/>
      <c r="U318" s="18"/>
      <c r="V318" s="18"/>
      <c r="W318" s="18"/>
      <c r="X318" s="18"/>
      <c r="Y318" s="18"/>
      <c r="Z318" s="18"/>
    </row>
    <row r="319" spans="4:26" x14ac:dyDescent="0.4">
      <c r="D319" s="18"/>
      <c r="E319"/>
      <c r="F319"/>
      <c r="G319"/>
      <c r="H319"/>
      <c r="I319"/>
      <c r="J319"/>
      <c r="K319"/>
      <c r="L319"/>
      <c r="M319"/>
      <c r="N319"/>
      <c r="O319" s="18"/>
      <c r="P319" s="18"/>
      <c r="Q319" s="18"/>
      <c r="R319" s="18"/>
      <c r="S319" s="18"/>
      <c r="T319" s="18"/>
      <c r="U319" s="18"/>
      <c r="V319" s="18"/>
      <c r="W319" s="18"/>
      <c r="X319" s="18"/>
      <c r="Y319" s="18"/>
      <c r="Z319" s="18"/>
    </row>
    <row r="320" spans="4:26" x14ac:dyDescent="0.4">
      <c r="D320" s="18"/>
      <c r="E320"/>
      <c r="F320"/>
      <c r="G320"/>
      <c r="H320"/>
      <c r="I320"/>
      <c r="J320"/>
      <c r="K320"/>
      <c r="L320"/>
      <c r="M320"/>
      <c r="N320"/>
      <c r="O320" s="18"/>
      <c r="P320" s="18"/>
      <c r="Q320" s="18"/>
      <c r="R320" s="18"/>
      <c r="S320" s="18"/>
      <c r="T320" s="18"/>
      <c r="U320" s="18"/>
      <c r="V320" s="18"/>
      <c r="W320" s="18"/>
      <c r="X320" s="18"/>
      <c r="Y320" s="18"/>
      <c r="Z320" s="18"/>
    </row>
    <row r="321" spans="4:26" x14ac:dyDescent="0.4">
      <c r="D321" s="18"/>
      <c r="E321"/>
      <c r="F321"/>
      <c r="G321"/>
      <c r="H321"/>
      <c r="I321"/>
      <c r="J321"/>
      <c r="K321"/>
      <c r="L321"/>
      <c r="M321"/>
      <c r="N321"/>
      <c r="O321" s="18"/>
      <c r="P321" s="18"/>
      <c r="Q321" s="18"/>
      <c r="R321" s="18"/>
      <c r="S321" s="18"/>
      <c r="T321" s="18"/>
      <c r="U321" s="18"/>
      <c r="V321" s="18"/>
      <c r="W321" s="18"/>
      <c r="X321" s="18"/>
      <c r="Y321" s="18"/>
      <c r="Z321" s="18"/>
    </row>
    <row r="322" spans="4:26" x14ac:dyDescent="0.4">
      <c r="D322" s="18"/>
      <c r="E322"/>
      <c r="F322"/>
      <c r="G322"/>
      <c r="H322"/>
      <c r="I322"/>
      <c r="J322"/>
      <c r="K322"/>
      <c r="L322"/>
      <c r="M322"/>
      <c r="N322"/>
      <c r="O322" s="18"/>
      <c r="P322" s="18"/>
      <c r="Q322" s="18"/>
      <c r="R322" s="18"/>
      <c r="S322" s="18"/>
      <c r="T322" s="18"/>
      <c r="U322" s="18"/>
      <c r="V322" s="18"/>
      <c r="W322" s="18"/>
      <c r="X322" s="18"/>
      <c r="Y322" s="18"/>
      <c r="Z322" s="18"/>
    </row>
    <row r="323" spans="4:26" x14ac:dyDescent="0.4">
      <c r="D323" s="18"/>
      <c r="E323"/>
      <c r="F323"/>
      <c r="G323"/>
      <c r="H323"/>
      <c r="I323"/>
      <c r="J323"/>
      <c r="K323"/>
      <c r="L323"/>
      <c r="M323"/>
      <c r="N323"/>
      <c r="O323" s="18"/>
      <c r="P323" s="18"/>
      <c r="Q323" s="18"/>
      <c r="R323" s="18"/>
      <c r="S323" s="18"/>
      <c r="T323" s="18"/>
      <c r="U323" s="18"/>
      <c r="V323" s="18"/>
      <c r="W323" s="18"/>
      <c r="X323" s="18"/>
      <c r="Y323" s="18"/>
      <c r="Z323" s="18"/>
    </row>
    <row r="324" spans="4:26" x14ac:dyDescent="0.4">
      <c r="D324" s="18"/>
      <c r="E324"/>
      <c r="F324"/>
      <c r="G324"/>
      <c r="H324"/>
      <c r="I324"/>
      <c r="J324"/>
      <c r="K324"/>
      <c r="L324"/>
      <c r="M324"/>
      <c r="N324"/>
      <c r="O324" s="18"/>
      <c r="P324" s="18"/>
      <c r="Q324" s="18"/>
      <c r="R324" s="18"/>
      <c r="S324" s="18"/>
      <c r="T324" s="18"/>
      <c r="U324" s="18"/>
      <c r="V324" s="18"/>
      <c r="W324" s="18"/>
      <c r="X324" s="18"/>
      <c r="Y324" s="18"/>
      <c r="Z324" s="18"/>
    </row>
    <row r="325" spans="4:26" x14ac:dyDescent="0.4">
      <c r="D325" s="18"/>
      <c r="E325"/>
      <c r="F325"/>
      <c r="G325"/>
      <c r="H325"/>
      <c r="I325"/>
      <c r="J325"/>
      <c r="K325"/>
      <c r="L325"/>
      <c r="M325"/>
      <c r="N325"/>
      <c r="O325" s="18"/>
      <c r="P325" s="18"/>
      <c r="Q325" s="18"/>
      <c r="R325" s="18"/>
      <c r="S325" s="18"/>
      <c r="T325" s="18"/>
      <c r="U325" s="18"/>
      <c r="V325" s="18"/>
      <c r="W325" s="18"/>
      <c r="X325" s="18"/>
      <c r="Y325" s="18"/>
      <c r="Z325" s="18"/>
    </row>
    <row r="326" spans="4:26" x14ac:dyDescent="0.4">
      <c r="D326" s="18"/>
      <c r="E326"/>
      <c r="F326"/>
      <c r="G326"/>
      <c r="H326"/>
      <c r="I326"/>
      <c r="J326"/>
      <c r="K326"/>
      <c r="L326"/>
      <c r="M326"/>
      <c r="N326"/>
      <c r="O326" s="18"/>
      <c r="P326" s="18"/>
      <c r="Q326" s="18"/>
      <c r="R326" s="18"/>
      <c r="S326" s="18"/>
      <c r="T326" s="18"/>
      <c r="U326" s="18"/>
      <c r="V326" s="18"/>
      <c r="W326" s="18"/>
      <c r="X326" s="18"/>
      <c r="Y326" s="18"/>
      <c r="Z326" s="18"/>
    </row>
    <row r="327" spans="4:26" x14ac:dyDescent="0.4">
      <c r="D327" s="18"/>
      <c r="E327"/>
      <c r="F327"/>
      <c r="G327"/>
      <c r="H327"/>
      <c r="I327"/>
      <c r="J327"/>
      <c r="K327"/>
      <c r="L327"/>
      <c r="M327"/>
      <c r="N327"/>
      <c r="O327" s="18"/>
      <c r="P327" s="18"/>
      <c r="Q327" s="18"/>
      <c r="R327" s="18"/>
      <c r="S327" s="18"/>
      <c r="T327" s="18"/>
      <c r="U327" s="18"/>
      <c r="V327" s="18"/>
      <c r="W327" s="18"/>
      <c r="X327" s="18"/>
      <c r="Y327" s="18"/>
      <c r="Z327" s="18"/>
    </row>
    <row r="328" spans="4:26" x14ac:dyDescent="0.4">
      <c r="D328" s="18"/>
      <c r="E328"/>
      <c r="F328"/>
      <c r="G328"/>
      <c r="H328"/>
      <c r="I328"/>
      <c r="J328"/>
      <c r="K328"/>
      <c r="L328"/>
      <c r="M328"/>
      <c r="N328"/>
      <c r="O328" s="18"/>
      <c r="P328" s="18"/>
      <c r="Q328" s="18"/>
      <c r="R328" s="18"/>
      <c r="S328" s="18"/>
      <c r="T328" s="18"/>
      <c r="U328" s="18"/>
      <c r="V328" s="18"/>
      <c r="W328" s="18"/>
      <c r="X328" s="18"/>
      <c r="Y328" s="18"/>
      <c r="Z328" s="18"/>
    </row>
    <row r="329" spans="4:26" x14ac:dyDescent="0.4">
      <c r="D329" s="18"/>
      <c r="E329"/>
      <c r="F329"/>
      <c r="G329"/>
      <c r="H329"/>
      <c r="I329"/>
      <c r="J329"/>
      <c r="K329"/>
      <c r="L329"/>
      <c r="M329"/>
      <c r="N329"/>
      <c r="O329" s="18"/>
      <c r="P329" s="18"/>
      <c r="Q329" s="18"/>
      <c r="R329" s="18"/>
      <c r="S329" s="18"/>
      <c r="T329" s="18"/>
      <c r="U329" s="18"/>
      <c r="V329" s="18"/>
      <c r="W329" s="18"/>
      <c r="X329" s="18"/>
      <c r="Y329" s="18"/>
      <c r="Z329" s="18"/>
    </row>
    <row r="330" spans="4:26" x14ac:dyDescent="0.4">
      <c r="D330" s="18"/>
      <c r="E330"/>
      <c r="F330"/>
      <c r="G330"/>
      <c r="H330"/>
      <c r="I330"/>
      <c r="J330"/>
      <c r="K330"/>
      <c r="L330"/>
      <c r="M330"/>
      <c r="N330"/>
      <c r="O330" s="18"/>
      <c r="P330" s="18"/>
      <c r="Q330" s="18"/>
      <c r="R330" s="18"/>
      <c r="S330" s="18"/>
      <c r="T330" s="18"/>
      <c r="U330" s="18"/>
      <c r="V330" s="18"/>
      <c r="W330" s="18"/>
      <c r="X330" s="18"/>
      <c r="Y330" s="18"/>
      <c r="Z330" s="18"/>
    </row>
    <row r="331" spans="4:26" x14ac:dyDescent="0.4">
      <c r="D331" s="18"/>
      <c r="E331"/>
      <c r="F331"/>
      <c r="G331"/>
      <c r="H331"/>
      <c r="I331"/>
      <c r="J331"/>
      <c r="K331"/>
      <c r="L331"/>
      <c r="M331"/>
      <c r="N331"/>
      <c r="O331" s="18"/>
      <c r="P331" s="18"/>
      <c r="Q331" s="18"/>
      <c r="R331" s="18"/>
      <c r="S331" s="18"/>
      <c r="T331" s="18"/>
      <c r="U331" s="18"/>
      <c r="V331" s="18"/>
      <c r="W331" s="18"/>
      <c r="X331" s="18"/>
      <c r="Y331" s="18"/>
      <c r="Z331" s="18"/>
    </row>
    <row r="332" spans="4:26" x14ac:dyDescent="0.4">
      <c r="D332" s="18"/>
      <c r="E332"/>
      <c r="F332"/>
      <c r="G332"/>
      <c r="H332"/>
      <c r="I332"/>
      <c r="J332"/>
      <c r="K332"/>
      <c r="L332"/>
      <c r="M332"/>
      <c r="N332"/>
      <c r="O332" s="18"/>
      <c r="P332" s="18"/>
      <c r="Q332" s="18"/>
      <c r="R332" s="18"/>
      <c r="S332" s="18"/>
      <c r="T332" s="18"/>
      <c r="U332" s="18"/>
      <c r="V332" s="18"/>
      <c r="W332" s="18"/>
      <c r="X332" s="18"/>
      <c r="Y332" s="18"/>
      <c r="Z332" s="18"/>
    </row>
    <row r="333" spans="4:26" x14ac:dyDescent="0.4">
      <c r="D333" s="18"/>
      <c r="E333"/>
      <c r="F333"/>
      <c r="G333"/>
      <c r="H333"/>
      <c r="I333"/>
      <c r="J333"/>
      <c r="K333"/>
      <c r="L333"/>
      <c r="M333"/>
      <c r="N333"/>
      <c r="O333" s="18"/>
      <c r="P333" s="18"/>
      <c r="Q333" s="18"/>
      <c r="R333" s="18"/>
      <c r="S333" s="18"/>
      <c r="T333" s="18"/>
      <c r="U333" s="18"/>
      <c r="V333" s="18"/>
      <c r="W333" s="18"/>
      <c r="X333" s="18"/>
      <c r="Y333" s="18"/>
      <c r="Z333" s="18"/>
    </row>
    <row r="334" spans="4:26" x14ac:dyDescent="0.4">
      <c r="D334" s="18"/>
      <c r="E334"/>
      <c r="F334"/>
      <c r="G334"/>
      <c r="H334"/>
      <c r="I334"/>
      <c r="J334"/>
      <c r="K334"/>
      <c r="L334"/>
      <c r="M334"/>
      <c r="N334"/>
      <c r="O334" s="18"/>
      <c r="P334" s="18"/>
      <c r="Q334" s="18"/>
      <c r="R334" s="18"/>
      <c r="S334" s="18"/>
      <c r="T334" s="18"/>
      <c r="U334" s="18"/>
      <c r="V334" s="18"/>
      <c r="W334" s="18"/>
      <c r="X334" s="18"/>
      <c r="Y334" s="18"/>
      <c r="Z334" s="18"/>
    </row>
    <row r="335" spans="4:26" x14ac:dyDescent="0.4">
      <c r="D335" s="18"/>
      <c r="E335"/>
      <c r="F335"/>
      <c r="G335"/>
      <c r="H335"/>
      <c r="I335"/>
      <c r="J335"/>
      <c r="K335"/>
      <c r="L335"/>
      <c r="M335"/>
      <c r="N335"/>
      <c r="O335" s="18"/>
      <c r="P335" s="18"/>
      <c r="Q335" s="18"/>
      <c r="R335" s="18"/>
      <c r="S335" s="18"/>
      <c r="T335" s="18"/>
      <c r="U335" s="18"/>
      <c r="V335" s="18"/>
      <c r="W335" s="18"/>
      <c r="X335" s="18"/>
      <c r="Y335" s="18"/>
      <c r="Z335" s="18"/>
    </row>
    <row r="336" spans="4:26" x14ac:dyDescent="0.4">
      <c r="D336" s="18"/>
      <c r="E336"/>
      <c r="F336"/>
      <c r="G336"/>
      <c r="H336"/>
      <c r="I336"/>
      <c r="J336"/>
      <c r="K336"/>
      <c r="L336"/>
      <c r="M336"/>
      <c r="N336"/>
      <c r="O336" s="18"/>
      <c r="P336" s="18"/>
      <c r="Q336" s="18"/>
      <c r="R336" s="18"/>
      <c r="S336" s="18"/>
      <c r="T336" s="18"/>
      <c r="U336" s="18"/>
      <c r="V336" s="18"/>
      <c r="W336" s="18"/>
      <c r="X336" s="18"/>
      <c r="Y336" s="18"/>
      <c r="Z336" s="18"/>
    </row>
    <row r="337" spans="4:26" x14ac:dyDescent="0.4">
      <c r="D337" s="18"/>
      <c r="E337"/>
      <c r="F337"/>
      <c r="G337"/>
      <c r="H337"/>
      <c r="I337"/>
      <c r="J337"/>
      <c r="K337"/>
      <c r="L337"/>
      <c r="M337"/>
      <c r="N337"/>
      <c r="O337" s="18"/>
      <c r="P337" s="18"/>
      <c r="Q337" s="18"/>
      <c r="R337" s="18"/>
      <c r="S337" s="18"/>
      <c r="T337" s="18"/>
      <c r="U337" s="18"/>
      <c r="V337" s="18"/>
      <c r="W337" s="18"/>
      <c r="X337" s="18"/>
      <c r="Y337" s="18"/>
      <c r="Z337" s="18"/>
    </row>
    <row r="338" spans="4:26" x14ac:dyDescent="0.4">
      <c r="D338" s="18"/>
      <c r="E338"/>
      <c r="F338"/>
      <c r="G338"/>
      <c r="H338"/>
      <c r="I338"/>
      <c r="J338"/>
      <c r="K338"/>
      <c r="L338"/>
      <c r="M338"/>
      <c r="N338"/>
      <c r="O338" s="18"/>
      <c r="P338" s="18"/>
      <c r="Q338" s="18"/>
      <c r="R338" s="18"/>
      <c r="S338" s="18"/>
      <c r="T338" s="18"/>
      <c r="U338" s="18"/>
      <c r="V338" s="18"/>
      <c r="W338" s="18"/>
      <c r="X338" s="18"/>
      <c r="Y338" s="18"/>
      <c r="Z338" s="18"/>
    </row>
    <row r="339" spans="4:26" x14ac:dyDescent="0.4">
      <c r="E339"/>
      <c r="F339"/>
      <c r="G339"/>
      <c r="H339"/>
      <c r="I339"/>
      <c r="J339"/>
      <c r="K339"/>
      <c r="L339"/>
      <c r="M339"/>
      <c r="N339" s="17"/>
    </row>
    <row r="340" spans="4:26" x14ac:dyDescent="0.4">
      <c r="E340" s="16"/>
      <c r="F340" s="16"/>
      <c r="G340" s="16"/>
      <c r="H340" s="16"/>
      <c r="I340" s="16"/>
      <c r="J340" s="16"/>
      <c r="K340" s="16"/>
      <c r="L340" s="16"/>
      <c r="M340" s="16"/>
    </row>
    <row r="341" spans="4:26" x14ac:dyDescent="0.4">
      <c r="E341" s="16"/>
      <c r="F341" s="16"/>
      <c r="G341" s="16"/>
      <c r="H341" s="16"/>
      <c r="I341" s="16"/>
      <c r="J341" s="16"/>
      <c r="K341" s="16"/>
      <c r="L341" s="16"/>
      <c r="M341" s="16"/>
    </row>
    <row r="342" spans="4:26" x14ac:dyDescent="0.4">
      <c r="E342" s="16"/>
      <c r="F342" s="16"/>
      <c r="G342" s="16"/>
      <c r="H342" s="16"/>
      <c r="I342" s="16"/>
      <c r="J342" s="16"/>
      <c r="K342" s="16"/>
      <c r="L342" s="16"/>
      <c r="M342" s="16"/>
    </row>
    <row r="343" spans="4:26" x14ac:dyDescent="0.4">
      <c r="E343" s="16"/>
      <c r="F343" s="16"/>
      <c r="G343" s="16"/>
      <c r="H343" s="16"/>
      <c r="I343" s="16"/>
      <c r="J343" s="16"/>
      <c r="K343" s="16"/>
      <c r="L343" s="16"/>
      <c r="M343" s="16"/>
    </row>
    <row r="344" spans="4:26" x14ac:dyDescent="0.4">
      <c r="E344" s="16"/>
      <c r="F344" s="16"/>
      <c r="G344" s="16"/>
      <c r="H344" s="16"/>
      <c r="I344" s="16"/>
      <c r="J344" s="16"/>
      <c r="K344" s="16"/>
      <c r="L344" s="16"/>
      <c r="M344" s="16"/>
    </row>
    <row r="345" spans="4:26" x14ac:dyDescent="0.4">
      <c r="E345" s="16"/>
      <c r="F345" s="16"/>
      <c r="G345" s="16"/>
      <c r="H345" s="16"/>
      <c r="I345" s="16"/>
      <c r="J345" s="16"/>
      <c r="K345" s="16"/>
      <c r="L345" s="16"/>
      <c r="M345" s="16"/>
    </row>
    <row r="346" spans="4:26" x14ac:dyDescent="0.4">
      <c r="E346" s="16"/>
      <c r="F346" s="16"/>
      <c r="G346" s="16"/>
      <c r="H346" s="16"/>
      <c r="I346" s="16"/>
      <c r="J346" s="16"/>
      <c r="K346" s="16"/>
      <c r="L346" s="16"/>
      <c r="M346" s="16"/>
    </row>
    <row r="347" spans="4:26" x14ac:dyDescent="0.4">
      <c r="E347" s="16"/>
      <c r="F347" s="16"/>
      <c r="G347" s="16"/>
      <c r="H347" s="16"/>
      <c r="I347" s="16"/>
      <c r="J347" s="16"/>
      <c r="K347" s="16"/>
      <c r="L347" s="16"/>
      <c r="M347" s="16"/>
    </row>
    <row r="348" spans="4:26" x14ac:dyDescent="0.4">
      <c r="E348" s="16"/>
      <c r="F348" s="16"/>
      <c r="G348" s="16"/>
      <c r="H348" s="16"/>
      <c r="I348" s="16"/>
      <c r="J348" s="16"/>
      <c r="K348" s="16"/>
      <c r="L348" s="16"/>
      <c r="M348" s="16"/>
    </row>
    <row r="349" spans="4:26" x14ac:dyDescent="0.4">
      <c r="E349" s="16"/>
      <c r="F349" s="16"/>
      <c r="G349" s="16"/>
      <c r="H349" s="16"/>
      <c r="I349" s="16"/>
      <c r="J349" s="16"/>
      <c r="K349" s="16"/>
      <c r="L349" s="16"/>
      <c r="M349" s="16"/>
    </row>
    <row r="350" spans="4:26" x14ac:dyDescent="0.4">
      <c r="E350" s="16"/>
      <c r="F350" s="16"/>
      <c r="G350" s="16"/>
      <c r="H350" s="16"/>
      <c r="I350" s="16"/>
      <c r="J350" s="16"/>
      <c r="K350" s="16"/>
      <c r="L350" s="16"/>
      <c r="M350" s="16"/>
    </row>
    <row r="351" spans="4:26" x14ac:dyDescent="0.4">
      <c r="E351" s="16"/>
      <c r="F351" s="16"/>
      <c r="G351" s="16"/>
      <c r="H351" s="16"/>
      <c r="I351" s="16"/>
      <c r="J351" s="16"/>
      <c r="K351" s="16"/>
      <c r="L351" s="16"/>
      <c r="M351" s="16"/>
    </row>
    <row r="352" spans="4:26" x14ac:dyDescent="0.4">
      <c r="E352" s="16"/>
      <c r="F352" s="16"/>
      <c r="G352" s="16"/>
      <c r="H352" s="16"/>
      <c r="I352" s="16"/>
      <c r="J352" s="16"/>
      <c r="K352" s="16"/>
      <c r="L352" s="16"/>
      <c r="M352" s="16"/>
    </row>
    <row r="353" spans="5:13" x14ac:dyDescent="0.4">
      <c r="E353" s="16"/>
      <c r="F353" s="16"/>
      <c r="G353" s="16"/>
      <c r="H353" s="16"/>
      <c r="I353" s="16"/>
      <c r="J353" s="16"/>
      <c r="K353" s="16"/>
      <c r="L353" s="16"/>
      <c r="M353" s="16"/>
    </row>
    <row r="354" spans="5:13" x14ac:dyDescent="0.4">
      <c r="E354" s="16"/>
      <c r="F354" s="16"/>
      <c r="G354" s="16"/>
      <c r="H354" s="16"/>
      <c r="I354" s="16"/>
      <c r="J354" s="16"/>
      <c r="K354" s="16"/>
      <c r="L354" s="16"/>
      <c r="M354" s="16"/>
    </row>
    <row r="355" spans="5:13" x14ac:dyDescent="0.4">
      <c r="E355" s="16"/>
      <c r="F355" s="16"/>
      <c r="G355" s="16"/>
      <c r="H355" s="16"/>
      <c r="I355" s="16"/>
      <c r="J355" s="16"/>
      <c r="K355" s="16"/>
      <c r="L355" s="16"/>
      <c r="M355" s="16"/>
    </row>
    <row r="356" spans="5:13" x14ac:dyDescent="0.4">
      <c r="E356" s="16"/>
      <c r="F356" s="16"/>
      <c r="G356" s="16"/>
      <c r="H356" s="16"/>
      <c r="I356" s="16"/>
      <c r="J356" s="16"/>
      <c r="K356" s="16"/>
      <c r="L356" s="16"/>
      <c r="M356" s="16"/>
    </row>
    <row r="357" spans="5:13" x14ac:dyDescent="0.4">
      <c r="E357" s="16"/>
      <c r="F357" s="16"/>
      <c r="G357" s="16"/>
      <c r="H357" s="16"/>
      <c r="I357" s="16"/>
      <c r="J357" s="16"/>
      <c r="K357" s="16"/>
      <c r="L357" s="16"/>
      <c r="M357" s="16"/>
    </row>
    <row r="358" spans="5:13" x14ac:dyDescent="0.4">
      <c r="E358" s="16"/>
      <c r="F358" s="16"/>
      <c r="G358" s="16"/>
      <c r="H358" s="16"/>
      <c r="I358" s="16"/>
      <c r="J358" s="16"/>
      <c r="K358" s="16"/>
      <c r="L358" s="16"/>
      <c r="M358" s="16"/>
    </row>
    <row r="359" spans="5:13" x14ac:dyDescent="0.4">
      <c r="E359" s="16"/>
      <c r="F359" s="16"/>
      <c r="G359" s="16"/>
      <c r="H359" s="16"/>
      <c r="I359" s="16"/>
      <c r="J359" s="16"/>
      <c r="K359" s="16"/>
      <c r="L359" s="16"/>
      <c r="M359" s="16"/>
    </row>
    <row r="360" spans="5:13" x14ac:dyDescent="0.4">
      <c r="E360" s="16"/>
      <c r="F360" s="16"/>
      <c r="G360" s="16"/>
      <c r="H360" s="16"/>
      <c r="I360" s="16"/>
      <c r="J360" s="16"/>
      <c r="K360" s="16"/>
      <c r="L360" s="16"/>
      <c r="M360" s="16"/>
    </row>
    <row r="361" spans="5:13" x14ac:dyDescent="0.4">
      <c r="E361" s="16"/>
      <c r="F361" s="16"/>
      <c r="G361" s="16"/>
      <c r="H361" s="16"/>
      <c r="I361" s="16"/>
      <c r="J361" s="16"/>
      <c r="K361" s="16"/>
      <c r="L361" s="16"/>
      <c r="M361" s="16"/>
    </row>
    <row r="362" spans="5:13" x14ac:dyDescent="0.4">
      <c r="E362" s="16"/>
      <c r="F362" s="16"/>
      <c r="G362" s="16"/>
      <c r="H362" s="16"/>
      <c r="I362" s="16"/>
      <c r="J362" s="16"/>
      <c r="K362" s="16"/>
      <c r="L362" s="16"/>
      <c r="M362" s="16"/>
    </row>
    <row r="363" spans="5:13" x14ac:dyDescent="0.4">
      <c r="E363" s="16"/>
      <c r="F363" s="16"/>
      <c r="G363" s="16"/>
      <c r="H363" s="16"/>
      <c r="I363" s="16"/>
      <c r="J363" s="16"/>
      <c r="K363" s="16"/>
      <c r="L363" s="16"/>
      <c r="M363" s="16"/>
    </row>
    <row r="364" spans="5:13" x14ac:dyDescent="0.4">
      <c r="E364" s="16"/>
      <c r="F364" s="16"/>
      <c r="G364" s="16"/>
      <c r="H364" s="16"/>
      <c r="I364" s="16"/>
      <c r="J364" s="16"/>
      <c r="K364" s="16"/>
      <c r="L364" s="16"/>
      <c r="M364" s="16"/>
    </row>
    <row r="365" spans="5:13" x14ac:dyDescent="0.4">
      <c r="E365" s="16"/>
      <c r="F365" s="16"/>
      <c r="G365" s="16"/>
      <c r="H365" s="16"/>
      <c r="I365" s="16"/>
      <c r="J365" s="16"/>
      <c r="K365" s="16"/>
      <c r="L365" s="16"/>
      <c r="M365" s="16"/>
    </row>
    <row r="366" spans="5:13" x14ac:dyDescent="0.4">
      <c r="E366" s="16"/>
      <c r="F366" s="16"/>
      <c r="G366" s="16"/>
      <c r="H366" s="16"/>
      <c r="I366" s="16"/>
      <c r="J366" s="16"/>
      <c r="K366" s="16"/>
      <c r="L366" s="16"/>
      <c r="M366" s="16"/>
    </row>
    <row r="367" spans="5:13" x14ac:dyDescent="0.4">
      <c r="E367" s="16"/>
      <c r="F367" s="16"/>
      <c r="G367" s="16"/>
      <c r="H367" s="16"/>
      <c r="I367" s="16"/>
      <c r="J367" s="16"/>
      <c r="K367" s="16"/>
      <c r="L367" s="16"/>
      <c r="M367" s="16"/>
    </row>
    <row r="368" spans="5:13" x14ac:dyDescent="0.4">
      <c r="E368" s="16"/>
      <c r="F368" s="16"/>
      <c r="G368" s="16"/>
      <c r="H368" s="16"/>
      <c r="I368" s="16"/>
      <c r="J368" s="16"/>
      <c r="K368" s="16"/>
      <c r="L368" s="16"/>
      <c r="M368" s="16"/>
    </row>
    <row r="369" spans="5:13" x14ac:dyDescent="0.4">
      <c r="E369" s="16"/>
      <c r="F369" s="16"/>
      <c r="G369" s="16"/>
      <c r="H369" s="16"/>
      <c r="I369" s="16"/>
      <c r="J369" s="16"/>
      <c r="K369" s="16"/>
      <c r="L369" s="16"/>
      <c r="M369" s="16"/>
    </row>
    <row r="370" spans="5:13" x14ac:dyDescent="0.4">
      <c r="E370" s="16"/>
      <c r="F370" s="16"/>
      <c r="G370" s="16"/>
      <c r="H370" s="16"/>
      <c r="I370" s="16"/>
      <c r="J370" s="16"/>
      <c r="K370" s="16"/>
      <c r="L370" s="16"/>
      <c r="M370" s="16"/>
    </row>
    <row r="371" spans="5:13" x14ac:dyDescent="0.4">
      <c r="E371" s="16"/>
      <c r="F371" s="16"/>
      <c r="G371" s="16"/>
      <c r="H371" s="16"/>
      <c r="I371" s="16"/>
      <c r="J371" s="16"/>
      <c r="K371" s="16"/>
      <c r="L371" s="16"/>
      <c r="M371" s="16"/>
    </row>
    <row r="372" spans="5:13" x14ac:dyDescent="0.4">
      <c r="E372" s="16"/>
      <c r="F372" s="16"/>
      <c r="G372" s="16"/>
      <c r="H372" s="16"/>
      <c r="I372" s="16"/>
      <c r="J372" s="16"/>
      <c r="K372" s="16"/>
      <c r="L372" s="16"/>
      <c r="M372" s="16"/>
    </row>
    <row r="373" spans="5:13" x14ac:dyDescent="0.4">
      <c r="E373" s="16"/>
      <c r="F373" s="16"/>
      <c r="G373" s="16"/>
      <c r="H373" s="16"/>
      <c r="I373" s="16"/>
      <c r="J373" s="16"/>
      <c r="K373" s="16"/>
      <c r="L373" s="16"/>
      <c r="M373" s="16"/>
    </row>
    <row r="374" spans="5:13" x14ac:dyDescent="0.4">
      <c r="E374" s="16"/>
      <c r="F374" s="16"/>
      <c r="G374" s="16"/>
      <c r="H374" s="16"/>
      <c r="I374" s="16"/>
      <c r="J374" s="16"/>
      <c r="K374" s="16"/>
      <c r="L374" s="16"/>
      <c r="M374" s="16"/>
    </row>
    <row r="375" spans="5:13" x14ac:dyDescent="0.4">
      <c r="E375" s="16"/>
      <c r="F375" s="16"/>
      <c r="G375" s="16"/>
      <c r="H375" s="16"/>
      <c r="I375" s="16"/>
      <c r="J375" s="16"/>
      <c r="K375" s="16"/>
      <c r="L375" s="16"/>
      <c r="M375" s="16"/>
    </row>
    <row r="376" spans="5:13" x14ac:dyDescent="0.4">
      <c r="E376" s="16"/>
      <c r="F376" s="16"/>
      <c r="G376" s="16"/>
      <c r="H376" s="16"/>
      <c r="I376" s="16"/>
      <c r="J376" s="16"/>
      <c r="K376" s="16"/>
      <c r="L376" s="16"/>
      <c r="M376" s="16"/>
    </row>
    <row r="377" spans="5:13" x14ac:dyDescent="0.4">
      <c r="E377" s="16"/>
      <c r="F377" s="16"/>
      <c r="G377" s="16"/>
      <c r="H377" s="16"/>
      <c r="I377" s="16"/>
      <c r="J377" s="16"/>
      <c r="K377" s="16"/>
      <c r="L377" s="16"/>
      <c r="M377" s="16"/>
    </row>
    <row r="378" spans="5:13" x14ac:dyDescent="0.4">
      <c r="E378" s="16"/>
      <c r="F378" s="16"/>
      <c r="G378" s="16"/>
      <c r="H378" s="16"/>
      <c r="I378" s="16"/>
      <c r="J378" s="16"/>
      <c r="K378" s="16"/>
      <c r="L378" s="16"/>
      <c r="M378" s="16"/>
    </row>
    <row r="379" spans="5:13" x14ac:dyDescent="0.4">
      <c r="E379" s="16"/>
      <c r="F379" s="16"/>
      <c r="G379" s="16"/>
      <c r="H379" s="16"/>
      <c r="I379" s="16"/>
      <c r="J379" s="16"/>
      <c r="K379" s="16"/>
      <c r="L379" s="16"/>
      <c r="M379" s="16"/>
    </row>
    <row r="380" spans="5:13" x14ac:dyDescent="0.4">
      <c r="E380" s="16"/>
      <c r="F380" s="16"/>
      <c r="G380" s="16"/>
      <c r="H380" s="16"/>
      <c r="I380" s="16"/>
      <c r="J380" s="16"/>
      <c r="K380" s="16"/>
      <c r="L380" s="16"/>
      <c r="M380" s="16"/>
    </row>
    <row r="381" spans="5:13" x14ac:dyDescent="0.4">
      <c r="E381" s="16"/>
      <c r="F381" s="16"/>
      <c r="G381" s="16"/>
      <c r="H381" s="16"/>
      <c r="I381" s="16"/>
      <c r="J381" s="16"/>
      <c r="K381" s="16"/>
      <c r="L381" s="16"/>
      <c r="M381" s="16"/>
    </row>
    <row r="382" spans="5:13" x14ac:dyDescent="0.4">
      <c r="E382" s="16"/>
      <c r="F382" s="16"/>
      <c r="G382" s="16"/>
      <c r="H382" s="16"/>
      <c r="I382" s="16"/>
      <c r="J382" s="16"/>
      <c r="K382" s="16"/>
      <c r="L382" s="16"/>
      <c r="M382" s="16"/>
    </row>
    <row r="383" spans="5:13" x14ac:dyDescent="0.4">
      <c r="E383" s="16"/>
      <c r="F383" s="16"/>
      <c r="G383" s="16"/>
      <c r="H383" s="16"/>
      <c r="I383" s="16"/>
      <c r="J383" s="16"/>
      <c r="K383" s="16"/>
      <c r="L383" s="16"/>
      <c r="M383" s="16"/>
    </row>
    <row r="384" spans="5:13" x14ac:dyDescent="0.4">
      <c r="E384" s="16"/>
      <c r="F384" s="16"/>
      <c r="G384" s="16"/>
      <c r="H384" s="16"/>
      <c r="I384" s="16"/>
      <c r="J384" s="16"/>
      <c r="K384" s="16"/>
      <c r="L384" s="16"/>
      <c r="M384" s="16"/>
    </row>
    <row r="385" spans="5:13" x14ac:dyDescent="0.4">
      <c r="E385" s="16"/>
      <c r="F385" s="16"/>
      <c r="G385" s="16"/>
      <c r="H385" s="16"/>
      <c r="I385" s="16"/>
      <c r="J385" s="16"/>
      <c r="K385" s="16"/>
      <c r="L385" s="16"/>
      <c r="M385" s="16"/>
    </row>
    <row r="386" spans="5:13" x14ac:dyDescent="0.4">
      <c r="E386" s="16"/>
      <c r="F386" s="16"/>
      <c r="G386" s="16"/>
      <c r="H386" s="16"/>
      <c r="I386" s="16"/>
      <c r="J386" s="16"/>
      <c r="K386" s="16"/>
      <c r="L386" s="16"/>
      <c r="M386" s="16"/>
    </row>
    <row r="387" spans="5:13" x14ac:dyDescent="0.4">
      <c r="E387" s="16"/>
      <c r="F387" s="16"/>
      <c r="G387" s="16"/>
      <c r="H387" s="16"/>
      <c r="I387" s="16"/>
      <c r="J387" s="16"/>
      <c r="K387" s="16"/>
      <c r="L387" s="16"/>
      <c r="M387" s="16"/>
    </row>
    <row r="388" spans="5:13" x14ac:dyDescent="0.4">
      <c r="E388" s="16"/>
      <c r="F388" s="16"/>
      <c r="G388" s="16"/>
      <c r="H388" s="16"/>
      <c r="I388" s="16"/>
      <c r="J388" s="16"/>
      <c r="K388" s="16"/>
      <c r="L388" s="16"/>
      <c r="M388" s="16"/>
    </row>
    <row r="389" spans="5:13" x14ac:dyDescent="0.4">
      <c r="E389" s="16"/>
      <c r="F389" s="16"/>
      <c r="G389" s="16"/>
      <c r="H389" s="16"/>
      <c r="I389" s="16"/>
      <c r="J389" s="16"/>
      <c r="K389" s="16"/>
      <c r="L389" s="16"/>
      <c r="M389" s="16"/>
    </row>
    <row r="390" spans="5:13" x14ac:dyDescent="0.4">
      <c r="E390" s="16"/>
      <c r="F390" s="16"/>
      <c r="G390" s="16"/>
      <c r="H390" s="16"/>
      <c r="I390" s="16"/>
      <c r="J390" s="16"/>
      <c r="K390" s="16"/>
      <c r="L390" s="16"/>
      <c r="M390" s="16"/>
    </row>
    <row r="391" spans="5:13" x14ac:dyDescent="0.4">
      <c r="E391" s="16"/>
      <c r="F391" s="16"/>
      <c r="G391" s="16"/>
      <c r="H391" s="16"/>
      <c r="I391" s="16"/>
      <c r="J391" s="16"/>
      <c r="K391" s="16"/>
      <c r="L391" s="16"/>
      <c r="M391" s="16"/>
    </row>
    <row r="392" spans="5:13" x14ac:dyDescent="0.4">
      <c r="E392" s="16"/>
      <c r="F392" s="16"/>
      <c r="G392" s="16"/>
      <c r="H392" s="16"/>
      <c r="I392" s="16"/>
      <c r="J392" s="16"/>
      <c r="K392" s="16"/>
      <c r="L392" s="16"/>
      <c r="M392" s="16"/>
    </row>
    <row r="393" spans="5:13" x14ac:dyDescent="0.4">
      <c r="E393" s="16"/>
      <c r="F393" s="16"/>
      <c r="G393" s="16"/>
      <c r="H393" s="16"/>
      <c r="I393" s="16"/>
      <c r="J393" s="16"/>
      <c r="K393" s="16"/>
      <c r="L393" s="16"/>
      <c r="M393" s="16"/>
    </row>
    <row r="394" spans="5:13" x14ac:dyDescent="0.4">
      <c r="E394" s="16"/>
      <c r="F394" s="16"/>
      <c r="G394" s="16"/>
      <c r="H394" s="16"/>
      <c r="I394" s="16"/>
      <c r="J394" s="16"/>
      <c r="K394" s="16"/>
      <c r="L394" s="16"/>
      <c r="M394" s="16"/>
    </row>
    <row r="395" spans="5:13" x14ac:dyDescent="0.4">
      <c r="E395" s="16"/>
      <c r="F395" s="16"/>
      <c r="G395" s="16"/>
      <c r="H395" s="16"/>
      <c r="I395" s="16"/>
      <c r="J395" s="16"/>
      <c r="K395" s="16"/>
      <c r="L395" s="16"/>
      <c r="M395" s="16"/>
    </row>
    <row r="396" spans="5:13" x14ac:dyDescent="0.4">
      <c r="E396" s="16"/>
      <c r="F396" s="16"/>
      <c r="G396" s="16"/>
      <c r="H396" s="16"/>
      <c r="I396" s="16"/>
      <c r="J396" s="16"/>
      <c r="K396" s="16"/>
      <c r="L396" s="16"/>
      <c r="M396" s="16"/>
    </row>
    <row r="397" spans="5:13" x14ac:dyDescent="0.4">
      <c r="E397" s="16"/>
      <c r="F397" s="16"/>
      <c r="G397" s="16"/>
      <c r="H397" s="16"/>
      <c r="I397" s="16"/>
      <c r="J397" s="16"/>
      <c r="K397" s="16"/>
      <c r="L397" s="16"/>
      <c r="M397" s="16"/>
    </row>
    <row r="398" spans="5:13" x14ac:dyDescent="0.4">
      <c r="E398" s="16"/>
      <c r="F398" s="16"/>
      <c r="G398" s="16"/>
      <c r="H398" s="16"/>
      <c r="I398" s="16"/>
      <c r="J398" s="16"/>
      <c r="K398" s="16"/>
      <c r="L398" s="16"/>
      <c r="M398" s="16"/>
    </row>
    <row r="399" spans="5:13" x14ac:dyDescent="0.4">
      <c r="E399" s="16"/>
      <c r="F399" s="16"/>
      <c r="G399" s="16"/>
      <c r="H399" s="16"/>
      <c r="I399" s="16"/>
      <c r="J399" s="16"/>
      <c r="K399" s="16"/>
      <c r="L399" s="16"/>
      <c r="M399" s="16"/>
    </row>
    <row r="400" spans="5:13" x14ac:dyDescent="0.4">
      <c r="E400" s="16"/>
      <c r="F400" s="16"/>
      <c r="G400" s="16"/>
      <c r="H400" s="16"/>
      <c r="I400" s="16"/>
      <c r="J400" s="16"/>
      <c r="K400" s="16"/>
      <c r="L400" s="16"/>
      <c r="M400" s="16"/>
    </row>
    <row r="401" spans="5:13" x14ac:dyDescent="0.4">
      <c r="E401" s="16"/>
      <c r="F401" s="16"/>
      <c r="G401" s="16"/>
      <c r="H401" s="16"/>
      <c r="I401" s="16"/>
      <c r="J401" s="16"/>
      <c r="K401" s="16"/>
      <c r="L401" s="16"/>
      <c r="M401" s="16"/>
    </row>
    <row r="402" spans="5:13" x14ac:dyDescent="0.4">
      <c r="E402" s="16"/>
      <c r="F402" s="16"/>
      <c r="G402" s="16"/>
      <c r="H402" s="16"/>
      <c r="I402" s="16"/>
      <c r="J402" s="16"/>
      <c r="K402" s="16"/>
      <c r="L402" s="16"/>
      <c r="M402" s="16"/>
    </row>
    <row r="403" spans="5:13" x14ac:dyDescent="0.4">
      <c r="E403" s="16"/>
      <c r="F403" s="16"/>
      <c r="G403" s="16"/>
      <c r="H403" s="16"/>
      <c r="I403" s="16"/>
      <c r="J403" s="16"/>
      <c r="K403" s="16"/>
      <c r="L403" s="16"/>
      <c r="M403" s="16"/>
    </row>
    <row r="404" spans="5:13" x14ac:dyDescent="0.4">
      <c r="E404" s="16"/>
      <c r="F404" s="16"/>
      <c r="G404" s="16"/>
      <c r="H404" s="16"/>
      <c r="I404" s="16"/>
      <c r="J404" s="16"/>
      <c r="K404" s="16"/>
      <c r="L404" s="16"/>
      <c r="M404" s="16"/>
    </row>
    <row r="405" spans="5:13" x14ac:dyDescent="0.4">
      <c r="E405" s="16"/>
      <c r="F405" s="16"/>
      <c r="G405" s="16"/>
      <c r="H405" s="16"/>
      <c r="I405" s="16"/>
      <c r="J405" s="16"/>
      <c r="K405" s="16"/>
      <c r="L405" s="16"/>
      <c r="M405" s="16"/>
    </row>
    <row r="406" spans="5:13" x14ac:dyDescent="0.4">
      <c r="E406" s="16"/>
      <c r="F406" s="16"/>
      <c r="G406" s="16"/>
      <c r="H406" s="16"/>
      <c r="I406" s="16"/>
      <c r="J406" s="16"/>
      <c r="K406" s="16"/>
      <c r="L406" s="16"/>
      <c r="M406" s="16"/>
    </row>
    <row r="407" spans="5:13" x14ac:dyDescent="0.4">
      <c r="E407" s="16"/>
      <c r="F407" s="16"/>
      <c r="G407" s="16"/>
      <c r="H407" s="16"/>
      <c r="I407" s="16"/>
      <c r="J407" s="16"/>
      <c r="K407" s="16"/>
      <c r="L407" s="16"/>
      <c r="M407" s="16"/>
    </row>
    <row r="408" spans="5:13" x14ac:dyDescent="0.4">
      <c r="E408" s="16"/>
      <c r="F408" s="16"/>
      <c r="G408" s="16"/>
      <c r="H408" s="16"/>
      <c r="I408" s="16"/>
      <c r="J408" s="16"/>
      <c r="K408" s="16"/>
      <c r="L408" s="16"/>
      <c r="M408" s="16"/>
    </row>
    <row r="409" spans="5:13" x14ac:dyDescent="0.4">
      <c r="E409" s="16"/>
      <c r="F409" s="16"/>
      <c r="G409" s="16"/>
      <c r="H409" s="16"/>
      <c r="I409" s="16"/>
      <c r="J409" s="16"/>
      <c r="K409" s="16"/>
      <c r="L409" s="16"/>
      <c r="M409" s="16"/>
    </row>
    <row r="410" spans="5:13" x14ac:dyDescent="0.4">
      <c r="E410" s="16"/>
      <c r="F410" s="16"/>
      <c r="G410" s="16"/>
      <c r="H410" s="16"/>
      <c r="I410" s="16"/>
      <c r="J410" s="16"/>
      <c r="K410" s="16"/>
      <c r="L410" s="16"/>
      <c r="M410" s="16"/>
    </row>
    <row r="411" spans="5:13" x14ac:dyDescent="0.4">
      <c r="E411" s="16"/>
      <c r="F411" s="16"/>
      <c r="G411" s="16"/>
      <c r="H411" s="16"/>
      <c r="I411" s="16"/>
      <c r="J411" s="16"/>
      <c r="K411" s="16"/>
      <c r="L411" s="16"/>
      <c r="M411" s="16"/>
    </row>
    <row r="412" spans="5:13" x14ac:dyDescent="0.4">
      <c r="E412" s="16"/>
      <c r="F412" s="16"/>
      <c r="G412" s="16"/>
      <c r="H412" s="16"/>
      <c r="I412" s="16"/>
      <c r="J412" s="16"/>
      <c r="K412" s="16"/>
      <c r="L412" s="16"/>
      <c r="M412" s="16"/>
    </row>
    <row r="413" spans="5:13" x14ac:dyDescent="0.4">
      <c r="E413" s="16"/>
      <c r="F413" s="16"/>
      <c r="G413" s="16"/>
      <c r="H413" s="16"/>
      <c r="I413" s="16"/>
      <c r="J413" s="16"/>
      <c r="K413" s="16"/>
      <c r="L413" s="16"/>
      <c r="M413" s="16"/>
    </row>
    <row r="414" spans="5:13" x14ac:dyDescent="0.4">
      <c r="E414" s="16"/>
      <c r="F414" s="16"/>
      <c r="G414" s="16"/>
      <c r="H414" s="16"/>
      <c r="I414" s="16"/>
      <c r="J414" s="16"/>
      <c r="K414" s="16"/>
      <c r="L414" s="16"/>
      <c r="M414" s="16"/>
    </row>
    <row r="415" spans="5:13" x14ac:dyDescent="0.4">
      <c r="E415" s="16"/>
      <c r="F415" s="16"/>
      <c r="G415" s="16"/>
      <c r="H415" s="16"/>
      <c r="I415" s="16"/>
      <c r="J415" s="16"/>
      <c r="K415" s="16"/>
      <c r="L415" s="16"/>
      <c r="M415" s="16"/>
    </row>
    <row r="416" spans="5:13" x14ac:dyDescent="0.4">
      <c r="E416" s="16"/>
      <c r="F416" s="16"/>
      <c r="G416" s="16"/>
      <c r="H416" s="16"/>
      <c r="I416" s="16"/>
      <c r="J416" s="16"/>
      <c r="K416" s="16"/>
      <c r="L416" s="16"/>
      <c r="M416" s="16"/>
    </row>
    <row r="417" spans="5:13" x14ac:dyDescent="0.4">
      <c r="E417" s="16"/>
      <c r="F417" s="16"/>
      <c r="G417" s="16"/>
      <c r="H417" s="16"/>
      <c r="I417" s="16"/>
      <c r="J417" s="16"/>
      <c r="K417" s="16"/>
      <c r="L417" s="16"/>
      <c r="M417" s="16"/>
    </row>
    <row r="418" spans="5:13" x14ac:dyDescent="0.4">
      <c r="E418" s="16"/>
      <c r="F418" s="16"/>
      <c r="G418" s="16"/>
      <c r="H418" s="16"/>
      <c r="I418" s="16"/>
      <c r="J418" s="16"/>
      <c r="K418" s="16"/>
      <c r="L418" s="16"/>
      <c r="M418" s="16"/>
    </row>
    <row r="419" spans="5:13" x14ac:dyDescent="0.4">
      <c r="E419" s="16"/>
      <c r="F419" s="16"/>
      <c r="G419" s="16"/>
      <c r="H419" s="16"/>
      <c r="I419" s="16"/>
      <c r="J419" s="16"/>
      <c r="K419" s="16"/>
      <c r="L419" s="16"/>
      <c r="M419" s="16"/>
    </row>
    <row r="420" spans="5:13" x14ac:dyDescent="0.4">
      <c r="E420" s="16"/>
      <c r="F420" s="16"/>
      <c r="G420" s="16"/>
      <c r="H420" s="16"/>
      <c r="I420" s="16"/>
      <c r="J420" s="16"/>
      <c r="K420" s="16"/>
      <c r="L420" s="16"/>
      <c r="M420" s="16"/>
    </row>
    <row r="421" spans="5:13" x14ac:dyDescent="0.4">
      <c r="E421" s="16"/>
      <c r="F421" s="16"/>
      <c r="G421" s="16"/>
      <c r="H421" s="16"/>
      <c r="I421" s="16"/>
      <c r="J421" s="16"/>
      <c r="K421" s="16"/>
      <c r="L421" s="16"/>
      <c r="M421" s="16"/>
    </row>
    <row r="422" spans="5:13" x14ac:dyDescent="0.4">
      <c r="E422" s="16"/>
      <c r="F422" s="16"/>
      <c r="G422" s="16"/>
      <c r="H422" s="16"/>
      <c r="I422" s="16"/>
      <c r="J422" s="16"/>
      <c r="K422" s="16"/>
      <c r="L422" s="16"/>
      <c r="M422" s="16"/>
    </row>
    <row r="423" spans="5:13" x14ac:dyDescent="0.4">
      <c r="E423" s="16"/>
      <c r="F423" s="16"/>
      <c r="G423" s="16"/>
      <c r="H423" s="16"/>
      <c r="I423" s="16"/>
      <c r="J423" s="16"/>
      <c r="K423" s="16"/>
      <c r="L423" s="16"/>
      <c r="M423" s="16"/>
    </row>
    <row r="424" spans="5:13" x14ac:dyDescent="0.4">
      <c r="E424" s="16"/>
      <c r="F424" s="16"/>
      <c r="G424" s="16"/>
      <c r="H424" s="16"/>
      <c r="I424" s="16"/>
      <c r="J424" s="16"/>
      <c r="K424" s="16"/>
      <c r="L424" s="16"/>
      <c r="M424" s="16"/>
    </row>
    <row r="425" spans="5:13" x14ac:dyDescent="0.4">
      <c r="E425" s="16"/>
      <c r="F425" s="16"/>
      <c r="G425" s="16"/>
      <c r="H425" s="16"/>
      <c r="I425" s="16"/>
      <c r="J425" s="16"/>
      <c r="K425" s="16"/>
      <c r="L425" s="16"/>
      <c r="M425" s="16"/>
    </row>
    <row r="426" spans="5:13" x14ac:dyDescent="0.4">
      <c r="E426" s="16"/>
      <c r="F426" s="16"/>
      <c r="G426" s="16"/>
      <c r="H426" s="16"/>
      <c r="I426" s="16"/>
      <c r="J426" s="16"/>
      <c r="K426" s="16"/>
      <c r="L426" s="16"/>
      <c r="M426" s="16"/>
    </row>
    <row r="427" spans="5:13" x14ac:dyDescent="0.4">
      <c r="E427" s="16"/>
      <c r="F427" s="16"/>
      <c r="G427" s="16"/>
      <c r="H427" s="16"/>
      <c r="I427" s="16"/>
      <c r="J427" s="16"/>
      <c r="K427" s="16"/>
      <c r="L427" s="16"/>
      <c r="M427" s="16"/>
    </row>
    <row r="428" spans="5:13" x14ac:dyDescent="0.4">
      <c r="E428" s="16"/>
      <c r="F428" s="16"/>
      <c r="G428" s="16"/>
      <c r="H428" s="16"/>
      <c r="I428" s="16"/>
      <c r="J428" s="16"/>
      <c r="K428" s="16"/>
      <c r="L428" s="16"/>
      <c r="M428" s="16"/>
    </row>
    <row r="429" spans="5:13" x14ac:dyDescent="0.4">
      <c r="E429" s="16"/>
      <c r="F429" s="16"/>
      <c r="G429" s="16"/>
      <c r="H429" s="16"/>
      <c r="I429" s="16"/>
      <c r="J429" s="16"/>
      <c r="K429" s="16"/>
      <c r="L429" s="16"/>
      <c r="M429" s="16"/>
    </row>
    <row r="430" spans="5:13" x14ac:dyDescent="0.4">
      <c r="E430" s="16"/>
      <c r="F430" s="16"/>
      <c r="G430" s="16"/>
      <c r="H430" s="16"/>
      <c r="I430" s="16"/>
      <c r="J430" s="16"/>
      <c r="K430" s="16"/>
      <c r="L430" s="16"/>
      <c r="M430" s="16"/>
    </row>
    <row r="431" spans="5:13" x14ac:dyDescent="0.4">
      <c r="E431" s="16"/>
      <c r="F431" s="16"/>
      <c r="G431" s="16"/>
      <c r="H431" s="16"/>
      <c r="I431" s="16"/>
      <c r="J431" s="16"/>
      <c r="K431" s="16"/>
      <c r="L431" s="16"/>
      <c r="M431" s="16"/>
    </row>
    <row r="432" spans="5:13" x14ac:dyDescent="0.4">
      <c r="E432" s="16"/>
      <c r="F432" s="16"/>
      <c r="G432" s="16"/>
      <c r="H432" s="16"/>
      <c r="I432" s="16"/>
      <c r="J432" s="16"/>
      <c r="K432" s="16"/>
      <c r="L432" s="16"/>
      <c r="M432" s="16"/>
    </row>
    <row r="433" spans="5:13" x14ac:dyDescent="0.4">
      <c r="E433" s="16"/>
      <c r="F433" s="16"/>
      <c r="G433" s="16"/>
      <c r="H433" s="16"/>
      <c r="I433" s="16"/>
      <c r="J433" s="16"/>
      <c r="K433" s="16"/>
      <c r="L433" s="16"/>
      <c r="M433" s="16"/>
    </row>
    <row r="434" spans="5:13" x14ac:dyDescent="0.4">
      <c r="E434" s="16"/>
      <c r="F434" s="16"/>
      <c r="G434" s="16"/>
      <c r="H434" s="16"/>
      <c r="I434" s="16"/>
      <c r="J434" s="16"/>
      <c r="K434" s="16"/>
      <c r="L434" s="16"/>
      <c r="M434" s="16"/>
    </row>
    <row r="435" spans="5:13" x14ac:dyDescent="0.4">
      <c r="E435" s="16"/>
      <c r="F435" s="16"/>
      <c r="G435" s="16"/>
      <c r="H435" s="16"/>
      <c r="I435" s="16"/>
      <c r="J435" s="16"/>
      <c r="K435" s="16"/>
      <c r="L435" s="16"/>
      <c r="M435" s="16"/>
    </row>
    <row r="436" spans="5:13" x14ac:dyDescent="0.4">
      <c r="E436" s="16"/>
      <c r="F436" s="16"/>
      <c r="G436" s="16"/>
      <c r="H436" s="16"/>
      <c r="I436" s="16"/>
      <c r="J436" s="16"/>
      <c r="K436" s="16"/>
      <c r="L436" s="16"/>
      <c r="M436" s="16"/>
    </row>
    <row r="437" spans="5:13" x14ac:dyDescent="0.4">
      <c r="E437" s="16"/>
      <c r="F437" s="16"/>
      <c r="G437" s="16"/>
      <c r="H437" s="16"/>
      <c r="I437" s="16"/>
      <c r="J437" s="16"/>
      <c r="K437" s="16"/>
      <c r="L437" s="16"/>
      <c r="M437" s="16"/>
    </row>
    <row r="438" spans="5:13" x14ac:dyDescent="0.4">
      <c r="E438" s="16"/>
      <c r="F438" s="16"/>
      <c r="G438" s="16"/>
      <c r="H438" s="16"/>
      <c r="I438" s="16"/>
      <c r="J438" s="16"/>
      <c r="K438" s="16"/>
      <c r="L438" s="16"/>
      <c r="M438" s="16"/>
    </row>
    <row r="439" spans="5:13" x14ac:dyDescent="0.4">
      <c r="E439" s="16"/>
      <c r="F439" s="16"/>
      <c r="G439" s="16"/>
      <c r="H439" s="16"/>
      <c r="I439" s="16"/>
      <c r="J439" s="16"/>
      <c r="K439" s="16"/>
      <c r="L439" s="16"/>
      <c r="M439" s="16"/>
    </row>
    <row r="440" spans="5:13" x14ac:dyDescent="0.4">
      <c r="E440" s="16"/>
      <c r="F440" s="16"/>
      <c r="G440" s="16"/>
      <c r="H440" s="16"/>
      <c r="I440" s="16"/>
      <c r="J440" s="16"/>
      <c r="K440" s="16"/>
      <c r="L440" s="16"/>
      <c r="M440" s="16"/>
    </row>
    <row r="441" spans="5:13" x14ac:dyDescent="0.4">
      <c r="E441" s="16"/>
      <c r="F441" s="16"/>
      <c r="G441" s="16"/>
      <c r="H441" s="16"/>
      <c r="I441" s="16"/>
      <c r="J441" s="16"/>
      <c r="K441" s="16"/>
      <c r="L441" s="16"/>
      <c r="M441" s="16"/>
    </row>
    <row r="442" spans="5:13" x14ac:dyDescent="0.4">
      <c r="E442" s="16"/>
      <c r="F442" s="16"/>
      <c r="G442" s="16"/>
      <c r="H442" s="16"/>
      <c r="I442" s="16"/>
      <c r="J442" s="16"/>
      <c r="K442" s="16"/>
      <c r="L442" s="16"/>
      <c r="M442" s="16"/>
    </row>
    <row r="443" spans="5:13" x14ac:dyDescent="0.4">
      <c r="E443" s="16"/>
      <c r="F443" s="16"/>
      <c r="G443" s="16"/>
      <c r="H443" s="16"/>
      <c r="I443" s="16"/>
      <c r="J443" s="16"/>
      <c r="K443" s="16"/>
      <c r="L443" s="16"/>
      <c r="M443" s="16"/>
    </row>
    <row r="444" spans="5:13" x14ac:dyDescent="0.4">
      <c r="E444" s="16"/>
      <c r="F444" s="16"/>
      <c r="G444" s="16"/>
      <c r="H444" s="16"/>
      <c r="I444" s="16"/>
      <c r="J444" s="16"/>
      <c r="K444" s="16"/>
      <c r="L444" s="16"/>
      <c r="M444" s="16"/>
    </row>
    <row r="445" spans="5:13" x14ac:dyDescent="0.4">
      <c r="E445" s="16"/>
      <c r="F445" s="16"/>
      <c r="G445" s="16"/>
      <c r="H445" s="16"/>
      <c r="I445" s="16"/>
      <c r="J445" s="16"/>
      <c r="K445" s="16"/>
      <c r="L445" s="16"/>
      <c r="M445" s="16"/>
    </row>
    <row r="446" spans="5:13" x14ac:dyDescent="0.4">
      <c r="E446" s="16"/>
      <c r="F446" s="16"/>
      <c r="G446" s="16"/>
      <c r="H446" s="16"/>
      <c r="I446" s="16"/>
      <c r="J446" s="16"/>
      <c r="K446" s="16"/>
      <c r="L446" s="16"/>
      <c r="M446" s="16"/>
    </row>
    <row r="447" spans="5:13" x14ac:dyDescent="0.4">
      <c r="E447" s="16"/>
      <c r="F447" s="16"/>
      <c r="G447" s="16"/>
      <c r="H447" s="16"/>
      <c r="I447" s="16"/>
      <c r="J447" s="16"/>
      <c r="K447" s="16"/>
      <c r="L447" s="16"/>
      <c r="M447" s="16"/>
    </row>
    <row r="448" spans="5:13" x14ac:dyDescent="0.4">
      <c r="E448" s="16"/>
      <c r="F448" s="16"/>
      <c r="G448" s="16"/>
      <c r="H448" s="16"/>
      <c r="I448" s="16"/>
      <c r="J448" s="16"/>
      <c r="K448" s="16"/>
      <c r="L448" s="16"/>
      <c r="M448" s="16"/>
    </row>
    <row r="449" spans="5:13" x14ac:dyDescent="0.4">
      <c r="E449" s="16"/>
      <c r="F449" s="16"/>
      <c r="G449" s="16"/>
      <c r="H449" s="16"/>
      <c r="I449" s="16"/>
      <c r="J449" s="16"/>
      <c r="K449" s="16"/>
      <c r="L449" s="16"/>
      <c r="M449" s="16"/>
    </row>
    <row r="450" spans="5:13" x14ac:dyDescent="0.4">
      <c r="E450" s="16"/>
      <c r="F450" s="16"/>
      <c r="G450" s="16"/>
      <c r="H450" s="16"/>
      <c r="I450" s="16"/>
      <c r="J450" s="16"/>
      <c r="K450" s="16"/>
      <c r="L450" s="16"/>
      <c r="M450" s="16"/>
    </row>
    <row r="451" spans="5:13" x14ac:dyDescent="0.4">
      <c r="E451" s="16"/>
      <c r="F451" s="16"/>
      <c r="G451" s="16"/>
      <c r="H451" s="16"/>
      <c r="I451" s="16"/>
      <c r="J451" s="16"/>
      <c r="K451" s="16"/>
      <c r="L451" s="16"/>
      <c r="M451" s="16"/>
    </row>
    <row r="452" spans="5:13" x14ac:dyDescent="0.4">
      <c r="E452" s="16"/>
      <c r="F452" s="16"/>
      <c r="G452" s="16"/>
      <c r="H452" s="16"/>
      <c r="I452" s="16"/>
      <c r="J452" s="16"/>
      <c r="K452" s="16"/>
      <c r="L452" s="16"/>
      <c r="M452" s="16"/>
    </row>
    <row r="453" spans="5:13" x14ac:dyDescent="0.4">
      <c r="E453" s="16"/>
      <c r="F453" s="16"/>
      <c r="G453" s="16"/>
      <c r="H453" s="16"/>
      <c r="I453" s="16"/>
      <c r="J453" s="16"/>
      <c r="K453" s="16"/>
      <c r="L453" s="16"/>
      <c r="M453" s="16"/>
    </row>
    <row r="454" spans="5:13" x14ac:dyDescent="0.4">
      <c r="E454" s="16"/>
      <c r="F454" s="16"/>
      <c r="G454" s="16"/>
      <c r="H454" s="16"/>
      <c r="I454" s="16"/>
      <c r="J454" s="16"/>
      <c r="K454" s="16"/>
      <c r="L454" s="16"/>
      <c r="M454" s="16"/>
    </row>
    <row r="455" spans="5:13" x14ac:dyDescent="0.4">
      <c r="E455" s="16"/>
      <c r="F455" s="16"/>
      <c r="G455" s="16"/>
      <c r="H455" s="16"/>
      <c r="I455" s="16"/>
      <c r="J455" s="16"/>
      <c r="K455" s="16"/>
      <c r="L455" s="16"/>
      <c r="M455" s="16"/>
    </row>
    <row r="456" spans="5:13" x14ac:dyDescent="0.4">
      <c r="E456" s="16"/>
      <c r="F456" s="16"/>
      <c r="G456" s="16"/>
      <c r="H456" s="16"/>
      <c r="I456" s="16"/>
      <c r="J456" s="16"/>
      <c r="K456" s="16"/>
      <c r="L456" s="16"/>
      <c r="M456" s="16"/>
    </row>
    <row r="457" spans="5:13" x14ac:dyDescent="0.4">
      <c r="E457" s="16"/>
      <c r="F457" s="16"/>
      <c r="G457" s="16"/>
      <c r="H457" s="16"/>
      <c r="I457" s="16"/>
      <c r="J457" s="16"/>
      <c r="K457" s="16"/>
      <c r="L457" s="16"/>
      <c r="M457" s="16"/>
    </row>
    <row r="458" spans="5:13" x14ac:dyDescent="0.4">
      <c r="E458" s="16"/>
      <c r="F458" s="16"/>
      <c r="G458" s="16"/>
      <c r="H458" s="16"/>
      <c r="I458" s="16"/>
      <c r="J458" s="16"/>
      <c r="K458" s="16"/>
      <c r="L458" s="16"/>
      <c r="M458" s="16"/>
    </row>
    <row r="459" spans="5:13" x14ac:dyDescent="0.4">
      <c r="E459" s="16"/>
      <c r="F459" s="16"/>
      <c r="G459" s="16"/>
      <c r="H459" s="16"/>
      <c r="I459" s="16"/>
      <c r="J459" s="16"/>
      <c r="K459" s="16"/>
      <c r="L459" s="16"/>
      <c r="M459" s="16"/>
    </row>
    <row r="460" spans="5:13" x14ac:dyDescent="0.4">
      <c r="E460" s="16"/>
      <c r="F460" s="16"/>
      <c r="G460" s="16"/>
      <c r="H460" s="16"/>
      <c r="I460" s="16"/>
      <c r="J460" s="16"/>
      <c r="K460" s="16"/>
      <c r="L460" s="16"/>
      <c r="M460" s="16"/>
    </row>
    <row r="461" spans="5:13" x14ac:dyDescent="0.4">
      <c r="E461" s="16"/>
      <c r="F461" s="16"/>
      <c r="G461" s="16"/>
      <c r="H461" s="16"/>
      <c r="I461" s="16"/>
      <c r="J461" s="16"/>
      <c r="K461" s="16"/>
      <c r="L461" s="16"/>
      <c r="M461" s="16"/>
    </row>
    <row r="462" spans="5:13" x14ac:dyDescent="0.4">
      <c r="E462" s="16"/>
      <c r="F462" s="16"/>
      <c r="G462" s="16"/>
      <c r="H462" s="16"/>
      <c r="I462" s="16"/>
      <c r="J462" s="16"/>
      <c r="K462" s="16"/>
      <c r="L462" s="16"/>
      <c r="M462" s="16"/>
    </row>
    <row r="463" spans="5:13" x14ac:dyDescent="0.4">
      <c r="E463" s="16"/>
      <c r="F463" s="16"/>
      <c r="G463" s="16"/>
      <c r="H463" s="16"/>
      <c r="I463" s="16"/>
      <c r="J463" s="16"/>
      <c r="K463" s="16"/>
      <c r="L463" s="16"/>
      <c r="M463" s="16"/>
    </row>
    <row r="464" spans="5:13" x14ac:dyDescent="0.4">
      <c r="E464" s="16"/>
      <c r="F464" s="16"/>
      <c r="G464" s="16"/>
      <c r="H464" s="16"/>
      <c r="I464" s="16"/>
      <c r="J464" s="16"/>
      <c r="K464" s="16"/>
      <c r="L464" s="16"/>
      <c r="M464" s="16"/>
    </row>
    <row r="465" spans="5:13" x14ac:dyDescent="0.4">
      <c r="E465" s="16"/>
      <c r="F465" s="16"/>
      <c r="G465" s="16"/>
      <c r="H465" s="16"/>
      <c r="I465" s="16"/>
      <c r="J465" s="16"/>
      <c r="K465" s="16"/>
      <c r="L465" s="16"/>
      <c r="M465" s="16"/>
    </row>
    <row r="466" spans="5:13" x14ac:dyDescent="0.4">
      <c r="E466" s="16"/>
      <c r="F466" s="16"/>
      <c r="G466" s="16"/>
      <c r="H466" s="16"/>
      <c r="I466" s="16"/>
      <c r="J466" s="16"/>
      <c r="K466" s="16"/>
      <c r="L466" s="16"/>
      <c r="M466" s="16"/>
    </row>
    <row r="467" spans="5:13" x14ac:dyDescent="0.4">
      <c r="E467" s="16"/>
      <c r="F467" s="16"/>
      <c r="G467" s="16"/>
      <c r="H467" s="16"/>
      <c r="I467" s="16"/>
      <c r="J467" s="16"/>
      <c r="K467" s="16"/>
      <c r="L467" s="16"/>
      <c r="M467" s="16"/>
    </row>
    <row r="468" spans="5:13" x14ac:dyDescent="0.4">
      <c r="E468" s="16"/>
      <c r="F468" s="16"/>
      <c r="G468" s="16"/>
      <c r="H468" s="16"/>
      <c r="I468" s="16"/>
      <c r="J468" s="16"/>
      <c r="K468" s="16"/>
      <c r="L468" s="16"/>
      <c r="M468" s="16"/>
    </row>
    <row r="469" spans="5:13" x14ac:dyDescent="0.4">
      <c r="E469" s="16"/>
      <c r="F469" s="16"/>
      <c r="G469" s="16"/>
      <c r="H469" s="16"/>
      <c r="I469" s="16"/>
      <c r="J469" s="16"/>
      <c r="K469" s="16"/>
      <c r="L469" s="16"/>
      <c r="M469" s="16"/>
    </row>
    <row r="470" spans="5:13" x14ac:dyDescent="0.4">
      <c r="E470" s="16"/>
      <c r="F470" s="16"/>
      <c r="G470" s="16"/>
      <c r="H470" s="16"/>
      <c r="I470" s="16"/>
      <c r="J470" s="16"/>
      <c r="K470" s="16"/>
      <c r="L470" s="16"/>
      <c r="M470" s="16"/>
    </row>
    <row r="471" spans="5:13" x14ac:dyDescent="0.4">
      <c r="E471" s="16"/>
      <c r="F471" s="16"/>
      <c r="G471" s="16"/>
      <c r="H471" s="16"/>
      <c r="I471" s="16"/>
      <c r="J471" s="16"/>
      <c r="K471" s="16"/>
      <c r="L471" s="16"/>
      <c r="M471" s="16"/>
    </row>
    <row r="472" spans="5:13" x14ac:dyDescent="0.4">
      <c r="E472" s="16"/>
      <c r="F472" s="16"/>
      <c r="G472" s="16"/>
      <c r="H472" s="16"/>
      <c r="I472" s="16"/>
      <c r="J472" s="16"/>
      <c r="K472" s="16"/>
      <c r="L472" s="16"/>
      <c r="M472" s="16"/>
    </row>
    <row r="473" spans="5:13" x14ac:dyDescent="0.4">
      <c r="E473" s="16"/>
      <c r="F473" s="16"/>
      <c r="G473" s="16"/>
      <c r="H473" s="16"/>
      <c r="I473" s="16"/>
      <c r="J473" s="16"/>
      <c r="K473" s="16"/>
      <c r="L473" s="16"/>
      <c r="M473" s="16"/>
    </row>
    <row r="474" spans="5:13" x14ac:dyDescent="0.4">
      <c r="E474" s="16"/>
      <c r="F474" s="16"/>
      <c r="G474" s="16"/>
      <c r="H474" s="16"/>
      <c r="I474" s="16"/>
      <c r="J474" s="16"/>
      <c r="K474" s="16"/>
      <c r="L474" s="16"/>
      <c r="M474" s="16"/>
    </row>
    <row r="475" spans="5:13" x14ac:dyDescent="0.4">
      <c r="E475" s="16"/>
      <c r="F475" s="16"/>
      <c r="G475" s="16"/>
      <c r="H475" s="16"/>
      <c r="I475" s="16"/>
      <c r="J475" s="16"/>
      <c r="K475" s="16"/>
      <c r="L475" s="16"/>
      <c r="M475" s="16"/>
    </row>
    <row r="476" spans="5:13" x14ac:dyDescent="0.4">
      <c r="E476" s="16"/>
      <c r="F476" s="16"/>
      <c r="G476" s="16"/>
      <c r="H476" s="16"/>
      <c r="I476" s="16"/>
      <c r="J476" s="16"/>
      <c r="K476" s="16"/>
      <c r="L476" s="16"/>
      <c r="M476" s="16"/>
    </row>
    <row r="477" spans="5:13" x14ac:dyDescent="0.4">
      <c r="E477" s="16"/>
      <c r="F477" s="16"/>
      <c r="G477" s="16"/>
      <c r="H477" s="16"/>
      <c r="I477" s="16"/>
      <c r="J477" s="16"/>
      <c r="K477" s="16"/>
      <c r="L477" s="16"/>
      <c r="M477" s="16"/>
    </row>
    <row r="478" spans="5:13" x14ac:dyDescent="0.4">
      <c r="E478" s="16"/>
      <c r="F478" s="16"/>
      <c r="G478" s="16"/>
      <c r="H478" s="16"/>
      <c r="I478" s="16"/>
      <c r="J478" s="16"/>
      <c r="K478" s="16"/>
      <c r="L478" s="16"/>
      <c r="M478" s="16"/>
    </row>
    <row r="479" spans="5:13" x14ac:dyDescent="0.4">
      <c r="E479" s="16"/>
      <c r="F479" s="16"/>
      <c r="G479" s="16"/>
      <c r="H479" s="16"/>
      <c r="I479" s="16"/>
      <c r="J479" s="16"/>
      <c r="K479" s="16"/>
      <c r="L479" s="16"/>
      <c r="M479" s="16"/>
    </row>
    <row r="480" spans="5:13" x14ac:dyDescent="0.4">
      <c r="E480" s="16"/>
      <c r="F480" s="16"/>
      <c r="G480" s="16"/>
      <c r="H480" s="16"/>
      <c r="I480" s="16"/>
      <c r="J480" s="16"/>
      <c r="K480" s="16"/>
      <c r="L480" s="16"/>
      <c r="M480" s="16"/>
    </row>
    <row r="481" spans="5:13" x14ac:dyDescent="0.4">
      <c r="E481" s="16"/>
      <c r="F481" s="16"/>
      <c r="G481" s="16"/>
      <c r="H481" s="16"/>
      <c r="I481" s="16"/>
      <c r="J481" s="16"/>
      <c r="K481" s="16"/>
      <c r="L481" s="16"/>
      <c r="M481" s="16"/>
    </row>
    <row r="482" spans="5:13" x14ac:dyDescent="0.4">
      <c r="E482" s="16"/>
      <c r="F482" s="16"/>
      <c r="G482" s="16"/>
      <c r="H482" s="16"/>
      <c r="I482" s="16"/>
      <c r="J482" s="16"/>
      <c r="K482" s="16"/>
      <c r="L482" s="16"/>
      <c r="M482" s="16"/>
    </row>
    <row r="483" spans="5:13" x14ac:dyDescent="0.4">
      <c r="E483" s="16"/>
      <c r="F483" s="16"/>
      <c r="G483" s="16"/>
      <c r="H483" s="16"/>
      <c r="I483" s="16"/>
      <c r="J483" s="16"/>
      <c r="K483" s="16"/>
      <c r="L483" s="16"/>
      <c r="M483" s="16"/>
    </row>
    <row r="484" spans="5:13" x14ac:dyDescent="0.4">
      <c r="E484" s="16"/>
      <c r="F484" s="16"/>
      <c r="G484" s="16"/>
      <c r="H484" s="16"/>
      <c r="I484" s="16"/>
      <c r="J484" s="16"/>
      <c r="K484" s="16"/>
      <c r="L484" s="16"/>
      <c r="M484" s="16"/>
    </row>
    <row r="485" spans="5:13" x14ac:dyDescent="0.4">
      <c r="E485" s="16"/>
      <c r="F485" s="16"/>
      <c r="G485" s="16"/>
      <c r="H485" s="16"/>
      <c r="I485" s="16"/>
      <c r="J485" s="16"/>
      <c r="K485" s="16"/>
      <c r="L485" s="16"/>
      <c r="M485" s="16"/>
    </row>
    <row r="486" spans="5:13" x14ac:dyDescent="0.4">
      <c r="E486" s="16"/>
      <c r="F486" s="16"/>
      <c r="G486" s="16"/>
      <c r="H486" s="16"/>
      <c r="I486" s="16"/>
      <c r="J486" s="16"/>
      <c r="K486" s="16"/>
      <c r="L486" s="16"/>
      <c r="M486" s="16"/>
    </row>
    <row r="487" spans="5:13" x14ac:dyDescent="0.4">
      <c r="E487" s="16"/>
      <c r="F487" s="16"/>
      <c r="G487" s="16"/>
      <c r="H487" s="16"/>
      <c r="I487" s="16"/>
      <c r="J487" s="16"/>
      <c r="K487" s="16"/>
      <c r="L487" s="16"/>
      <c r="M487" s="16"/>
    </row>
    <row r="488" spans="5:13" x14ac:dyDescent="0.4">
      <c r="E488" s="16"/>
      <c r="F488" s="16"/>
      <c r="G488" s="16"/>
      <c r="H488" s="16"/>
      <c r="I488" s="16"/>
      <c r="J488" s="16"/>
      <c r="K488" s="16"/>
      <c r="L488" s="16"/>
      <c r="M488" s="16"/>
    </row>
    <row r="489" spans="5:13" x14ac:dyDescent="0.4">
      <c r="E489" s="16"/>
      <c r="F489" s="16"/>
      <c r="G489" s="16"/>
      <c r="H489" s="16"/>
      <c r="I489" s="16"/>
      <c r="J489" s="16"/>
      <c r="K489" s="16"/>
      <c r="L489" s="16"/>
      <c r="M489" s="16"/>
    </row>
    <row r="490" spans="5:13" x14ac:dyDescent="0.4">
      <c r="E490" s="16"/>
      <c r="F490" s="16"/>
      <c r="G490" s="16"/>
      <c r="H490" s="16"/>
      <c r="I490" s="16"/>
      <c r="J490" s="16"/>
      <c r="K490" s="16"/>
      <c r="L490" s="16"/>
      <c r="M490" s="16"/>
    </row>
    <row r="491" spans="5:13" x14ac:dyDescent="0.4">
      <c r="E491" s="16"/>
      <c r="F491" s="16"/>
      <c r="G491" s="16"/>
      <c r="H491" s="16"/>
      <c r="I491" s="16"/>
      <c r="J491" s="16"/>
      <c r="K491" s="16"/>
      <c r="L491" s="16"/>
      <c r="M491" s="16"/>
    </row>
    <row r="492" spans="5:13" x14ac:dyDescent="0.4">
      <c r="E492" s="16"/>
      <c r="F492" s="16"/>
      <c r="G492" s="16"/>
      <c r="H492" s="16"/>
      <c r="I492" s="16"/>
      <c r="J492" s="16"/>
      <c r="K492" s="16"/>
      <c r="L492" s="16"/>
      <c r="M492" s="16"/>
    </row>
    <row r="493" spans="5:13" x14ac:dyDescent="0.4">
      <c r="E493" s="16"/>
      <c r="F493" s="16"/>
      <c r="G493" s="16"/>
      <c r="H493" s="16"/>
      <c r="I493" s="16"/>
      <c r="J493" s="16"/>
      <c r="K493" s="16"/>
      <c r="L493" s="16"/>
      <c r="M493" s="16"/>
    </row>
    <row r="494" spans="5:13" x14ac:dyDescent="0.4">
      <c r="E494" s="16"/>
      <c r="F494" s="16"/>
      <c r="G494" s="16"/>
      <c r="H494" s="16"/>
      <c r="I494" s="16"/>
      <c r="J494" s="16"/>
      <c r="K494" s="16"/>
      <c r="L494" s="16"/>
      <c r="M494" s="16"/>
    </row>
    <row r="495" spans="5:13" x14ac:dyDescent="0.4">
      <c r="E495" s="16"/>
      <c r="F495" s="16"/>
      <c r="G495" s="16"/>
      <c r="H495" s="16"/>
      <c r="I495" s="16"/>
      <c r="J495" s="16"/>
      <c r="K495" s="16"/>
      <c r="L495" s="16"/>
      <c r="M495" s="16"/>
    </row>
    <row r="496" spans="5:13" x14ac:dyDescent="0.4">
      <c r="E496" s="16"/>
      <c r="F496" s="16"/>
      <c r="G496" s="16"/>
      <c r="H496" s="16"/>
      <c r="I496" s="16"/>
      <c r="J496" s="16"/>
      <c r="K496" s="16"/>
      <c r="L496" s="16"/>
      <c r="M496" s="16"/>
    </row>
    <row r="497" spans="5:13" x14ac:dyDescent="0.4">
      <c r="E497" s="16"/>
      <c r="F497" s="16"/>
      <c r="G497" s="16"/>
      <c r="H497" s="16"/>
      <c r="I497" s="16"/>
      <c r="J497" s="16"/>
      <c r="K497" s="16"/>
      <c r="L497" s="16"/>
      <c r="M497" s="16"/>
    </row>
    <row r="498" spans="5:13" x14ac:dyDescent="0.4">
      <c r="E498" s="16"/>
      <c r="F498" s="16"/>
      <c r="G498" s="16"/>
      <c r="H498" s="16"/>
      <c r="I498" s="16"/>
      <c r="J498" s="16"/>
      <c r="K498" s="16"/>
      <c r="L498" s="16"/>
      <c r="M498" s="16"/>
    </row>
    <row r="499" spans="5:13" x14ac:dyDescent="0.4">
      <c r="E499" s="16"/>
      <c r="F499" s="16"/>
      <c r="G499" s="16"/>
      <c r="H499" s="16"/>
      <c r="I499" s="16"/>
      <c r="J499" s="16"/>
      <c r="K499" s="16"/>
      <c r="L499" s="16"/>
      <c r="M499" s="16"/>
    </row>
    <row r="500" spans="5:13" x14ac:dyDescent="0.4">
      <c r="E500" s="16"/>
      <c r="F500" s="16"/>
      <c r="G500" s="16"/>
      <c r="H500" s="16"/>
      <c r="I500" s="16"/>
      <c r="J500" s="16"/>
      <c r="K500" s="16"/>
      <c r="L500" s="16"/>
      <c r="M500" s="16"/>
    </row>
    <row r="501" spans="5:13" x14ac:dyDescent="0.4">
      <c r="E501" s="16"/>
      <c r="F501" s="16"/>
      <c r="G501" s="16"/>
      <c r="H501" s="16"/>
      <c r="I501" s="16"/>
      <c r="J501" s="16"/>
      <c r="K501" s="16"/>
      <c r="L501" s="16"/>
      <c r="M501" s="16"/>
    </row>
    <row r="502" spans="5:13" x14ac:dyDescent="0.4">
      <c r="E502" s="16"/>
      <c r="F502" s="16"/>
      <c r="G502" s="16"/>
      <c r="H502" s="16"/>
      <c r="I502" s="16"/>
      <c r="J502" s="16"/>
      <c r="K502" s="16"/>
      <c r="L502" s="16"/>
      <c r="M502" s="16"/>
    </row>
    <row r="503" spans="5:13" x14ac:dyDescent="0.4">
      <c r="E503" s="16"/>
      <c r="F503" s="16"/>
      <c r="G503" s="16"/>
      <c r="H503" s="16"/>
      <c r="I503" s="16"/>
      <c r="J503" s="16"/>
      <c r="K503" s="16"/>
      <c r="L503" s="16"/>
      <c r="M503" s="16"/>
    </row>
    <row r="504" spans="5:13" x14ac:dyDescent="0.4">
      <c r="E504" s="16"/>
      <c r="F504" s="16"/>
      <c r="G504" s="16"/>
      <c r="H504" s="16"/>
      <c r="I504" s="16"/>
      <c r="J504" s="16"/>
      <c r="K504" s="16"/>
      <c r="L504" s="16"/>
      <c r="M504" s="16"/>
    </row>
    <row r="505" spans="5:13" x14ac:dyDescent="0.4">
      <c r="E505" s="16"/>
      <c r="F505" s="16"/>
      <c r="G505" s="16"/>
      <c r="H505" s="16"/>
      <c r="I505" s="16"/>
      <c r="J505" s="16"/>
      <c r="K505" s="16"/>
      <c r="L505" s="16"/>
      <c r="M505" s="16"/>
    </row>
    <row r="506" spans="5:13" x14ac:dyDescent="0.4">
      <c r="E506" s="16"/>
      <c r="F506" s="16"/>
      <c r="G506" s="16"/>
      <c r="H506" s="16"/>
      <c r="I506" s="16"/>
      <c r="J506" s="16"/>
      <c r="K506" s="16"/>
      <c r="L506" s="16"/>
      <c r="M506" s="16"/>
    </row>
    <row r="507" spans="5:13" x14ac:dyDescent="0.4">
      <c r="E507" s="16"/>
      <c r="F507" s="16"/>
      <c r="G507" s="16"/>
      <c r="H507" s="16"/>
      <c r="I507" s="16"/>
      <c r="J507" s="16"/>
      <c r="K507" s="16"/>
      <c r="L507" s="16"/>
      <c r="M507" s="16"/>
    </row>
    <row r="508" spans="5:13" x14ac:dyDescent="0.4">
      <c r="E508" s="16"/>
      <c r="F508" s="16"/>
      <c r="G508" s="16"/>
      <c r="H508" s="16"/>
      <c r="I508" s="16"/>
      <c r="J508" s="16"/>
      <c r="K508" s="16"/>
      <c r="L508" s="16"/>
      <c r="M508" s="16"/>
    </row>
    <row r="509" spans="5:13" x14ac:dyDescent="0.4">
      <c r="E509" s="16"/>
      <c r="F509" s="16"/>
      <c r="G509" s="16"/>
      <c r="H509" s="16"/>
      <c r="I509" s="16"/>
      <c r="J509" s="16"/>
      <c r="K509" s="16"/>
      <c r="L509" s="16"/>
      <c r="M509" s="16"/>
    </row>
    <row r="510" spans="5:13" x14ac:dyDescent="0.4">
      <c r="E510" s="16"/>
      <c r="F510" s="16"/>
      <c r="G510" s="16"/>
      <c r="H510" s="16"/>
      <c r="I510" s="16"/>
      <c r="J510" s="16"/>
      <c r="K510" s="16"/>
      <c r="L510" s="16"/>
      <c r="M510" s="16"/>
    </row>
    <row r="511" spans="5:13" x14ac:dyDescent="0.4">
      <c r="E511" s="16"/>
      <c r="F511" s="16"/>
      <c r="G511" s="16"/>
      <c r="H511" s="16"/>
      <c r="I511" s="16"/>
      <c r="J511" s="16"/>
      <c r="K511" s="16"/>
      <c r="L511" s="16"/>
      <c r="M511" s="16"/>
    </row>
    <row r="512" spans="5:13" x14ac:dyDescent="0.4">
      <c r="E512" s="16"/>
      <c r="F512" s="16"/>
      <c r="G512" s="16"/>
      <c r="H512" s="16"/>
      <c r="I512" s="16"/>
      <c r="J512" s="16"/>
      <c r="K512" s="16"/>
      <c r="L512" s="16"/>
      <c r="M512" s="16"/>
    </row>
    <row r="513" spans="5:13" x14ac:dyDescent="0.4">
      <c r="E513" s="16"/>
      <c r="F513" s="16"/>
      <c r="G513" s="16"/>
      <c r="H513" s="16"/>
      <c r="I513" s="16"/>
      <c r="J513" s="16"/>
      <c r="K513" s="16"/>
      <c r="L513" s="16"/>
      <c r="M513" s="16"/>
    </row>
    <row r="514" spans="5:13" x14ac:dyDescent="0.4">
      <c r="E514" s="16"/>
      <c r="F514" s="16"/>
      <c r="G514" s="16"/>
      <c r="H514" s="16"/>
      <c r="I514" s="16"/>
      <c r="J514" s="16"/>
      <c r="K514" s="16"/>
      <c r="L514" s="16"/>
      <c r="M514" s="16"/>
    </row>
    <row r="515" spans="5:13" x14ac:dyDescent="0.4">
      <c r="E515" s="16"/>
      <c r="F515" s="16"/>
      <c r="G515" s="16"/>
      <c r="H515" s="16"/>
      <c r="I515" s="16"/>
      <c r="J515" s="16"/>
      <c r="K515" s="16"/>
      <c r="L515" s="16"/>
      <c r="M515" s="16"/>
    </row>
    <row r="516" spans="5:13" x14ac:dyDescent="0.4">
      <c r="E516" s="16"/>
      <c r="F516" s="16"/>
      <c r="G516" s="16"/>
      <c r="H516" s="16"/>
      <c r="I516" s="16"/>
      <c r="J516" s="16"/>
      <c r="K516" s="16"/>
      <c r="L516" s="16"/>
      <c r="M516" s="16"/>
    </row>
    <row r="517" spans="5:13" x14ac:dyDescent="0.4">
      <c r="E517" s="16"/>
      <c r="F517" s="16"/>
      <c r="G517" s="16"/>
      <c r="H517" s="16"/>
      <c r="I517" s="16"/>
      <c r="J517" s="16"/>
      <c r="K517" s="16"/>
      <c r="L517" s="16"/>
      <c r="M517" s="16"/>
    </row>
    <row r="518" spans="5:13" x14ac:dyDescent="0.4">
      <c r="E518" s="16"/>
      <c r="F518" s="16"/>
      <c r="G518" s="16"/>
      <c r="H518" s="16"/>
      <c r="I518" s="16"/>
      <c r="J518" s="16"/>
      <c r="K518" s="16"/>
      <c r="L518" s="16"/>
      <c r="M518" s="16"/>
    </row>
    <row r="519" spans="5:13" x14ac:dyDescent="0.4">
      <c r="E519" s="16"/>
      <c r="F519" s="16"/>
      <c r="G519" s="16"/>
      <c r="H519" s="16"/>
      <c r="I519" s="16"/>
      <c r="J519" s="16"/>
      <c r="K519" s="16"/>
      <c r="L519" s="16"/>
      <c r="M519" s="16"/>
    </row>
    <row r="520" spans="5:13" x14ac:dyDescent="0.4">
      <c r="E520" s="16"/>
      <c r="F520" s="16"/>
      <c r="G520" s="16"/>
      <c r="H520" s="16"/>
      <c r="I520" s="16"/>
      <c r="J520" s="16"/>
      <c r="K520" s="16"/>
      <c r="L520" s="16"/>
      <c r="M520" s="16"/>
    </row>
    <row r="521" spans="5:13" x14ac:dyDescent="0.4">
      <c r="E521" s="16"/>
      <c r="F521" s="16"/>
      <c r="G521" s="16"/>
      <c r="H521" s="16"/>
      <c r="I521" s="16"/>
      <c r="J521" s="16"/>
      <c r="K521" s="16"/>
      <c r="L521" s="16"/>
      <c r="M521" s="16"/>
    </row>
    <row r="522" spans="5:13" x14ac:dyDescent="0.4">
      <c r="E522" s="16"/>
      <c r="F522" s="16"/>
      <c r="G522" s="16"/>
      <c r="H522" s="16"/>
      <c r="I522" s="16"/>
      <c r="J522" s="16"/>
      <c r="K522" s="16"/>
      <c r="L522" s="16"/>
      <c r="M522" s="16"/>
    </row>
    <row r="523" spans="5:13" x14ac:dyDescent="0.4">
      <c r="E523" s="16"/>
      <c r="F523" s="16"/>
      <c r="G523" s="16"/>
      <c r="H523" s="16"/>
      <c r="I523" s="16"/>
      <c r="J523" s="16"/>
      <c r="K523" s="16"/>
      <c r="L523" s="16"/>
      <c r="M523" s="16"/>
    </row>
    <row r="524" spans="5:13" x14ac:dyDescent="0.4">
      <c r="E524" s="16"/>
      <c r="F524" s="16"/>
      <c r="G524" s="16"/>
      <c r="H524" s="16"/>
      <c r="I524" s="16"/>
      <c r="J524" s="16"/>
      <c r="K524" s="16"/>
      <c r="L524" s="16"/>
      <c r="M524" s="16"/>
    </row>
    <row r="525" spans="5:13" x14ac:dyDescent="0.4">
      <c r="E525" s="16"/>
      <c r="F525" s="16"/>
      <c r="G525" s="16"/>
      <c r="H525" s="16"/>
      <c r="I525" s="16"/>
      <c r="J525" s="16"/>
      <c r="K525" s="16"/>
      <c r="L525" s="16"/>
      <c r="M525" s="16"/>
    </row>
    <row r="526" spans="5:13" x14ac:dyDescent="0.4">
      <c r="E526" s="16"/>
      <c r="F526" s="16"/>
      <c r="G526" s="16"/>
      <c r="H526" s="16"/>
      <c r="I526" s="16"/>
      <c r="J526" s="16"/>
      <c r="K526" s="16"/>
      <c r="L526" s="16"/>
      <c r="M526" s="16"/>
    </row>
    <row r="527" spans="5:13" x14ac:dyDescent="0.4">
      <c r="E527" s="16"/>
      <c r="F527" s="16"/>
      <c r="G527" s="16"/>
      <c r="H527" s="16"/>
      <c r="I527" s="16"/>
      <c r="J527" s="16"/>
      <c r="K527" s="16"/>
      <c r="L527" s="16"/>
      <c r="M527" s="16"/>
    </row>
    <row r="528" spans="5:13" x14ac:dyDescent="0.4">
      <c r="E528" s="16"/>
      <c r="F528" s="16"/>
      <c r="G528" s="16"/>
      <c r="H528" s="16"/>
      <c r="I528" s="16"/>
      <c r="J528" s="16"/>
      <c r="K528" s="16"/>
      <c r="L528" s="16"/>
      <c r="M528" s="16"/>
    </row>
    <row r="529" spans="5:13" x14ac:dyDescent="0.4">
      <c r="E529" s="16"/>
      <c r="F529" s="16"/>
      <c r="G529" s="16"/>
      <c r="H529" s="16"/>
      <c r="I529" s="16"/>
      <c r="J529" s="16"/>
      <c r="K529" s="16"/>
      <c r="L529" s="16"/>
      <c r="M529" s="16"/>
    </row>
    <row r="530" spans="5:13" x14ac:dyDescent="0.4">
      <c r="E530" s="16"/>
      <c r="F530" s="16"/>
      <c r="G530" s="16"/>
      <c r="H530" s="16"/>
      <c r="I530" s="16"/>
      <c r="J530" s="16"/>
      <c r="K530" s="16"/>
      <c r="L530" s="16"/>
      <c r="M530" s="16"/>
    </row>
    <row r="531" spans="5:13" x14ac:dyDescent="0.4">
      <c r="E531" s="16"/>
      <c r="F531" s="16"/>
      <c r="G531" s="16"/>
      <c r="H531" s="16"/>
      <c r="I531" s="16"/>
      <c r="J531" s="16"/>
      <c r="K531" s="16"/>
      <c r="L531" s="16"/>
      <c r="M531" s="16"/>
    </row>
    <row r="532" spans="5:13" x14ac:dyDescent="0.4">
      <c r="E532" s="16"/>
      <c r="F532" s="16"/>
      <c r="G532" s="16"/>
      <c r="H532" s="16"/>
      <c r="I532" s="16"/>
      <c r="J532" s="16"/>
      <c r="K532" s="16"/>
      <c r="L532" s="16"/>
      <c r="M532" s="16"/>
    </row>
    <row r="533" spans="5:13" x14ac:dyDescent="0.4">
      <c r="E533" s="16"/>
      <c r="F533" s="16"/>
      <c r="G533" s="16"/>
      <c r="H533" s="16"/>
      <c r="I533" s="16"/>
      <c r="J533" s="16"/>
      <c r="K533" s="16"/>
      <c r="L533" s="16"/>
      <c r="M533" s="16"/>
    </row>
    <row r="534" spans="5:13" x14ac:dyDescent="0.4">
      <c r="E534" s="16"/>
      <c r="F534" s="16"/>
      <c r="G534" s="16"/>
      <c r="H534" s="16"/>
      <c r="I534" s="16"/>
      <c r="J534" s="16"/>
      <c r="K534" s="16"/>
      <c r="L534" s="16"/>
      <c r="M534" s="16"/>
    </row>
    <row r="535" spans="5:13" x14ac:dyDescent="0.4">
      <c r="E535" s="16"/>
      <c r="F535" s="16"/>
      <c r="G535" s="16"/>
      <c r="H535" s="16"/>
      <c r="I535" s="16"/>
      <c r="J535" s="16"/>
      <c r="K535" s="16"/>
      <c r="L535" s="16"/>
      <c r="M535" s="16"/>
    </row>
    <row r="536" spans="5:13" x14ac:dyDescent="0.4">
      <c r="E536" s="16"/>
      <c r="F536" s="16"/>
      <c r="G536" s="16"/>
      <c r="H536" s="16"/>
      <c r="I536" s="16"/>
      <c r="J536" s="16"/>
      <c r="K536" s="16"/>
      <c r="L536" s="16"/>
      <c r="M536" s="16"/>
    </row>
    <row r="537" spans="5:13" x14ac:dyDescent="0.4">
      <c r="E537" s="16"/>
      <c r="F537" s="16"/>
      <c r="G537" s="16"/>
      <c r="H537" s="16"/>
      <c r="I537" s="16"/>
      <c r="J537" s="16"/>
      <c r="K537" s="16"/>
      <c r="L537" s="16"/>
      <c r="M537" s="16"/>
    </row>
    <row r="538" spans="5:13" x14ac:dyDescent="0.4">
      <c r="E538" s="16"/>
      <c r="F538" s="16"/>
      <c r="G538" s="16"/>
      <c r="H538" s="16"/>
      <c r="I538" s="16"/>
      <c r="J538" s="16"/>
      <c r="K538" s="16"/>
      <c r="L538" s="16"/>
      <c r="M538" s="16"/>
    </row>
    <row r="539" spans="5:13" x14ac:dyDescent="0.4">
      <c r="E539" s="16"/>
      <c r="F539" s="16"/>
      <c r="G539" s="16"/>
      <c r="H539" s="16"/>
      <c r="I539" s="16"/>
      <c r="J539" s="16"/>
      <c r="K539" s="16"/>
      <c r="L539" s="16"/>
      <c r="M539" s="16"/>
    </row>
    <row r="540" spans="5:13" x14ac:dyDescent="0.4">
      <c r="E540" s="16"/>
      <c r="F540" s="16"/>
      <c r="G540" s="16"/>
      <c r="H540" s="16"/>
      <c r="I540" s="16"/>
      <c r="J540" s="16"/>
      <c r="K540" s="16"/>
      <c r="L540" s="16"/>
      <c r="M540" s="16"/>
    </row>
    <row r="541" spans="5:13" x14ac:dyDescent="0.4">
      <c r="E541" s="16"/>
      <c r="F541" s="16"/>
      <c r="G541" s="16"/>
      <c r="H541" s="16"/>
      <c r="I541" s="16"/>
      <c r="J541" s="16"/>
      <c r="K541" s="16"/>
      <c r="L541" s="16"/>
      <c r="M541" s="16"/>
    </row>
    <row r="542" spans="5:13" x14ac:dyDescent="0.4">
      <c r="E542" s="16"/>
      <c r="F542" s="16"/>
      <c r="G542" s="16"/>
      <c r="H542" s="16"/>
      <c r="I542" s="16"/>
      <c r="J542" s="16"/>
      <c r="K542" s="16"/>
      <c r="L542" s="16"/>
      <c r="M542" s="16"/>
    </row>
    <row r="543" spans="5:13" x14ac:dyDescent="0.4">
      <c r="E543" s="16"/>
      <c r="F543" s="16"/>
      <c r="G543" s="16"/>
      <c r="H543" s="16"/>
      <c r="I543" s="16"/>
      <c r="J543" s="16"/>
      <c r="K543" s="16"/>
      <c r="L543" s="16"/>
      <c r="M543" s="16"/>
    </row>
    <row r="544" spans="5:13" x14ac:dyDescent="0.4">
      <c r="E544" s="16"/>
      <c r="F544" s="16"/>
      <c r="G544" s="16"/>
      <c r="H544" s="16"/>
      <c r="I544" s="16"/>
      <c r="J544" s="16"/>
      <c r="K544" s="16"/>
      <c r="L544" s="16"/>
      <c r="M544" s="16"/>
    </row>
    <row r="545" spans="5:13" x14ac:dyDescent="0.4">
      <c r="E545" s="16"/>
      <c r="F545" s="16"/>
      <c r="G545" s="16"/>
      <c r="H545" s="16"/>
      <c r="I545" s="16"/>
      <c r="J545" s="16"/>
      <c r="K545" s="16"/>
      <c r="L545" s="16"/>
      <c r="M545" s="16"/>
    </row>
    <row r="546" spans="5:13" x14ac:dyDescent="0.4">
      <c r="E546" s="16"/>
      <c r="F546" s="16"/>
      <c r="G546" s="16"/>
      <c r="H546" s="16"/>
      <c r="I546" s="16"/>
      <c r="J546" s="16"/>
      <c r="K546" s="16"/>
      <c r="L546" s="16"/>
      <c r="M546" s="16"/>
    </row>
    <row r="547" spans="5:13" x14ac:dyDescent="0.4">
      <c r="E547" s="16"/>
      <c r="F547" s="16"/>
      <c r="G547" s="16"/>
      <c r="H547" s="16"/>
      <c r="I547" s="16"/>
      <c r="J547" s="16"/>
      <c r="K547" s="16"/>
      <c r="L547" s="16"/>
      <c r="M547" s="16"/>
    </row>
    <row r="548" spans="5:13" x14ac:dyDescent="0.4">
      <c r="E548" s="16"/>
      <c r="F548" s="16"/>
      <c r="G548" s="16"/>
      <c r="H548" s="16"/>
      <c r="I548" s="16"/>
      <c r="J548" s="16"/>
      <c r="K548" s="16"/>
      <c r="L548" s="16"/>
      <c r="M548" s="16"/>
    </row>
    <row r="549" spans="5:13" x14ac:dyDescent="0.4">
      <c r="E549" s="16"/>
      <c r="F549" s="16"/>
      <c r="G549" s="16"/>
      <c r="H549" s="16"/>
      <c r="I549" s="16"/>
      <c r="J549" s="16"/>
      <c r="K549" s="16"/>
      <c r="L549" s="16"/>
      <c r="M549" s="16"/>
    </row>
    <row r="550" spans="5:13" x14ac:dyDescent="0.4">
      <c r="E550" s="16"/>
      <c r="F550" s="16"/>
      <c r="G550" s="16"/>
      <c r="H550" s="16"/>
      <c r="I550" s="16"/>
      <c r="J550" s="16"/>
      <c r="K550" s="16"/>
      <c r="L550" s="16"/>
      <c r="M550" s="16"/>
    </row>
    <row r="551" spans="5:13" x14ac:dyDescent="0.4">
      <c r="E551" s="16"/>
      <c r="F551" s="16"/>
      <c r="G551" s="16"/>
      <c r="H551" s="16"/>
      <c r="I551" s="16"/>
      <c r="J551" s="16"/>
      <c r="K551" s="16"/>
      <c r="L551" s="16"/>
      <c r="M551" s="16"/>
    </row>
    <row r="552" spans="5:13" x14ac:dyDescent="0.4">
      <c r="E552" s="16"/>
      <c r="F552" s="16"/>
      <c r="G552" s="16"/>
      <c r="H552" s="16"/>
      <c r="I552" s="16"/>
      <c r="J552" s="16"/>
      <c r="K552" s="16"/>
      <c r="L552" s="16"/>
      <c r="M552" s="16"/>
    </row>
    <row r="553" spans="5:13" x14ac:dyDescent="0.4">
      <c r="E553" s="16"/>
      <c r="F553" s="16"/>
      <c r="G553" s="16"/>
      <c r="H553" s="16"/>
      <c r="I553" s="16"/>
      <c r="J553" s="16"/>
      <c r="K553" s="16"/>
      <c r="L553" s="16"/>
      <c r="M553" s="16"/>
    </row>
    <row r="554" spans="5:13" x14ac:dyDescent="0.4">
      <c r="E554" s="16"/>
      <c r="F554" s="16"/>
      <c r="G554" s="16"/>
      <c r="H554" s="16"/>
      <c r="I554" s="16"/>
      <c r="J554" s="16"/>
      <c r="K554" s="16"/>
      <c r="L554" s="16"/>
      <c r="M554" s="16"/>
    </row>
    <row r="555" spans="5:13" x14ac:dyDescent="0.4">
      <c r="E555" s="16"/>
      <c r="F555" s="16"/>
      <c r="G555" s="16"/>
      <c r="H555" s="16"/>
      <c r="I555" s="16"/>
      <c r="J555" s="16"/>
      <c r="K555" s="16"/>
      <c r="L555" s="16"/>
      <c r="M555" s="16"/>
    </row>
    <row r="556" spans="5:13" x14ac:dyDescent="0.4">
      <c r="E556" s="16"/>
      <c r="F556" s="16"/>
      <c r="G556" s="16"/>
      <c r="H556" s="16"/>
      <c r="I556" s="16"/>
      <c r="J556" s="16"/>
      <c r="K556" s="16"/>
      <c r="L556" s="16"/>
      <c r="M556" s="16"/>
    </row>
    <row r="557" spans="5:13" x14ac:dyDescent="0.4">
      <c r="E557" s="16"/>
      <c r="F557" s="16"/>
      <c r="G557" s="16"/>
      <c r="H557" s="16"/>
      <c r="I557" s="16"/>
      <c r="J557" s="16"/>
      <c r="K557" s="16"/>
      <c r="L557" s="16"/>
      <c r="M557" s="16"/>
    </row>
    <row r="558" spans="5:13" x14ac:dyDescent="0.4">
      <c r="E558" s="16"/>
      <c r="F558" s="16"/>
      <c r="G558" s="16"/>
      <c r="H558" s="16"/>
      <c r="I558" s="16"/>
      <c r="J558" s="16"/>
      <c r="K558" s="16"/>
      <c r="L558" s="16"/>
      <c r="M558" s="16"/>
    </row>
    <row r="559" spans="5:13" x14ac:dyDescent="0.4">
      <c r="E559" s="16"/>
      <c r="F559" s="16"/>
      <c r="G559" s="16"/>
      <c r="H559" s="16"/>
      <c r="I559" s="16"/>
      <c r="J559" s="16"/>
      <c r="K559" s="16"/>
      <c r="L559" s="16"/>
      <c r="M559" s="16"/>
    </row>
    <row r="560" spans="5:13" x14ac:dyDescent="0.4">
      <c r="E560" s="16"/>
      <c r="F560" s="16"/>
      <c r="G560" s="16"/>
      <c r="H560" s="16"/>
      <c r="I560" s="16"/>
      <c r="J560" s="16"/>
      <c r="K560" s="16"/>
      <c r="L560" s="16"/>
      <c r="M560" s="16"/>
    </row>
    <row r="561" spans="5:13" x14ac:dyDescent="0.4">
      <c r="E561" s="16"/>
      <c r="F561" s="16"/>
      <c r="G561" s="16"/>
      <c r="H561" s="16"/>
      <c r="I561" s="16"/>
      <c r="J561" s="16"/>
      <c r="K561" s="16"/>
      <c r="L561" s="16"/>
      <c r="M561" s="16"/>
    </row>
    <row r="562" spans="5:13" x14ac:dyDescent="0.4">
      <c r="E562" s="16"/>
      <c r="F562" s="16"/>
      <c r="G562" s="16"/>
      <c r="H562" s="16"/>
      <c r="I562" s="16"/>
      <c r="J562" s="16"/>
      <c r="K562" s="16"/>
      <c r="L562" s="16"/>
      <c r="M562" s="16"/>
    </row>
    <row r="563" spans="5:13" x14ac:dyDescent="0.4">
      <c r="E563" s="16"/>
      <c r="F563" s="16"/>
      <c r="G563" s="16"/>
      <c r="H563" s="16"/>
      <c r="I563" s="16"/>
      <c r="J563" s="16"/>
      <c r="K563" s="16"/>
      <c r="L563" s="16"/>
      <c r="M563" s="16"/>
    </row>
    <row r="564" spans="5:13" x14ac:dyDescent="0.4">
      <c r="E564" s="16"/>
      <c r="F564" s="16"/>
      <c r="G564" s="16"/>
      <c r="H564" s="16"/>
      <c r="I564" s="16"/>
      <c r="J564" s="16"/>
      <c r="K564" s="16"/>
      <c r="L564" s="16"/>
      <c r="M564" s="16"/>
    </row>
    <row r="565" spans="5:13" x14ac:dyDescent="0.4">
      <c r="E565" s="16"/>
      <c r="F565" s="16"/>
      <c r="G565" s="16"/>
      <c r="H565" s="16"/>
      <c r="I565" s="16"/>
      <c r="J565" s="16"/>
      <c r="K565" s="16"/>
      <c r="L565" s="16"/>
      <c r="M565" s="16"/>
    </row>
    <row r="566" spans="5:13" x14ac:dyDescent="0.4">
      <c r="E566" s="16"/>
      <c r="F566" s="16"/>
      <c r="G566" s="16"/>
      <c r="H566" s="16"/>
      <c r="I566" s="16"/>
      <c r="J566" s="16"/>
      <c r="K566" s="16"/>
      <c r="L566" s="16"/>
      <c r="M566" s="16"/>
    </row>
    <row r="567" spans="5:13" x14ac:dyDescent="0.4">
      <c r="E567" s="16"/>
      <c r="F567" s="16"/>
      <c r="G567" s="16"/>
      <c r="H567" s="16"/>
      <c r="I567" s="16"/>
      <c r="J567" s="16"/>
      <c r="K567" s="16"/>
      <c r="L567" s="16"/>
      <c r="M567" s="16"/>
    </row>
    <row r="568" spans="5:13" x14ac:dyDescent="0.4">
      <c r="E568" s="16"/>
      <c r="F568" s="16"/>
      <c r="G568" s="16"/>
      <c r="H568" s="16"/>
      <c r="I568" s="16"/>
      <c r="J568" s="16"/>
      <c r="K568" s="16"/>
      <c r="L568" s="16"/>
      <c r="M568" s="16"/>
    </row>
    <row r="569" spans="5:13" x14ac:dyDescent="0.4">
      <c r="E569" s="16"/>
      <c r="F569" s="16"/>
      <c r="G569" s="16"/>
      <c r="H569" s="16"/>
      <c r="I569" s="16"/>
      <c r="J569" s="16"/>
      <c r="K569" s="16"/>
      <c r="L569" s="16"/>
      <c r="M569" s="16"/>
    </row>
    <row r="570" spans="5:13" x14ac:dyDescent="0.4">
      <c r="E570" s="16"/>
      <c r="F570" s="16"/>
      <c r="G570" s="16"/>
      <c r="H570" s="16"/>
      <c r="I570" s="16"/>
      <c r="J570" s="16"/>
      <c r="K570" s="16"/>
      <c r="L570" s="16"/>
      <c r="M570" s="16"/>
    </row>
    <row r="571" spans="5:13" x14ac:dyDescent="0.4">
      <c r="E571" s="16"/>
      <c r="F571" s="16"/>
      <c r="G571" s="16"/>
      <c r="H571" s="16"/>
      <c r="I571" s="16"/>
      <c r="J571" s="16"/>
      <c r="K571" s="16"/>
      <c r="L571" s="16"/>
      <c r="M571" s="16"/>
    </row>
    <row r="572" spans="5:13" x14ac:dyDescent="0.4">
      <c r="E572" s="16"/>
      <c r="F572" s="16"/>
      <c r="G572" s="16"/>
      <c r="H572" s="16"/>
      <c r="I572" s="16"/>
      <c r="J572" s="16"/>
      <c r="K572" s="16"/>
      <c r="L572" s="16"/>
      <c r="M572" s="16"/>
    </row>
    <row r="573" spans="5:13" x14ac:dyDescent="0.4">
      <c r="E573" s="16"/>
      <c r="F573" s="16"/>
      <c r="G573" s="16"/>
      <c r="H573" s="16"/>
      <c r="I573" s="16"/>
      <c r="J573" s="16"/>
      <c r="K573" s="16"/>
      <c r="L573" s="16"/>
      <c r="M573" s="16"/>
    </row>
    <row r="574" spans="5:13" x14ac:dyDescent="0.4">
      <c r="E574" s="16"/>
      <c r="F574" s="16"/>
      <c r="G574" s="16"/>
      <c r="H574" s="16"/>
      <c r="I574" s="16"/>
      <c r="J574" s="16"/>
      <c r="K574" s="16"/>
      <c r="L574" s="16"/>
      <c r="M574" s="16"/>
    </row>
    <row r="575" spans="5:13" x14ac:dyDescent="0.4">
      <c r="E575" s="16"/>
      <c r="F575" s="16"/>
      <c r="G575" s="16"/>
      <c r="H575" s="16"/>
      <c r="I575" s="16"/>
      <c r="J575" s="16"/>
      <c r="K575" s="16"/>
      <c r="L575" s="16"/>
      <c r="M575" s="16"/>
    </row>
    <row r="576" spans="5:13" x14ac:dyDescent="0.4">
      <c r="E576" s="16"/>
      <c r="F576" s="16"/>
      <c r="G576" s="16"/>
      <c r="H576" s="16"/>
      <c r="I576" s="16"/>
      <c r="J576" s="16"/>
      <c r="K576" s="16"/>
      <c r="L576" s="16"/>
      <c r="M576" s="16"/>
    </row>
    <row r="577" spans="5:13" x14ac:dyDescent="0.4">
      <c r="E577" s="16"/>
      <c r="F577" s="16"/>
      <c r="G577" s="16"/>
      <c r="H577" s="16"/>
      <c r="I577" s="16"/>
      <c r="J577" s="16"/>
      <c r="K577" s="16"/>
      <c r="L577" s="16"/>
      <c r="M577" s="16"/>
    </row>
    <row r="578" spans="5:13" x14ac:dyDescent="0.4">
      <c r="E578" s="16"/>
      <c r="F578" s="16"/>
      <c r="G578" s="16"/>
      <c r="H578" s="16"/>
      <c r="I578" s="16"/>
      <c r="J578" s="16"/>
      <c r="K578" s="16"/>
      <c r="L578" s="16"/>
      <c r="M578" s="16"/>
    </row>
    <row r="579" spans="5:13" x14ac:dyDescent="0.4">
      <c r="E579" s="16"/>
      <c r="F579" s="16"/>
      <c r="G579" s="16"/>
      <c r="H579" s="16"/>
      <c r="I579" s="16"/>
      <c r="J579" s="16"/>
      <c r="K579" s="16"/>
      <c r="L579" s="16"/>
      <c r="M579" s="16"/>
    </row>
    <row r="580" spans="5:13" x14ac:dyDescent="0.4">
      <c r="E580" s="16"/>
      <c r="F580" s="16"/>
      <c r="G580" s="16"/>
      <c r="H580" s="16"/>
      <c r="I580" s="16"/>
      <c r="J580" s="16"/>
      <c r="K580" s="16"/>
      <c r="L580" s="16"/>
      <c r="M580" s="16"/>
    </row>
    <row r="581" spans="5:13" x14ac:dyDescent="0.4">
      <c r="E581" s="16"/>
      <c r="F581" s="16"/>
      <c r="G581" s="16"/>
      <c r="H581" s="16"/>
      <c r="I581" s="16"/>
      <c r="J581" s="16"/>
      <c r="K581" s="16"/>
      <c r="L581" s="16"/>
      <c r="M581" s="16"/>
    </row>
    <row r="582" spans="5:13" x14ac:dyDescent="0.4">
      <c r="E582" s="16"/>
      <c r="F582" s="16"/>
      <c r="G582" s="16"/>
      <c r="H582" s="16"/>
      <c r="I582" s="16"/>
      <c r="J582" s="16"/>
      <c r="K582" s="16"/>
      <c r="L582" s="16"/>
      <c r="M582" s="16"/>
    </row>
    <row r="583" spans="5:13" x14ac:dyDescent="0.4">
      <c r="E583" s="16"/>
      <c r="F583" s="16"/>
      <c r="G583" s="16"/>
      <c r="H583" s="16"/>
      <c r="I583" s="16"/>
      <c r="J583" s="16"/>
      <c r="K583" s="16"/>
      <c r="L583" s="16"/>
      <c r="M583" s="16"/>
    </row>
    <row r="584" spans="5:13" x14ac:dyDescent="0.4">
      <c r="E584" s="16"/>
      <c r="F584" s="16"/>
      <c r="G584" s="16"/>
      <c r="H584" s="16"/>
      <c r="I584" s="16"/>
      <c r="J584" s="16"/>
      <c r="K584" s="16"/>
      <c r="L584" s="16"/>
      <c r="M584" s="16"/>
    </row>
    <row r="585" spans="5:13" x14ac:dyDescent="0.4">
      <c r="E585" s="16"/>
      <c r="F585" s="16"/>
      <c r="G585" s="16"/>
      <c r="H585" s="16"/>
      <c r="I585" s="16"/>
      <c r="J585" s="16"/>
      <c r="K585" s="16"/>
      <c r="L585" s="16"/>
      <c r="M585" s="16"/>
    </row>
    <row r="586" spans="5:13" x14ac:dyDescent="0.4">
      <c r="E586" s="16"/>
      <c r="F586" s="16"/>
      <c r="G586" s="16"/>
      <c r="H586" s="16"/>
      <c r="I586" s="16"/>
      <c r="J586" s="16"/>
      <c r="K586" s="16"/>
      <c r="L586" s="16"/>
      <c r="M586" s="16"/>
    </row>
    <row r="587" spans="5:13" x14ac:dyDescent="0.4">
      <c r="E587" s="16"/>
      <c r="F587" s="16"/>
      <c r="G587" s="16"/>
      <c r="H587" s="16"/>
      <c r="I587" s="16"/>
      <c r="J587" s="16"/>
      <c r="K587" s="16"/>
      <c r="L587" s="16"/>
      <c r="M587" s="16"/>
    </row>
    <row r="588" spans="5:13" x14ac:dyDescent="0.4">
      <c r="E588" s="16"/>
      <c r="F588" s="16"/>
      <c r="G588" s="16"/>
      <c r="H588" s="16"/>
      <c r="I588" s="16"/>
      <c r="J588" s="16"/>
      <c r="K588" s="16"/>
      <c r="L588" s="16"/>
      <c r="M588" s="16"/>
    </row>
    <row r="589" spans="5:13" x14ac:dyDescent="0.4">
      <c r="E589" s="16"/>
      <c r="F589" s="16"/>
      <c r="G589" s="16"/>
      <c r="H589" s="16"/>
      <c r="I589" s="16"/>
      <c r="J589" s="16"/>
      <c r="K589" s="16"/>
      <c r="L589" s="16"/>
      <c r="M589" s="16"/>
    </row>
    <row r="590" spans="5:13" x14ac:dyDescent="0.4">
      <c r="E590" s="16"/>
      <c r="F590" s="16"/>
      <c r="G590" s="16"/>
      <c r="H590" s="16"/>
      <c r="I590" s="16"/>
      <c r="J590" s="16"/>
      <c r="K590" s="16"/>
      <c r="L590" s="16"/>
      <c r="M590" s="16"/>
    </row>
    <row r="591" spans="5:13" x14ac:dyDescent="0.4">
      <c r="E591" s="16"/>
      <c r="F591" s="16"/>
      <c r="G591" s="16"/>
      <c r="H591" s="16"/>
      <c r="I591" s="16"/>
      <c r="J591" s="16"/>
      <c r="K591" s="16"/>
      <c r="L591" s="16"/>
      <c r="M591" s="16"/>
    </row>
    <row r="592" spans="5:13" x14ac:dyDescent="0.4">
      <c r="E592" s="16"/>
      <c r="F592" s="16"/>
      <c r="G592" s="16"/>
      <c r="H592" s="16"/>
      <c r="I592" s="16"/>
      <c r="J592" s="16"/>
      <c r="K592" s="16"/>
      <c r="L592" s="16"/>
      <c r="M592" s="16"/>
    </row>
    <row r="593" spans="5:13" x14ac:dyDescent="0.4">
      <c r="E593" s="16"/>
      <c r="F593" s="16"/>
      <c r="G593" s="16"/>
      <c r="H593" s="16"/>
      <c r="I593" s="16"/>
      <c r="J593" s="16"/>
      <c r="K593" s="16"/>
      <c r="L593" s="16"/>
      <c r="M593" s="16"/>
    </row>
    <row r="594" spans="5:13" x14ac:dyDescent="0.4">
      <c r="E594" s="16"/>
      <c r="F594" s="16"/>
      <c r="G594" s="16"/>
      <c r="H594" s="16"/>
      <c r="I594" s="16"/>
      <c r="J594" s="16"/>
      <c r="K594" s="16"/>
      <c r="L594" s="16"/>
      <c r="M594" s="16"/>
    </row>
    <row r="595" spans="5:13" x14ac:dyDescent="0.4">
      <c r="E595" s="16"/>
      <c r="F595" s="16"/>
      <c r="G595" s="16"/>
      <c r="H595" s="16"/>
      <c r="I595" s="16"/>
      <c r="J595" s="16"/>
      <c r="K595" s="16"/>
      <c r="L595" s="16"/>
      <c r="M595" s="16"/>
    </row>
    <row r="596" spans="5:13" x14ac:dyDescent="0.4">
      <c r="E596" s="16"/>
      <c r="F596" s="16"/>
      <c r="G596" s="16"/>
      <c r="H596" s="16"/>
      <c r="I596" s="16"/>
      <c r="J596" s="16"/>
      <c r="K596" s="16"/>
      <c r="L596" s="16"/>
      <c r="M596" s="16"/>
    </row>
    <row r="597" spans="5:13" x14ac:dyDescent="0.4">
      <c r="E597" s="16"/>
      <c r="F597" s="16"/>
      <c r="G597" s="16"/>
      <c r="H597" s="16"/>
      <c r="I597" s="16"/>
      <c r="J597" s="16"/>
      <c r="K597" s="16"/>
      <c r="L597" s="16"/>
      <c r="M597" s="16"/>
    </row>
    <row r="598" spans="5:13" x14ac:dyDescent="0.4">
      <c r="E598" s="16"/>
      <c r="F598" s="16"/>
      <c r="G598" s="16"/>
      <c r="H598" s="16"/>
      <c r="I598" s="16"/>
      <c r="J598" s="16"/>
      <c r="K598" s="16"/>
      <c r="L598" s="16"/>
      <c r="M598" s="16"/>
    </row>
    <row r="599" spans="5:13" x14ac:dyDescent="0.4">
      <c r="E599" s="16"/>
      <c r="F599" s="16"/>
      <c r="G599" s="16"/>
      <c r="H599" s="16"/>
      <c r="I599" s="16"/>
      <c r="J599" s="16"/>
      <c r="K599" s="16"/>
      <c r="L599" s="16"/>
      <c r="M599" s="16"/>
    </row>
    <row r="600" spans="5:13" x14ac:dyDescent="0.4">
      <c r="E600" s="16"/>
      <c r="F600" s="16"/>
      <c r="G600" s="16"/>
      <c r="H600" s="16"/>
      <c r="I600" s="16"/>
      <c r="J600" s="16"/>
      <c r="K600" s="16"/>
      <c r="L600" s="16"/>
      <c r="M600" s="16"/>
    </row>
    <row r="601" spans="5:13" x14ac:dyDescent="0.4">
      <c r="E601" s="16"/>
      <c r="F601" s="16"/>
      <c r="G601" s="16"/>
      <c r="H601" s="16"/>
      <c r="I601" s="16"/>
      <c r="J601" s="16"/>
      <c r="K601" s="16"/>
      <c r="L601" s="16"/>
      <c r="M601" s="16"/>
    </row>
    <row r="602" spans="5:13" x14ac:dyDescent="0.4">
      <c r="E602" s="16"/>
      <c r="F602" s="16"/>
      <c r="G602" s="16"/>
      <c r="H602" s="16"/>
      <c r="I602" s="16"/>
      <c r="J602" s="16"/>
      <c r="K602" s="16"/>
      <c r="L602" s="16"/>
      <c r="M602" s="16"/>
    </row>
    <row r="603" spans="5:13" x14ac:dyDescent="0.4">
      <c r="E603" s="16"/>
      <c r="F603" s="16"/>
      <c r="G603" s="16"/>
      <c r="H603" s="16"/>
      <c r="I603" s="16"/>
      <c r="J603" s="16"/>
      <c r="K603" s="16"/>
      <c r="L603" s="16"/>
      <c r="M603" s="16"/>
    </row>
    <row r="604" spans="5:13" x14ac:dyDescent="0.4">
      <c r="E604" s="16"/>
      <c r="F604" s="16"/>
      <c r="G604" s="16"/>
      <c r="H604" s="16"/>
      <c r="I604" s="16"/>
      <c r="J604" s="16"/>
      <c r="K604" s="16"/>
      <c r="L604" s="16"/>
      <c r="M604" s="16"/>
    </row>
    <row r="605" spans="5:13" x14ac:dyDescent="0.4">
      <c r="E605" s="16"/>
      <c r="F605" s="16"/>
      <c r="G605" s="16"/>
      <c r="H605" s="16"/>
      <c r="I605" s="16"/>
      <c r="J605" s="16"/>
      <c r="K605" s="16"/>
      <c r="L605" s="16"/>
      <c r="M605" s="16"/>
    </row>
    <row r="606" spans="5:13" x14ac:dyDescent="0.4">
      <c r="E606" s="16"/>
      <c r="F606" s="16"/>
      <c r="G606" s="16"/>
      <c r="H606" s="16"/>
      <c r="I606" s="16"/>
      <c r="J606" s="16"/>
      <c r="K606" s="16"/>
      <c r="L606" s="16"/>
      <c r="M606" s="16"/>
    </row>
    <row r="607" spans="5:13" x14ac:dyDescent="0.4">
      <c r="E607" s="16"/>
      <c r="F607" s="16"/>
      <c r="G607" s="16"/>
      <c r="H607" s="16"/>
      <c r="I607" s="16"/>
      <c r="J607" s="16"/>
      <c r="K607" s="16"/>
      <c r="L607" s="16"/>
      <c r="M607" s="16"/>
    </row>
    <row r="608" spans="5:13" x14ac:dyDescent="0.4">
      <c r="E608" s="16"/>
      <c r="F608" s="16"/>
      <c r="G608" s="16"/>
      <c r="H608" s="16"/>
      <c r="I608" s="16"/>
      <c r="J608" s="16"/>
      <c r="K608" s="16"/>
      <c r="L608" s="16"/>
      <c r="M608" s="16"/>
    </row>
    <row r="609" spans="5:13" x14ac:dyDescent="0.4">
      <c r="E609" s="16"/>
      <c r="F609" s="16"/>
      <c r="G609" s="16"/>
      <c r="H609" s="16"/>
      <c r="I609" s="16"/>
      <c r="J609" s="16"/>
      <c r="K609" s="16"/>
      <c r="L609" s="16"/>
      <c r="M609" s="16"/>
    </row>
    <row r="610" spans="5:13" x14ac:dyDescent="0.4">
      <c r="E610" s="16"/>
      <c r="F610" s="16"/>
      <c r="G610" s="16"/>
      <c r="H610" s="16"/>
      <c r="I610" s="16"/>
      <c r="J610" s="16"/>
      <c r="K610" s="16"/>
      <c r="L610" s="16"/>
      <c r="M610" s="16"/>
    </row>
    <row r="611" spans="5:13" x14ac:dyDescent="0.4">
      <c r="E611" s="16"/>
      <c r="F611" s="16"/>
      <c r="G611" s="16"/>
      <c r="H611" s="16"/>
      <c r="I611" s="16"/>
      <c r="J611" s="16"/>
      <c r="K611" s="16"/>
      <c r="L611" s="16"/>
      <c r="M611" s="16"/>
    </row>
    <row r="612" spans="5:13" x14ac:dyDescent="0.4">
      <c r="E612" s="16"/>
      <c r="F612" s="16"/>
      <c r="G612" s="16"/>
      <c r="H612" s="16"/>
      <c r="I612" s="16"/>
      <c r="J612" s="16"/>
      <c r="K612" s="16"/>
      <c r="L612" s="16"/>
      <c r="M612" s="16"/>
    </row>
    <row r="613" spans="5:13" x14ac:dyDescent="0.4">
      <c r="E613" s="16"/>
      <c r="F613" s="16"/>
      <c r="G613" s="16"/>
      <c r="H613" s="16"/>
      <c r="I613" s="16"/>
      <c r="J613" s="16"/>
      <c r="K613" s="16"/>
      <c r="L613" s="16"/>
      <c r="M613" s="16"/>
    </row>
    <row r="614" spans="5:13" x14ac:dyDescent="0.4">
      <c r="E614" s="16"/>
      <c r="F614" s="16"/>
      <c r="G614" s="16"/>
      <c r="H614" s="16"/>
      <c r="I614" s="16"/>
      <c r="J614" s="16"/>
      <c r="K614" s="16"/>
      <c r="L614" s="16"/>
      <c r="M614" s="16"/>
    </row>
    <row r="615" spans="5:13" x14ac:dyDescent="0.4">
      <c r="E615" s="16"/>
      <c r="F615" s="16"/>
      <c r="G615" s="16"/>
      <c r="H615" s="16"/>
      <c r="I615" s="16"/>
      <c r="J615" s="16"/>
      <c r="K615" s="16"/>
      <c r="L615" s="16"/>
      <c r="M615" s="16"/>
    </row>
    <row r="616" spans="5:13" x14ac:dyDescent="0.4">
      <c r="E616" s="16"/>
      <c r="F616" s="16"/>
      <c r="G616" s="16"/>
      <c r="H616" s="16"/>
      <c r="I616" s="16"/>
      <c r="J616" s="16"/>
      <c r="K616" s="16"/>
      <c r="L616" s="16"/>
      <c r="M616" s="16"/>
    </row>
    <row r="617" spans="5:13" x14ac:dyDescent="0.4">
      <c r="E617" s="16"/>
      <c r="F617" s="16"/>
      <c r="G617" s="16"/>
      <c r="H617" s="16"/>
      <c r="I617" s="16"/>
      <c r="J617" s="16"/>
      <c r="K617" s="16"/>
      <c r="L617" s="16"/>
      <c r="M617" s="16"/>
    </row>
    <row r="618" spans="5:13" x14ac:dyDescent="0.4">
      <c r="E618" s="16"/>
      <c r="F618" s="16"/>
      <c r="G618" s="16"/>
      <c r="H618" s="16"/>
      <c r="I618" s="16"/>
      <c r="J618" s="16"/>
      <c r="K618" s="16"/>
      <c r="L618" s="16"/>
      <c r="M618" s="16"/>
    </row>
    <row r="619" spans="5:13" x14ac:dyDescent="0.4">
      <c r="E619" s="16"/>
      <c r="F619" s="16"/>
      <c r="G619" s="16"/>
      <c r="H619" s="16"/>
      <c r="I619" s="16"/>
      <c r="J619" s="16"/>
      <c r="K619" s="16"/>
      <c r="L619" s="16"/>
      <c r="M619" s="16"/>
    </row>
    <row r="620" spans="5:13" x14ac:dyDescent="0.4">
      <c r="E620" s="16"/>
      <c r="F620" s="16"/>
      <c r="G620" s="16"/>
      <c r="H620" s="16"/>
      <c r="I620" s="16"/>
      <c r="J620" s="16"/>
      <c r="K620" s="16"/>
      <c r="L620" s="16"/>
      <c r="M620" s="16"/>
    </row>
    <row r="621" spans="5:13" x14ac:dyDescent="0.4">
      <c r="E621" s="16"/>
      <c r="F621" s="16"/>
      <c r="G621" s="16"/>
      <c r="H621" s="16"/>
      <c r="I621" s="16"/>
      <c r="J621" s="16"/>
      <c r="K621" s="16"/>
      <c r="L621" s="16"/>
      <c r="M621" s="16"/>
    </row>
    <row r="622" spans="5:13" x14ac:dyDescent="0.4">
      <c r="E622" s="16"/>
      <c r="F622" s="16"/>
      <c r="G622" s="16"/>
      <c r="H622" s="16"/>
      <c r="I622" s="16"/>
      <c r="J622" s="16"/>
      <c r="K622" s="16"/>
      <c r="L622" s="16"/>
      <c r="M622" s="16"/>
    </row>
    <row r="623" spans="5:13" x14ac:dyDescent="0.4">
      <c r="E623" s="16"/>
      <c r="F623" s="16"/>
      <c r="G623" s="16"/>
      <c r="H623" s="16"/>
      <c r="I623" s="16"/>
      <c r="J623" s="16"/>
      <c r="K623" s="16"/>
      <c r="L623" s="16"/>
      <c r="M623" s="16"/>
    </row>
    <row r="624" spans="5:13" x14ac:dyDescent="0.4">
      <c r="E624" s="16"/>
      <c r="F624" s="16"/>
      <c r="G624" s="16"/>
      <c r="H624" s="16"/>
      <c r="I624" s="16"/>
      <c r="J624" s="16"/>
      <c r="K624" s="16"/>
      <c r="L624" s="16"/>
      <c r="M624" s="16"/>
    </row>
    <row r="625" spans="5:13" x14ac:dyDescent="0.4">
      <c r="E625" s="16"/>
      <c r="F625" s="16"/>
      <c r="G625" s="16"/>
      <c r="H625" s="16"/>
      <c r="I625" s="16"/>
      <c r="J625" s="16"/>
      <c r="K625" s="16"/>
      <c r="L625" s="16"/>
      <c r="M625" s="16"/>
    </row>
    <row r="626" spans="5:13" x14ac:dyDescent="0.4">
      <c r="E626" s="16"/>
      <c r="F626" s="16"/>
      <c r="G626" s="16"/>
      <c r="H626" s="16"/>
      <c r="I626" s="16"/>
      <c r="J626" s="16"/>
      <c r="K626" s="16"/>
      <c r="L626" s="16"/>
      <c r="M626" s="16"/>
    </row>
    <row r="627" spans="5:13" x14ac:dyDescent="0.4">
      <c r="E627" s="16"/>
      <c r="F627" s="16"/>
      <c r="G627" s="16"/>
      <c r="H627" s="16"/>
      <c r="I627" s="16"/>
      <c r="J627" s="16"/>
      <c r="K627" s="16"/>
      <c r="L627" s="16"/>
      <c r="M627" s="16"/>
    </row>
    <row r="628" spans="5:13" x14ac:dyDescent="0.4">
      <c r="E628" s="16"/>
      <c r="F628" s="16"/>
      <c r="G628" s="16"/>
      <c r="H628" s="16"/>
      <c r="I628" s="16"/>
      <c r="J628" s="16"/>
      <c r="K628" s="16"/>
      <c r="L628" s="16"/>
      <c r="M628" s="16"/>
    </row>
    <row r="629" spans="5:13" x14ac:dyDescent="0.4">
      <c r="E629" s="16"/>
      <c r="F629" s="16"/>
      <c r="G629" s="16"/>
      <c r="H629" s="16"/>
      <c r="I629" s="16"/>
      <c r="J629" s="16"/>
      <c r="K629" s="16"/>
      <c r="L629" s="16"/>
      <c r="M629" s="16"/>
    </row>
    <row r="630" spans="5:13" x14ac:dyDescent="0.4">
      <c r="E630" s="16"/>
      <c r="F630" s="16"/>
      <c r="G630" s="16"/>
      <c r="H630" s="16"/>
      <c r="I630" s="16"/>
      <c r="J630" s="16"/>
      <c r="K630" s="16"/>
      <c r="L630" s="16"/>
      <c r="M630" s="16"/>
    </row>
    <row r="631" spans="5:13" x14ac:dyDescent="0.4">
      <c r="E631" s="16"/>
      <c r="F631" s="16"/>
      <c r="G631" s="16"/>
      <c r="H631" s="16"/>
      <c r="I631" s="16"/>
      <c r="J631" s="16"/>
      <c r="K631" s="16"/>
      <c r="L631" s="16"/>
      <c r="M631" s="16"/>
    </row>
    <row r="632" spans="5:13" x14ac:dyDescent="0.4">
      <c r="E632" s="16"/>
      <c r="F632" s="16"/>
      <c r="G632" s="16"/>
      <c r="H632" s="16"/>
      <c r="I632" s="16"/>
      <c r="J632" s="16"/>
      <c r="K632" s="16"/>
      <c r="L632" s="16"/>
      <c r="M632" s="16"/>
    </row>
    <row r="633" spans="5:13" x14ac:dyDescent="0.4">
      <c r="E633" s="16"/>
      <c r="F633" s="16"/>
      <c r="G633" s="16"/>
      <c r="H633" s="16"/>
      <c r="I633" s="16"/>
      <c r="J633" s="16"/>
      <c r="K633" s="16"/>
      <c r="L633" s="16"/>
      <c r="M633" s="16"/>
    </row>
    <row r="634" spans="5:13" x14ac:dyDescent="0.4">
      <c r="E634" s="16"/>
      <c r="F634" s="16"/>
      <c r="G634" s="16"/>
      <c r="H634" s="16"/>
      <c r="I634" s="16"/>
      <c r="J634" s="16"/>
      <c r="K634" s="16"/>
      <c r="L634" s="16"/>
      <c r="M634" s="16"/>
    </row>
    <row r="635" spans="5:13" x14ac:dyDescent="0.4">
      <c r="E635" s="16"/>
      <c r="F635" s="16"/>
      <c r="G635" s="16"/>
      <c r="H635" s="16"/>
      <c r="I635" s="16"/>
      <c r="J635" s="16"/>
      <c r="K635" s="16"/>
      <c r="L635" s="16"/>
      <c r="M635" s="16"/>
    </row>
    <row r="636" spans="5:13" x14ac:dyDescent="0.4">
      <c r="E636" s="16"/>
      <c r="F636" s="16"/>
      <c r="G636" s="16"/>
      <c r="H636" s="16"/>
      <c r="I636" s="16"/>
      <c r="J636" s="16"/>
      <c r="K636" s="16"/>
      <c r="L636" s="16"/>
      <c r="M636" s="16"/>
    </row>
    <row r="637" spans="5:13" x14ac:dyDescent="0.4">
      <c r="E637" s="16"/>
      <c r="F637" s="16"/>
      <c r="G637" s="16"/>
      <c r="H637" s="16"/>
      <c r="I637" s="16"/>
      <c r="J637" s="16"/>
      <c r="K637" s="16"/>
      <c r="L637" s="16"/>
      <c r="M637" s="16"/>
    </row>
    <row r="638" spans="5:13" x14ac:dyDescent="0.4">
      <c r="E638" s="16"/>
      <c r="F638" s="16"/>
      <c r="G638" s="16"/>
      <c r="H638" s="16"/>
      <c r="I638" s="16"/>
      <c r="J638" s="16"/>
      <c r="K638" s="16"/>
      <c r="L638" s="16"/>
      <c r="M638" s="16"/>
    </row>
    <row r="639" spans="5:13" x14ac:dyDescent="0.4">
      <c r="E639" s="16"/>
      <c r="F639" s="16"/>
      <c r="G639" s="16"/>
      <c r="H639" s="16"/>
      <c r="I639" s="16"/>
      <c r="J639" s="16"/>
      <c r="K639" s="16"/>
      <c r="L639" s="16"/>
      <c r="M639" s="16"/>
    </row>
    <row r="640" spans="5:13" x14ac:dyDescent="0.4">
      <c r="E640" s="16"/>
      <c r="F640" s="16"/>
      <c r="G640" s="16"/>
      <c r="H640" s="16"/>
      <c r="I640" s="16"/>
      <c r="J640" s="16"/>
      <c r="K640" s="16"/>
      <c r="L640" s="16"/>
      <c r="M640" s="16"/>
    </row>
    <row r="641" spans="5:13" x14ac:dyDescent="0.4">
      <c r="E641" s="16"/>
      <c r="F641" s="16"/>
      <c r="G641" s="16"/>
      <c r="H641" s="16"/>
      <c r="I641" s="16"/>
      <c r="J641" s="16"/>
      <c r="K641" s="16"/>
      <c r="L641" s="16"/>
      <c r="M641" s="16"/>
    </row>
    <row r="642" spans="5:13" x14ac:dyDescent="0.4">
      <c r="E642" s="16"/>
      <c r="F642" s="16"/>
      <c r="G642" s="16"/>
      <c r="H642" s="16"/>
      <c r="I642" s="16"/>
      <c r="J642" s="16"/>
      <c r="K642" s="16"/>
      <c r="L642" s="16"/>
      <c r="M642" s="16"/>
    </row>
    <row r="643" spans="5:13" x14ac:dyDescent="0.4">
      <c r="E643" s="16"/>
      <c r="F643" s="16"/>
      <c r="G643" s="16"/>
      <c r="H643" s="16"/>
      <c r="I643" s="16"/>
      <c r="J643" s="16"/>
      <c r="K643" s="16"/>
      <c r="L643" s="16"/>
      <c r="M643" s="16"/>
    </row>
    <row r="644" spans="5:13" x14ac:dyDescent="0.4">
      <c r="E644" s="16"/>
      <c r="F644" s="16"/>
      <c r="G644" s="16"/>
      <c r="H644" s="16"/>
      <c r="I644" s="16"/>
      <c r="J644" s="16"/>
      <c r="K644" s="16"/>
      <c r="L644" s="16"/>
      <c r="M644" s="16"/>
    </row>
    <row r="645" spans="5:13" x14ac:dyDescent="0.4">
      <c r="E645" s="16"/>
      <c r="F645" s="16"/>
      <c r="G645" s="16"/>
      <c r="H645" s="16"/>
      <c r="I645" s="16"/>
      <c r="J645" s="16"/>
      <c r="K645" s="16"/>
      <c r="L645" s="16"/>
      <c r="M645" s="16"/>
    </row>
    <row r="646" spans="5:13" x14ac:dyDescent="0.4">
      <c r="E646" s="16"/>
      <c r="F646" s="16"/>
      <c r="G646" s="16"/>
      <c r="H646" s="16"/>
      <c r="I646" s="16"/>
      <c r="J646" s="16"/>
      <c r="K646" s="16"/>
      <c r="L646" s="16"/>
      <c r="M646" s="16"/>
    </row>
    <row r="647" spans="5:13" x14ac:dyDescent="0.4">
      <c r="E647" s="16"/>
      <c r="F647" s="16"/>
      <c r="G647" s="16"/>
      <c r="H647" s="16"/>
      <c r="I647" s="16"/>
      <c r="J647" s="16"/>
      <c r="K647" s="16"/>
      <c r="L647" s="16"/>
      <c r="M647" s="16"/>
    </row>
    <row r="648" spans="5:13" x14ac:dyDescent="0.4">
      <c r="E648" s="16"/>
      <c r="F648" s="16"/>
      <c r="G648" s="16"/>
      <c r="H648" s="16"/>
      <c r="I648" s="16"/>
      <c r="J648" s="16"/>
      <c r="K648" s="16"/>
      <c r="L648" s="16"/>
      <c r="M648" s="16"/>
    </row>
    <row r="649" spans="5:13" x14ac:dyDescent="0.4">
      <c r="E649" s="16"/>
      <c r="F649" s="16"/>
      <c r="G649" s="16"/>
      <c r="H649" s="16"/>
      <c r="I649" s="16"/>
      <c r="J649" s="16"/>
      <c r="K649" s="16"/>
      <c r="L649" s="16"/>
      <c r="M649" s="16"/>
    </row>
    <row r="650" spans="5:13" x14ac:dyDescent="0.4">
      <c r="E650" s="16"/>
      <c r="F650" s="16"/>
      <c r="G650" s="16"/>
      <c r="H650" s="16"/>
      <c r="I650" s="16"/>
      <c r="J650" s="16"/>
      <c r="K650" s="16"/>
      <c r="L650" s="16"/>
      <c r="M650" s="16"/>
    </row>
    <row r="651" spans="5:13" x14ac:dyDescent="0.4">
      <c r="E651" s="16"/>
      <c r="F651" s="16"/>
      <c r="G651" s="16"/>
      <c r="H651" s="16"/>
      <c r="I651" s="16"/>
      <c r="J651" s="16"/>
      <c r="K651" s="16"/>
      <c r="L651" s="16"/>
      <c r="M651" s="16"/>
    </row>
    <row r="652" spans="5:13" x14ac:dyDescent="0.4">
      <c r="E652" s="16"/>
      <c r="F652" s="16"/>
      <c r="G652" s="16"/>
      <c r="H652" s="16"/>
      <c r="I652" s="16"/>
      <c r="J652" s="16"/>
      <c r="K652" s="16"/>
      <c r="L652" s="16"/>
      <c r="M652" s="16"/>
    </row>
    <row r="653" spans="5:13" x14ac:dyDescent="0.4">
      <c r="E653" s="16"/>
      <c r="F653" s="16"/>
      <c r="G653" s="16"/>
      <c r="H653" s="16"/>
      <c r="I653" s="16"/>
      <c r="J653" s="16"/>
      <c r="K653" s="16"/>
      <c r="L653" s="16"/>
      <c r="M653" s="16"/>
    </row>
    <row r="654" spans="5:13" x14ac:dyDescent="0.4">
      <c r="E654" s="16"/>
      <c r="F654" s="16"/>
      <c r="G654" s="16"/>
      <c r="H654" s="16"/>
      <c r="I654" s="16"/>
      <c r="J654" s="16"/>
      <c r="K654" s="16"/>
      <c r="L654" s="16"/>
      <c r="M654" s="16"/>
    </row>
    <row r="655" spans="5:13" x14ac:dyDescent="0.4">
      <c r="E655" s="16"/>
      <c r="F655" s="16"/>
      <c r="G655" s="16"/>
      <c r="H655" s="16"/>
      <c r="I655" s="16"/>
      <c r="J655" s="16"/>
      <c r="K655" s="16"/>
      <c r="L655" s="16"/>
      <c r="M655" s="16"/>
    </row>
    <row r="656" spans="5:13" x14ac:dyDescent="0.4">
      <c r="E656" s="16"/>
      <c r="F656" s="16"/>
      <c r="G656" s="16"/>
      <c r="H656" s="16"/>
      <c r="I656" s="16"/>
      <c r="J656" s="16"/>
      <c r="K656" s="16"/>
      <c r="L656" s="16"/>
      <c r="M656" s="16"/>
    </row>
    <row r="657" spans="5:13" x14ac:dyDescent="0.4">
      <c r="E657" s="16"/>
      <c r="F657" s="16"/>
      <c r="G657" s="16"/>
      <c r="H657" s="16"/>
      <c r="I657" s="16"/>
      <c r="J657" s="16"/>
      <c r="K657" s="16"/>
      <c r="L657" s="16"/>
      <c r="M657" s="16"/>
    </row>
    <row r="658" spans="5:13" x14ac:dyDescent="0.4">
      <c r="E658" s="16"/>
      <c r="F658" s="16"/>
      <c r="G658" s="16"/>
      <c r="H658" s="16"/>
      <c r="I658" s="16"/>
      <c r="J658" s="16"/>
      <c r="K658" s="16"/>
      <c r="L658" s="16"/>
      <c r="M658" s="16"/>
    </row>
    <row r="659" spans="5:13" x14ac:dyDescent="0.4">
      <c r="E659" s="16"/>
      <c r="F659" s="16"/>
      <c r="G659" s="16"/>
      <c r="H659" s="16"/>
      <c r="I659" s="16"/>
      <c r="J659" s="16"/>
      <c r="K659" s="16"/>
      <c r="L659" s="16"/>
      <c r="M659" s="16"/>
    </row>
    <row r="660" spans="5:13" x14ac:dyDescent="0.4">
      <c r="E660" s="16"/>
      <c r="F660" s="16"/>
      <c r="G660" s="16"/>
      <c r="H660" s="16"/>
      <c r="I660" s="16"/>
      <c r="J660" s="16"/>
      <c r="K660" s="16"/>
      <c r="L660" s="16"/>
      <c r="M660" s="16"/>
    </row>
    <row r="661" spans="5:13" x14ac:dyDescent="0.4">
      <c r="E661" s="16"/>
      <c r="F661" s="16"/>
      <c r="G661" s="16"/>
      <c r="H661" s="16"/>
      <c r="I661" s="16"/>
      <c r="J661" s="16"/>
      <c r="K661" s="16"/>
      <c r="L661" s="16"/>
      <c r="M661" s="16"/>
    </row>
    <row r="662" spans="5:13" x14ac:dyDescent="0.4">
      <c r="E662" s="16"/>
      <c r="F662" s="16"/>
      <c r="G662" s="16"/>
      <c r="H662" s="16"/>
      <c r="I662" s="16"/>
      <c r="J662" s="16"/>
      <c r="K662" s="16"/>
      <c r="L662" s="16"/>
      <c r="M662" s="16"/>
    </row>
    <row r="663" spans="5:13" x14ac:dyDescent="0.4">
      <c r="E663" s="16"/>
      <c r="F663" s="16"/>
      <c r="G663" s="16"/>
      <c r="H663" s="16"/>
      <c r="I663" s="16"/>
      <c r="J663" s="16"/>
      <c r="K663" s="16"/>
      <c r="L663" s="16"/>
      <c r="M663" s="16"/>
    </row>
    <row r="664" spans="5:13" x14ac:dyDescent="0.4">
      <c r="E664" s="16"/>
      <c r="F664" s="16"/>
      <c r="G664" s="16"/>
      <c r="H664" s="16"/>
      <c r="I664" s="16"/>
      <c r="J664" s="16"/>
      <c r="K664" s="16"/>
      <c r="L664" s="16"/>
      <c r="M664" s="16"/>
    </row>
    <row r="665" spans="5:13" x14ac:dyDescent="0.4">
      <c r="E665" s="16"/>
      <c r="F665" s="16"/>
      <c r="G665" s="16"/>
      <c r="H665" s="16"/>
      <c r="I665" s="16"/>
      <c r="J665" s="16"/>
      <c r="K665" s="16"/>
      <c r="L665" s="16"/>
      <c r="M665" s="16"/>
    </row>
    <row r="666" spans="5:13" x14ac:dyDescent="0.4">
      <c r="E666" s="16"/>
      <c r="F666" s="16"/>
      <c r="G666" s="16"/>
      <c r="H666" s="16"/>
      <c r="I666" s="16"/>
      <c r="J666" s="16"/>
      <c r="K666" s="16"/>
      <c r="L666" s="16"/>
      <c r="M666" s="16"/>
    </row>
    <row r="667" spans="5:13" x14ac:dyDescent="0.4">
      <c r="E667" s="16"/>
      <c r="F667" s="16"/>
      <c r="G667" s="16"/>
      <c r="H667" s="16"/>
      <c r="I667" s="16"/>
      <c r="J667" s="16"/>
      <c r="K667" s="16"/>
      <c r="L667" s="16"/>
      <c r="M667" s="16"/>
    </row>
    <row r="668" spans="5:13" x14ac:dyDescent="0.4">
      <c r="E668" s="16"/>
      <c r="F668" s="16"/>
      <c r="G668" s="16"/>
      <c r="H668" s="16"/>
      <c r="I668" s="16"/>
      <c r="J668" s="16"/>
      <c r="K668" s="16"/>
      <c r="L668" s="16"/>
      <c r="M668" s="16"/>
    </row>
    <row r="669" spans="5:13" x14ac:dyDescent="0.4">
      <c r="E669" s="16"/>
      <c r="F669" s="16"/>
      <c r="G669" s="16"/>
      <c r="H669" s="16"/>
      <c r="I669" s="16"/>
      <c r="J669" s="16"/>
      <c r="K669" s="16"/>
      <c r="L669" s="16"/>
      <c r="M669" s="16"/>
    </row>
    <row r="670" spans="5:13" x14ac:dyDescent="0.4">
      <c r="E670" s="16"/>
      <c r="F670" s="16"/>
      <c r="G670" s="16"/>
      <c r="H670" s="16"/>
      <c r="I670" s="16"/>
      <c r="J670" s="16"/>
      <c r="K670" s="16"/>
      <c r="L670" s="16"/>
      <c r="M670" s="16"/>
    </row>
    <row r="671" spans="5:13" x14ac:dyDescent="0.4">
      <c r="E671" s="16"/>
      <c r="F671" s="16"/>
      <c r="G671" s="16"/>
      <c r="H671" s="16"/>
      <c r="I671" s="16"/>
      <c r="J671" s="16"/>
      <c r="K671" s="16"/>
      <c r="L671" s="16"/>
      <c r="M671" s="16"/>
    </row>
    <row r="672" spans="5:13" x14ac:dyDescent="0.4">
      <c r="E672" s="16"/>
      <c r="F672" s="16"/>
      <c r="G672" s="16"/>
      <c r="H672" s="16"/>
      <c r="I672" s="16"/>
      <c r="J672" s="16"/>
      <c r="K672" s="16"/>
      <c r="L672" s="16"/>
      <c r="M672" s="16"/>
    </row>
    <row r="673" spans="5:13" x14ac:dyDescent="0.4">
      <c r="E673" s="16"/>
      <c r="F673" s="16"/>
      <c r="G673" s="16"/>
      <c r="H673" s="16"/>
      <c r="I673" s="16"/>
      <c r="J673" s="16"/>
      <c r="K673" s="16"/>
      <c r="L673" s="16"/>
      <c r="M673" s="16"/>
    </row>
    <row r="674" spans="5:13" x14ac:dyDescent="0.4">
      <c r="E674" s="16"/>
      <c r="F674" s="16"/>
      <c r="G674" s="16"/>
      <c r="H674" s="16"/>
      <c r="I674" s="16"/>
      <c r="J674" s="16"/>
      <c r="K674" s="16"/>
      <c r="L674" s="16"/>
      <c r="M674" s="16"/>
    </row>
    <row r="675" spans="5:13" x14ac:dyDescent="0.4">
      <c r="E675" s="16"/>
      <c r="F675" s="16"/>
      <c r="G675" s="16"/>
      <c r="H675" s="16"/>
      <c r="I675" s="16"/>
      <c r="J675" s="16"/>
      <c r="K675" s="16"/>
      <c r="L675" s="16"/>
      <c r="M675" s="16"/>
    </row>
    <row r="676" spans="5:13" x14ac:dyDescent="0.4">
      <c r="E676" s="16"/>
      <c r="F676" s="16"/>
      <c r="G676" s="16"/>
      <c r="H676" s="16"/>
      <c r="I676" s="16"/>
      <c r="J676" s="16"/>
      <c r="K676" s="16"/>
      <c r="L676" s="16"/>
      <c r="M676" s="16"/>
    </row>
    <row r="677" spans="5:13" x14ac:dyDescent="0.4">
      <c r="E677" s="16"/>
      <c r="F677" s="16"/>
      <c r="G677" s="16"/>
      <c r="H677" s="16"/>
      <c r="I677" s="16"/>
      <c r="J677" s="16"/>
      <c r="K677" s="16"/>
      <c r="L677" s="16"/>
      <c r="M677" s="16"/>
    </row>
    <row r="678" spans="5:13" x14ac:dyDescent="0.4">
      <c r="E678" s="16"/>
      <c r="F678" s="16"/>
      <c r="G678" s="16"/>
      <c r="H678" s="16"/>
      <c r="I678" s="16"/>
      <c r="J678" s="16"/>
      <c r="K678" s="16"/>
      <c r="L678" s="16"/>
      <c r="M678" s="16"/>
    </row>
    <row r="679" spans="5:13" x14ac:dyDescent="0.4">
      <c r="E679" s="16"/>
      <c r="F679" s="16"/>
      <c r="G679" s="16"/>
      <c r="H679" s="16"/>
      <c r="I679" s="16"/>
      <c r="J679" s="16"/>
      <c r="K679" s="16"/>
      <c r="L679" s="16"/>
      <c r="M679" s="16"/>
    </row>
    <row r="680" spans="5:13" x14ac:dyDescent="0.4">
      <c r="E680" s="16"/>
      <c r="F680" s="16"/>
      <c r="G680" s="16"/>
      <c r="H680" s="16"/>
      <c r="I680" s="16"/>
      <c r="J680" s="16"/>
      <c r="K680" s="16"/>
      <c r="L680" s="16"/>
      <c r="M680" s="16"/>
    </row>
    <row r="681" spans="5:13" x14ac:dyDescent="0.4">
      <c r="E681" s="16"/>
      <c r="F681" s="16"/>
      <c r="G681" s="16"/>
      <c r="H681" s="16"/>
      <c r="I681" s="16"/>
      <c r="J681" s="16"/>
      <c r="K681" s="16"/>
      <c r="L681" s="16"/>
      <c r="M681" s="16"/>
    </row>
    <row r="682" spans="5:13" x14ac:dyDescent="0.4">
      <c r="E682" s="16"/>
      <c r="F682" s="16"/>
      <c r="G682" s="16"/>
      <c r="H682" s="16"/>
      <c r="I682" s="16"/>
      <c r="J682" s="16"/>
      <c r="K682" s="16"/>
      <c r="L682" s="16"/>
      <c r="M682" s="16"/>
    </row>
    <row r="683" spans="5:13" x14ac:dyDescent="0.4">
      <c r="E683" s="16"/>
      <c r="F683" s="16"/>
      <c r="G683" s="16"/>
      <c r="H683" s="16"/>
      <c r="I683" s="16"/>
      <c r="J683" s="16"/>
      <c r="K683" s="16"/>
      <c r="L683" s="16"/>
      <c r="M683" s="16"/>
    </row>
    <row r="684" spans="5:13" x14ac:dyDescent="0.4">
      <c r="E684" s="16"/>
      <c r="F684" s="16"/>
      <c r="G684" s="16"/>
      <c r="H684" s="16"/>
      <c r="I684" s="16"/>
      <c r="J684" s="16"/>
      <c r="K684" s="16"/>
      <c r="L684" s="16"/>
      <c r="M684" s="16"/>
    </row>
    <row r="685" spans="5:13" x14ac:dyDescent="0.4">
      <c r="E685" s="16"/>
      <c r="F685" s="16"/>
      <c r="G685" s="16"/>
      <c r="H685" s="16"/>
      <c r="I685" s="16"/>
      <c r="J685" s="16"/>
      <c r="K685" s="16"/>
      <c r="L685" s="16"/>
      <c r="M685" s="16"/>
    </row>
    <row r="686" spans="5:13" x14ac:dyDescent="0.4">
      <c r="E686" s="16"/>
      <c r="F686" s="16"/>
      <c r="G686" s="16"/>
      <c r="H686" s="16"/>
      <c r="I686" s="16"/>
      <c r="J686" s="16"/>
      <c r="K686" s="16"/>
      <c r="L686" s="16"/>
      <c r="M686" s="16"/>
    </row>
    <row r="687" spans="5:13" x14ac:dyDescent="0.4">
      <c r="E687" s="16"/>
      <c r="F687" s="16"/>
      <c r="G687" s="16"/>
      <c r="H687" s="16"/>
      <c r="I687" s="16"/>
      <c r="J687" s="16"/>
      <c r="K687" s="16"/>
      <c r="L687" s="16"/>
      <c r="M687" s="16"/>
    </row>
    <row r="688" spans="5:13" x14ac:dyDescent="0.4">
      <c r="E688" s="16"/>
      <c r="F688" s="16"/>
      <c r="G688" s="16"/>
      <c r="H688" s="16"/>
      <c r="I688" s="16"/>
      <c r="J688" s="16"/>
      <c r="K688" s="16"/>
      <c r="L688" s="16"/>
      <c r="M688" s="16"/>
    </row>
    <row r="689" spans="5:13" x14ac:dyDescent="0.4">
      <c r="E689" s="16"/>
      <c r="F689" s="16"/>
      <c r="G689" s="16"/>
      <c r="H689" s="16"/>
      <c r="I689" s="16"/>
      <c r="J689" s="16"/>
      <c r="K689" s="16"/>
      <c r="L689" s="16"/>
      <c r="M689" s="16"/>
    </row>
    <row r="690" spans="5:13" x14ac:dyDescent="0.4">
      <c r="E690" s="16"/>
      <c r="F690" s="16"/>
      <c r="G690" s="16"/>
      <c r="H690" s="16"/>
      <c r="I690" s="16"/>
      <c r="J690" s="16"/>
      <c r="K690" s="16"/>
      <c r="L690" s="16"/>
      <c r="M690" s="16"/>
    </row>
    <row r="691" spans="5:13" x14ac:dyDescent="0.4">
      <c r="E691" s="16"/>
      <c r="F691" s="16"/>
      <c r="G691" s="16"/>
      <c r="H691" s="16"/>
      <c r="I691" s="16"/>
      <c r="J691" s="16"/>
      <c r="K691" s="16"/>
      <c r="L691" s="16"/>
      <c r="M691" s="16"/>
    </row>
    <row r="692" spans="5:13" x14ac:dyDescent="0.4">
      <c r="E692" s="16"/>
      <c r="F692" s="16"/>
      <c r="G692" s="16"/>
      <c r="H692" s="16"/>
      <c r="I692" s="16"/>
      <c r="J692" s="16"/>
      <c r="K692" s="16"/>
      <c r="L692" s="16"/>
      <c r="M692" s="16"/>
    </row>
    <row r="693" spans="5:13" x14ac:dyDescent="0.4">
      <c r="E693" s="16"/>
      <c r="F693" s="16"/>
      <c r="G693" s="16"/>
      <c r="H693" s="16"/>
      <c r="I693" s="16"/>
      <c r="J693" s="16"/>
      <c r="K693" s="16"/>
      <c r="L693" s="16"/>
      <c r="M693" s="16"/>
    </row>
    <row r="694" spans="5:13" x14ac:dyDescent="0.4">
      <c r="E694" s="16"/>
      <c r="F694" s="16"/>
      <c r="G694" s="16"/>
      <c r="H694" s="16"/>
      <c r="I694" s="16"/>
      <c r="J694" s="16"/>
      <c r="K694" s="16"/>
      <c r="L694" s="16"/>
      <c r="M694" s="16"/>
    </row>
    <row r="695" spans="5:13" x14ac:dyDescent="0.4">
      <c r="E695" s="16"/>
      <c r="F695" s="16"/>
      <c r="G695" s="16"/>
      <c r="H695" s="16"/>
      <c r="I695" s="16"/>
      <c r="J695" s="16"/>
      <c r="K695" s="16"/>
      <c r="L695" s="16"/>
      <c r="M695" s="16"/>
    </row>
    <row r="696" spans="5:13" x14ac:dyDescent="0.4">
      <c r="E696" s="16"/>
      <c r="F696" s="16"/>
      <c r="G696" s="16"/>
      <c r="H696" s="16"/>
      <c r="I696" s="16"/>
      <c r="J696" s="16"/>
      <c r="K696" s="16"/>
      <c r="L696" s="16"/>
      <c r="M696" s="16"/>
    </row>
    <row r="697" spans="5:13" x14ac:dyDescent="0.4">
      <c r="E697" s="16"/>
      <c r="F697" s="16"/>
      <c r="G697" s="16"/>
      <c r="H697" s="16"/>
      <c r="I697" s="16"/>
      <c r="J697" s="16"/>
      <c r="K697" s="16"/>
      <c r="L697" s="16"/>
      <c r="M697" s="16"/>
    </row>
    <row r="698" spans="5:13" x14ac:dyDescent="0.4">
      <c r="E698" s="16"/>
      <c r="F698" s="16"/>
      <c r="G698" s="16"/>
      <c r="H698" s="16"/>
      <c r="I698" s="16"/>
      <c r="J698" s="16"/>
      <c r="K698" s="16"/>
      <c r="L698" s="16"/>
      <c r="M698" s="16"/>
    </row>
    <row r="699" spans="5:13" x14ac:dyDescent="0.4">
      <c r="E699" s="16"/>
      <c r="F699" s="16"/>
      <c r="G699" s="16"/>
      <c r="H699" s="16"/>
      <c r="I699" s="16"/>
      <c r="J699" s="16"/>
      <c r="K699" s="16"/>
      <c r="L699" s="16"/>
      <c r="M699" s="16"/>
    </row>
    <row r="700" spans="5:13" x14ac:dyDescent="0.4">
      <c r="E700" s="16"/>
      <c r="F700" s="16"/>
      <c r="G700" s="16"/>
      <c r="H700" s="16"/>
      <c r="I700" s="16"/>
      <c r="J700" s="16"/>
      <c r="K700" s="16"/>
      <c r="L700" s="16"/>
      <c r="M700" s="16"/>
    </row>
    <row r="701" spans="5:13" x14ac:dyDescent="0.4">
      <c r="E701" s="16"/>
      <c r="F701" s="16"/>
      <c r="G701" s="16"/>
      <c r="H701" s="16"/>
      <c r="I701" s="16"/>
      <c r="J701" s="16"/>
      <c r="K701" s="16"/>
      <c r="L701" s="16"/>
      <c r="M701" s="16"/>
    </row>
    <row r="702" spans="5:13" x14ac:dyDescent="0.4">
      <c r="E702" s="16"/>
      <c r="F702" s="16"/>
      <c r="G702" s="16"/>
      <c r="H702" s="16"/>
      <c r="I702" s="16"/>
      <c r="J702" s="16"/>
      <c r="K702" s="16"/>
      <c r="L702" s="16"/>
      <c r="M702" s="16"/>
    </row>
    <row r="703" spans="5:13" x14ac:dyDescent="0.4">
      <c r="E703" s="16"/>
      <c r="F703" s="16"/>
      <c r="G703" s="16"/>
      <c r="H703" s="16"/>
      <c r="I703" s="16"/>
      <c r="J703" s="16"/>
      <c r="K703" s="16"/>
      <c r="L703" s="16"/>
      <c r="M703" s="16"/>
    </row>
    <row r="704" spans="5:13" x14ac:dyDescent="0.4">
      <c r="E704" s="16"/>
      <c r="F704" s="16"/>
      <c r="G704" s="16"/>
      <c r="H704" s="16"/>
      <c r="I704" s="16"/>
      <c r="J704" s="16"/>
      <c r="K704" s="16"/>
      <c r="L704" s="16"/>
      <c r="M704" s="16"/>
    </row>
    <row r="705" spans="5:13" x14ac:dyDescent="0.4">
      <c r="E705" s="16"/>
      <c r="F705" s="16"/>
      <c r="G705" s="16"/>
      <c r="H705" s="16"/>
      <c r="I705" s="16"/>
      <c r="J705" s="16"/>
      <c r="K705" s="16"/>
      <c r="L705" s="16"/>
      <c r="M705" s="16"/>
    </row>
    <row r="706" spans="5:13" x14ac:dyDescent="0.4">
      <c r="E706" s="16"/>
      <c r="F706" s="16"/>
      <c r="G706" s="16"/>
      <c r="H706" s="16"/>
      <c r="I706" s="16"/>
      <c r="J706" s="16"/>
      <c r="K706" s="16"/>
      <c r="L706" s="16"/>
      <c r="M706" s="16"/>
    </row>
    <row r="707" spans="5:13" x14ac:dyDescent="0.4">
      <c r="E707" s="16"/>
      <c r="F707" s="16"/>
      <c r="G707" s="16"/>
      <c r="H707" s="16"/>
      <c r="I707" s="16"/>
      <c r="J707" s="16"/>
      <c r="K707" s="16"/>
      <c r="L707" s="16"/>
      <c r="M707" s="16"/>
    </row>
    <row r="708" spans="5:13" x14ac:dyDescent="0.4">
      <c r="E708" s="16"/>
      <c r="F708" s="16"/>
      <c r="G708" s="16"/>
      <c r="H708" s="16"/>
      <c r="I708" s="16"/>
      <c r="J708" s="16"/>
      <c r="K708" s="16"/>
      <c r="L708" s="16"/>
      <c r="M708" s="16"/>
    </row>
    <row r="709" spans="5:13" x14ac:dyDescent="0.4">
      <c r="E709" s="16"/>
      <c r="F709" s="16"/>
      <c r="G709" s="16"/>
      <c r="H709" s="16"/>
      <c r="I709" s="16"/>
      <c r="J709" s="16"/>
      <c r="K709" s="16"/>
      <c r="L709" s="16"/>
      <c r="M709" s="16"/>
    </row>
    <row r="710" spans="5:13" x14ac:dyDescent="0.4">
      <c r="E710" s="16"/>
      <c r="F710" s="16"/>
      <c r="G710" s="16"/>
      <c r="H710" s="16"/>
      <c r="I710" s="16"/>
      <c r="J710" s="16"/>
      <c r="K710" s="16"/>
      <c r="L710" s="16"/>
      <c r="M710" s="16"/>
    </row>
    <row r="711" spans="5:13" x14ac:dyDescent="0.4">
      <c r="E711" s="16"/>
      <c r="F711" s="16"/>
      <c r="G711" s="16"/>
      <c r="H711" s="16"/>
      <c r="I711" s="16"/>
      <c r="J711" s="16"/>
      <c r="K711" s="16"/>
      <c r="L711" s="16"/>
      <c r="M711" s="16"/>
    </row>
    <row r="712" spans="5:13" x14ac:dyDescent="0.4">
      <c r="E712" s="16"/>
      <c r="F712" s="16"/>
      <c r="G712" s="16"/>
      <c r="H712" s="16"/>
      <c r="I712" s="16"/>
      <c r="J712" s="16"/>
      <c r="K712" s="16"/>
      <c r="L712" s="16"/>
      <c r="M712" s="16"/>
    </row>
    <row r="713" spans="5:13" x14ac:dyDescent="0.4">
      <c r="E713" s="16"/>
      <c r="F713" s="16"/>
      <c r="G713" s="16"/>
      <c r="H713" s="16"/>
      <c r="I713" s="16"/>
      <c r="J713" s="16"/>
      <c r="K713" s="16"/>
      <c r="L713" s="16"/>
      <c r="M713" s="16"/>
    </row>
    <row r="714" spans="5:13" x14ac:dyDescent="0.4">
      <c r="E714" s="16"/>
      <c r="F714" s="16"/>
      <c r="G714" s="16"/>
      <c r="H714" s="16"/>
      <c r="I714" s="16"/>
      <c r="J714" s="16"/>
      <c r="K714" s="16"/>
      <c r="L714" s="16"/>
      <c r="M714" s="16"/>
    </row>
    <row r="715" spans="5:13" x14ac:dyDescent="0.4">
      <c r="E715" s="16"/>
      <c r="F715" s="16"/>
      <c r="G715" s="16"/>
      <c r="H715" s="16"/>
      <c r="I715" s="16"/>
      <c r="J715" s="16"/>
      <c r="K715" s="16"/>
      <c r="L715" s="16"/>
      <c r="M715" s="16"/>
    </row>
    <row r="716" spans="5:13" x14ac:dyDescent="0.4">
      <c r="E716" s="16"/>
      <c r="F716" s="16"/>
      <c r="G716" s="16"/>
      <c r="H716" s="16"/>
      <c r="I716" s="16"/>
      <c r="J716" s="16"/>
      <c r="K716" s="16"/>
      <c r="L716" s="16"/>
      <c r="M716" s="16"/>
    </row>
    <row r="717" spans="5:13" x14ac:dyDescent="0.4">
      <c r="E717" s="16"/>
      <c r="F717" s="16"/>
      <c r="G717" s="16"/>
      <c r="H717" s="16"/>
      <c r="I717" s="16"/>
      <c r="J717" s="16"/>
      <c r="K717" s="16"/>
      <c r="L717" s="16"/>
      <c r="M717" s="16"/>
    </row>
    <row r="718" spans="5:13" x14ac:dyDescent="0.4">
      <c r="E718" s="16"/>
      <c r="F718" s="16"/>
      <c r="G718" s="16"/>
      <c r="H718" s="16"/>
      <c r="I718" s="16"/>
      <c r="J718" s="16"/>
      <c r="K718" s="16"/>
      <c r="L718" s="16"/>
      <c r="M718" s="16"/>
    </row>
    <row r="719" spans="5:13" x14ac:dyDescent="0.4">
      <c r="E719" s="16"/>
      <c r="F719" s="16"/>
      <c r="G719" s="16"/>
      <c r="H719" s="16"/>
      <c r="I719" s="16"/>
      <c r="J719" s="16"/>
      <c r="K719" s="16"/>
      <c r="L719" s="16"/>
      <c r="M719" s="16"/>
    </row>
    <row r="720" spans="5:13" x14ac:dyDescent="0.4">
      <c r="E720" s="16"/>
      <c r="F720" s="16"/>
      <c r="G720" s="16"/>
      <c r="H720" s="16"/>
      <c r="I720" s="16"/>
      <c r="J720" s="16"/>
      <c r="K720" s="16"/>
      <c r="L720" s="16"/>
      <c r="M720" s="16"/>
    </row>
    <row r="721" spans="5:13" x14ac:dyDescent="0.4">
      <c r="E721" s="16"/>
      <c r="F721" s="16"/>
      <c r="G721" s="16"/>
      <c r="H721" s="16"/>
      <c r="I721" s="16"/>
      <c r="J721" s="16"/>
      <c r="K721" s="16"/>
      <c r="L721" s="16"/>
      <c r="M721" s="16"/>
    </row>
    <row r="722" spans="5:13" x14ac:dyDescent="0.4">
      <c r="E722" s="16"/>
      <c r="F722" s="16"/>
      <c r="G722" s="16"/>
      <c r="H722" s="16"/>
      <c r="I722" s="16"/>
      <c r="J722" s="16"/>
      <c r="K722" s="16"/>
      <c r="L722" s="16"/>
      <c r="M722" s="16"/>
    </row>
    <row r="723" spans="5:13" x14ac:dyDescent="0.4">
      <c r="E723" s="16"/>
      <c r="F723" s="16"/>
      <c r="G723" s="16"/>
      <c r="H723" s="16"/>
      <c r="I723" s="16"/>
      <c r="J723" s="16"/>
      <c r="K723" s="16"/>
      <c r="L723" s="16"/>
      <c r="M723" s="16"/>
    </row>
    <row r="724" spans="5:13" x14ac:dyDescent="0.4">
      <c r="E724" s="16"/>
      <c r="F724" s="16"/>
      <c r="G724" s="16"/>
      <c r="H724" s="16"/>
      <c r="I724" s="16"/>
      <c r="J724" s="16"/>
      <c r="K724" s="16"/>
      <c r="L724" s="16"/>
      <c r="M724" s="16"/>
    </row>
    <row r="725" spans="5:13" x14ac:dyDescent="0.4">
      <c r="E725" s="16"/>
      <c r="F725" s="16"/>
      <c r="G725" s="16"/>
      <c r="H725" s="16"/>
      <c r="I725" s="16"/>
      <c r="J725" s="16"/>
      <c r="K725" s="16"/>
      <c r="L725" s="16"/>
      <c r="M725" s="16"/>
    </row>
    <row r="726" spans="5:13" x14ac:dyDescent="0.4">
      <c r="E726" s="16"/>
      <c r="F726" s="16"/>
      <c r="G726" s="16"/>
      <c r="H726" s="16"/>
      <c r="I726" s="16"/>
      <c r="J726" s="16"/>
      <c r="K726" s="16"/>
      <c r="L726" s="16"/>
      <c r="M726" s="16"/>
    </row>
    <row r="727" spans="5:13" x14ac:dyDescent="0.4">
      <c r="E727" s="16"/>
      <c r="F727" s="16"/>
      <c r="G727" s="16"/>
      <c r="H727" s="16"/>
      <c r="I727" s="16"/>
      <c r="J727" s="16"/>
      <c r="K727" s="16"/>
      <c r="L727" s="16"/>
      <c r="M727" s="16"/>
    </row>
    <row r="728" spans="5:13" x14ac:dyDescent="0.4">
      <c r="E728" s="16"/>
      <c r="F728" s="16"/>
      <c r="G728" s="16"/>
      <c r="H728" s="16"/>
      <c r="I728" s="16"/>
      <c r="J728" s="16"/>
      <c r="K728" s="16"/>
      <c r="L728" s="16"/>
      <c r="M728" s="16"/>
    </row>
    <row r="729" spans="5:13" x14ac:dyDescent="0.4">
      <c r="E729" s="16"/>
      <c r="F729" s="16"/>
      <c r="G729" s="16"/>
      <c r="H729" s="16"/>
      <c r="I729" s="16"/>
      <c r="J729" s="16"/>
      <c r="K729" s="16"/>
      <c r="L729" s="16"/>
      <c r="M729" s="16"/>
    </row>
    <row r="730" spans="5:13" x14ac:dyDescent="0.4">
      <c r="E730" s="16"/>
      <c r="F730" s="16"/>
      <c r="G730" s="16"/>
      <c r="H730" s="16"/>
      <c r="I730" s="16"/>
      <c r="J730" s="16"/>
      <c r="K730" s="16"/>
      <c r="L730" s="16"/>
      <c r="M730" s="16"/>
    </row>
    <row r="731" spans="5:13" x14ac:dyDescent="0.4">
      <c r="E731" s="16"/>
      <c r="F731" s="16"/>
      <c r="G731" s="16"/>
      <c r="H731" s="16"/>
      <c r="I731" s="16"/>
      <c r="J731" s="16"/>
      <c r="K731" s="16"/>
      <c r="L731" s="16"/>
      <c r="M731" s="16"/>
    </row>
    <row r="732" spans="5:13" x14ac:dyDescent="0.4">
      <c r="E732" s="16"/>
      <c r="F732" s="16"/>
      <c r="G732" s="16"/>
      <c r="H732" s="16"/>
      <c r="I732" s="16"/>
      <c r="J732" s="16"/>
      <c r="K732" s="16"/>
      <c r="L732" s="16"/>
      <c r="M732" s="16"/>
    </row>
    <row r="733" spans="5:13" x14ac:dyDescent="0.4">
      <c r="E733" s="16"/>
      <c r="F733" s="16"/>
      <c r="G733" s="16"/>
      <c r="H733" s="16"/>
      <c r="I733" s="16"/>
      <c r="J733" s="16"/>
      <c r="K733" s="16"/>
      <c r="L733" s="16"/>
      <c r="M733" s="16"/>
    </row>
    <row r="734" spans="5:13" x14ac:dyDescent="0.4">
      <c r="E734" s="16"/>
      <c r="F734" s="16"/>
      <c r="G734" s="16"/>
      <c r="H734" s="16"/>
      <c r="I734" s="16"/>
      <c r="J734" s="16"/>
      <c r="K734" s="16"/>
      <c r="L734" s="16"/>
      <c r="M734" s="16"/>
    </row>
    <row r="735" spans="5:13" x14ac:dyDescent="0.4">
      <c r="E735" s="16"/>
      <c r="F735" s="16"/>
      <c r="G735" s="16"/>
      <c r="H735" s="16"/>
      <c r="I735" s="16"/>
      <c r="J735" s="16"/>
      <c r="K735" s="16"/>
      <c r="L735" s="16"/>
      <c r="M735" s="16"/>
    </row>
    <row r="736" spans="5:13" x14ac:dyDescent="0.4">
      <c r="E736" s="16"/>
      <c r="F736" s="16"/>
      <c r="G736" s="16"/>
      <c r="H736" s="16"/>
      <c r="I736" s="16"/>
      <c r="J736" s="16"/>
      <c r="K736" s="16"/>
      <c r="L736" s="16"/>
      <c r="M736" s="16"/>
    </row>
    <row r="737" spans="5:13" x14ac:dyDescent="0.4">
      <c r="E737" s="16"/>
      <c r="F737" s="16"/>
      <c r="G737" s="16"/>
      <c r="H737" s="16"/>
      <c r="I737" s="16"/>
      <c r="J737" s="16"/>
      <c r="K737" s="16"/>
      <c r="L737" s="16"/>
      <c r="M737" s="16"/>
    </row>
    <row r="738" spans="5:13" x14ac:dyDescent="0.4">
      <c r="E738" s="16"/>
      <c r="F738" s="16"/>
      <c r="G738" s="16"/>
      <c r="H738" s="16"/>
      <c r="I738" s="16"/>
      <c r="J738" s="16"/>
      <c r="K738" s="16"/>
      <c r="L738" s="16"/>
      <c r="M738" s="16"/>
    </row>
    <row r="739" spans="5:13" x14ac:dyDescent="0.4">
      <c r="E739" s="16"/>
      <c r="F739" s="16"/>
      <c r="G739" s="16"/>
      <c r="H739" s="16"/>
      <c r="I739" s="16"/>
      <c r="J739" s="16"/>
      <c r="K739" s="16"/>
      <c r="L739" s="16"/>
      <c r="M739" s="16"/>
    </row>
    <row r="740" spans="5:13" x14ac:dyDescent="0.4">
      <c r="E740" s="16"/>
      <c r="F740" s="16"/>
      <c r="G740" s="16"/>
      <c r="H740" s="16"/>
      <c r="I740" s="16"/>
      <c r="J740" s="16"/>
      <c r="K740" s="16"/>
      <c r="L740" s="16"/>
      <c r="M740" s="16"/>
    </row>
    <row r="741" spans="5:13" x14ac:dyDescent="0.4">
      <c r="E741" s="16"/>
      <c r="F741" s="16"/>
      <c r="G741" s="16"/>
      <c r="H741" s="16"/>
      <c r="I741" s="16"/>
      <c r="J741" s="16"/>
      <c r="K741" s="16"/>
      <c r="L741" s="16"/>
      <c r="M741" s="16"/>
    </row>
    <row r="742" spans="5:13" x14ac:dyDescent="0.4">
      <c r="E742" s="16"/>
      <c r="F742" s="16"/>
      <c r="G742" s="16"/>
      <c r="H742" s="16"/>
      <c r="I742" s="16"/>
      <c r="J742" s="16"/>
      <c r="K742" s="16"/>
      <c r="L742" s="16"/>
      <c r="M742" s="16"/>
    </row>
    <row r="743" spans="5:13" x14ac:dyDescent="0.4">
      <c r="E743" s="16"/>
      <c r="F743" s="16"/>
      <c r="G743" s="16"/>
      <c r="H743" s="16"/>
      <c r="I743" s="16"/>
      <c r="J743" s="16"/>
      <c r="K743" s="16"/>
      <c r="L743" s="16"/>
      <c r="M743" s="16"/>
    </row>
    <row r="744" spans="5:13" x14ac:dyDescent="0.4">
      <c r="E744" s="16"/>
      <c r="F744" s="16"/>
      <c r="G744" s="16"/>
      <c r="H744" s="16"/>
      <c r="I744" s="16"/>
      <c r="J744" s="16"/>
      <c r="K744" s="16"/>
      <c r="L744" s="16"/>
      <c r="M744" s="16"/>
    </row>
    <row r="745" spans="5:13" x14ac:dyDescent="0.4">
      <c r="E745" s="16"/>
      <c r="F745" s="16"/>
      <c r="G745" s="16"/>
      <c r="H745" s="16"/>
      <c r="I745" s="16"/>
      <c r="J745" s="16"/>
      <c r="K745" s="16"/>
      <c r="L745" s="16"/>
      <c r="M745" s="16"/>
    </row>
    <row r="746" spans="5:13" x14ac:dyDescent="0.4">
      <c r="E746" s="16"/>
      <c r="F746" s="16"/>
      <c r="G746" s="16"/>
      <c r="H746" s="16"/>
      <c r="I746" s="16"/>
      <c r="J746" s="16"/>
      <c r="K746" s="16"/>
      <c r="L746" s="16"/>
      <c r="M746" s="16"/>
    </row>
    <row r="747" spans="5:13" x14ac:dyDescent="0.4">
      <c r="E747" s="16"/>
      <c r="F747" s="16"/>
      <c r="G747" s="16"/>
      <c r="H747" s="16"/>
      <c r="I747" s="16"/>
      <c r="J747" s="16"/>
      <c r="K747" s="16"/>
      <c r="L747" s="16"/>
      <c r="M747" s="16"/>
    </row>
    <row r="748" spans="5:13" x14ac:dyDescent="0.4">
      <c r="E748" s="16"/>
      <c r="F748" s="16"/>
      <c r="G748" s="16"/>
      <c r="H748" s="16"/>
      <c r="I748" s="16"/>
      <c r="J748" s="16"/>
      <c r="K748" s="16"/>
      <c r="L748" s="16"/>
      <c r="M748" s="16"/>
    </row>
    <row r="749" spans="5:13" x14ac:dyDescent="0.4">
      <c r="E749" s="16"/>
      <c r="F749" s="16"/>
      <c r="G749" s="16"/>
      <c r="H749" s="16"/>
      <c r="I749" s="16"/>
      <c r="J749" s="16"/>
      <c r="K749" s="16"/>
      <c r="L749" s="16"/>
      <c r="M749" s="16"/>
    </row>
    <row r="750" spans="5:13" x14ac:dyDescent="0.4">
      <c r="E750" s="16"/>
      <c r="F750" s="16"/>
      <c r="G750" s="16"/>
      <c r="H750" s="16"/>
      <c r="I750" s="16"/>
      <c r="J750" s="16"/>
      <c r="K750" s="16"/>
      <c r="L750" s="16"/>
      <c r="M750" s="16"/>
    </row>
    <row r="751" spans="5:13" x14ac:dyDescent="0.4">
      <c r="E751" s="16"/>
      <c r="F751" s="16"/>
      <c r="G751" s="16"/>
      <c r="H751" s="16"/>
      <c r="I751" s="16"/>
      <c r="J751" s="16"/>
      <c r="K751" s="16"/>
      <c r="L751" s="16"/>
      <c r="M751" s="16"/>
    </row>
    <row r="752" spans="5:13" x14ac:dyDescent="0.4">
      <c r="E752" s="16"/>
      <c r="F752" s="16"/>
      <c r="G752" s="16"/>
      <c r="H752" s="16"/>
      <c r="I752" s="16"/>
      <c r="J752" s="16"/>
      <c r="K752" s="16"/>
      <c r="L752" s="16"/>
      <c r="M752" s="16"/>
    </row>
    <row r="753" spans="5:13" x14ac:dyDescent="0.4">
      <c r="E753" s="16"/>
      <c r="F753" s="16"/>
      <c r="G753" s="16"/>
      <c r="H753" s="16"/>
      <c r="I753" s="16"/>
      <c r="J753" s="16"/>
      <c r="K753" s="16"/>
      <c r="L753" s="16"/>
      <c r="M753" s="16"/>
    </row>
    <row r="754" spans="5:13" x14ac:dyDescent="0.4">
      <c r="E754" s="16"/>
      <c r="F754" s="16"/>
      <c r="G754" s="16"/>
      <c r="H754" s="16"/>
      <c r="I754" s="16"/>
      <c r="J754" s="16"/>
      <c r="K754" s="16"/>
      <c r="L754" s="16"/>
      <c r="M754" s="16"/>
    </row>
    <row r="755" spans="5:13" x14ac:dyDescent="0.4">
      <c r="E755" s="16"/>
      <c r="F755" s="16"/>
      <c r="G755" s="16"/>
      <c r="H755" s="16"/>
      <c r="I755" s="16"/>
      <c r="J755" s="16"/>
      <c r="K755" s="16"/>
      <c r="L755" s="16"/>
      <c r="M755" s="16"/>
    </row>
    <row r="756" spans="5:13" x14ac:dyDescent="0.4">
      <c r="E756" s="16"/>
      <c r="F756" s="16"/>
      <c r="G756" s="16"/>
      <c r="H756" s="16"/>
      <c r="I756" s="16"/>
      <c r="J756" s="16"/>
      <c r="K756" s="16"/>
      <c r="L756" s="16"/>
      <c r="M756" s="16"/>
    </row>
    <row r="757" spans="5:13" x14ac:dyDescent="0.4">
      <c r="E757" s="16"/>
      <c r="F757" s="16"/>
      <c r="G757" s="16"/>
      <c r="H757" s="16"/>
      <c r="I757" s="16"/>
      <c r="J757" s="16"/>
      <c r="K757" s="16"/>
      <c r="L757" s="16"/>
      <c r="M757" s="16"/>
    </row>
    <row r="758" spans="5:13" x14ac:dyDescent="0.4">
      <c r="E758" s="16"/>
      <c r="F758" s="16"/>
      <c r="G758" s="16"/>
      <c r="H758" s="16"/>
      <c r="I758" s="16"/>
      <c r="J758" s="16"/>
      <c r="K758" s="16"/>
      <c r="L758" s="16"/>
      <c r="M758" s="16"/>
    </row>
    <row r="759" spans="5:13" x14ac:dyDescent="0.4">
      <c r="E759" s="16"/>
      <c r="F759" s="16"/>
      <c r="G759" s="16"/>
      <c r="H759" s="16"/>
      <c r="I759" s="16"/>
      <c r="J759" s="16"/>
      <c r="K759" s="16"/>
      <c r="L759" s="16"/>
      <c r="M759" s="16"/>
    </row>
    <row r="760" spans="5:13" x14ac:dyDescent="0.4">
      <c r="E760" s="16"/>
      <c r="F760" s="16"/>
      <c r="G760" s="16"/>
      <c r="H760" s="16"/>
      <c r="I760" s="16"/>
      <c r="J760" s="16"/>
      <c r="K760" s="16"/>
      <c r="L760" s="16"/>
      <c r="M760" s="16"/>
    </row>
    <row r="761" spans="5:13" x14ac:dyDescent="0.4">
      <c r="E761" s="16"/>
      <c r="F761" s="16"/>
      <c r="G761" s="16"/>
      <c r="H761" s="16"/>
      <c r="I761" s="16"/>
      <c r="J761" s="16"/>
      <c r="K761" s="16"/>
      <c r="L761" s="16"/>
      <c r="M761" s="16"/>
    </row>
    <row r="762" spans="5:13" x14ac:dyDescent="0.4">
      <c r="E762" s="16"/>
      <c r="F762" s="16"/>
      <c r="G762" s="16"/>
      <c r="H762" s="16"/>
      <c r="I762" s="16"/>
      <c r="J762" s="16"/>
      <c r="K762" s="16"/>
      <c r="L762" s="16"/>
      <c r="M762" s="16"/>
    </row>
    <row r="763" spans="5:13" x14ac:dyDescent="0.4">
      <c r="E763" s="16"/>
      <c r="F763" s="16"/>
      <c r="G763" s="16"/>
      <c r="H763" s="16"/>
      <c r="I763" s="16"/>
      <c r="J763" s="16"/>
      <c r="K763" s="16"/>
      <c r="L763" s="16"/>
      <c r="M763" s="16"/>
    </row>
    <row r="764" spans="5:13" x14ac:dyDescent="0.4">
      <c r="E764" s="16"/>
      <c r="F764" s="16"/>
      <c r="G764" s="16"/>
      <c r="H764" s="16"/>
      <c r="I764" s="16"/>
      <c r="J764" s="16"/>
      <c r="K764" s="16"/>
      <c r="L764" s="16"/>
      <c r="M764" s="16"/>
    </row>
    <row r="765" spans="5:13" x14ac:dyDescent="0.4">
      <c r="E765" s="16"/>
      <c r="F765" s="16"/>
      <c r="G765" s="16"/>
      <c r="H765" s="16"/>
      <c r="I765" s="16"/>
      <c r="J765" s="16"/>
      <c r="K765" s="16"/>
      <c r="L765" s="16"/>
      <c r="M765" s="16"/>
    </row>
    <row r="766" spans="5:13" x14ac:dyDescent="0.4">
      <c r="E766" s="16"/>
      <c r="F766" s="16"/>
      <c r="G766" s="16"/>
      <c r="H766" s="16"/>
      <c r="I766" s="16"/>
      <c r="J766" s="16"/>
      <c r="K766" s="16"/>
      <c r="L766" s="16"/>
      <c r="M766" s="16"/>
    </row>
    <row r="767" spans="5:13" x14ac:dyDescent="0.4">
      <c r="E767" s="16"/>
      <c r="F767" s="16"/>
      <c r="G767" s="16"/>
      <c r="H767" s="16"/>
      <c r="I767" s="16"/>
      <c r="J767" s="16"/>
      <c r="K767" s="16"/>
      <c r="L767" s="16"/>
      <c r="M767" s="16"/>
    </row>
    <row r="768" spans="5:13" x14ac:dyDescent="0.4">
      <c r="E768" s="16"/>
      <c r="F768" s="16"/>
      <c r="G768" s="16"/>
      <c r="H768" s="16"/>
      <c r="I768" s="16"/>
      <c r="J768" s="16"/>
      <c r="K768" s="16"/>
      <c r="L768" s="16"/>
      <c r="M768" s="16"/>
    </row>
    <row r="769" spans="5:13" x14ac:dyDescent="0.4">
      <c r="E769" s="16"/>
      <c r="F769" s="16"/>
      <c r="G769" s="16"/>
      <c r="H769" s="16"/>
      <c r="I769" s="16"/>
      <c r="J769" s="16"/>
      <c r="K769" s="16"/>
      <c r="L769" s="16"/>
      <c r="M769" s="16"/>
    </row>
    <row r="770" spans="5:13" x14ac:dyDescent="0.4">
      <c r="E770" s="16"/>
      <c r="F770" s="16"/>
      <c r="G770" s="16"/>
      <c r="H770" s="16"/>
      <c r="I770" s="16"/>
      <c r="J770" s="16"/>
      <c r="K770" s="16"/>
      <c r="L770" s="16"/>
      <c r="M770" s="16"/>
    </row>
    <row r="771" spans="5:13" x14ac:dyDescent="0.4">
      <c r="E771" s="16"/>
      <c r="F771" s="16"/>
      <c r="G771" s="16"/>
      <c r="H771" s="16"/>
      <c r="I771" s="16"/>
      <c r="J771" s="16"/>
      <c r="K771" s="16"/>
      <c r="L771" s="16"/>
      <c r="M771" s="16"/>
    </row>
    <row r="772" spans="5:13" x14ac:dyDescent="0.4">
      <c r="E772" s="16"/>
      <c r="F772" s="16"/>
      <c r="G772" s="16"/>
      <c r="H772" s="16"/>
      <c r="I772" s="16"/>
      <c r="J772" s="16"/>
      <c r="K772" s="16"/>
      <c r="L772" s="16"/>
      <c r="M772" s="16"/>
    </row>
    <row r="773" spans="5:13" x14ac:dyDescent="0.4">
      <c r="E773" s="16"/>
      <c r="F773" s="16"/>
      <c r="G773" s="16"/>
      <c r="H773" s="16"/>
      <c r="I773" s="16"/>
      <c r="J773" s="16"/>
      <c r="K773" s="16"/>
      <c r="L773" s="16"/>
      <c r="M773" s="16"/>
    </row>
    <row r="774" spans="5:13" x14ac:dyDescent="0.4">
      <c r="E774" s="16"/>
      <c r="F774" s="16"/>
      <c r="G774" s="16"/>
      <c r="H774" s="16"/>
      <c r="I774" s="16"/>
      <c r="J774" s="16"/>
      <c r="K774" s="16"/>
      <c r="L774" s="16"/>
      <c r="M774" s="16"/>
    </row>
    <row r="775" spans="5:13" x14ac:dyDescent="0.4">
      <c r="E775" s="16"/>
      <c r="F775" s="16"/>
      <c r="G775" s="16"/>
      <c r="H775" s="16"/>
      <c r="I775" s="16"/>
      <c r="J775" s="16"/>
      <c r="K775" s="16"/>
      <c r="L775" s="16"/>
      <c r="M775" s="16"/>
    </row>
    <row r="776" spans="5:13" x14ac:dyDescent="0.4">
      <c r="E776" s="16"/>
      <c r="F776" s="16"/>
      <c r="G776" s="16"/>
      <c r="H776" s="16"/>
      <c r="I776" s="16"/>
      <c r="J776" s="16"/>
      <c r="K776" s="16"/>
      <c r="L776" s="16"/>
      <c r="M776" s="16"/>
    </row>
    <row r="777" spans="5:13" x14ac:dyDescent="0.4">
      <c r="E777" s="16"/>
      <c r="F777" s="16"/>
      <c r="G777" s="16"/>
      <c r="H777" s="16"/>
      <c r="I777" s="16"/>
      <c r="J777" s="16"/>
      <c r="K777" s="16"/>
      <c r="L777" s="16"/>
      <c r="M777" s="16"/>
    </row>
    <row r="778" spans="5:13" x14ac:dyDescent="0.4">
      <c r="E778" s="16"/>
      <c r="F778" s="16"/>
      <c r="G778" s="16"/>
      <c r="H778" s="16"/>
      <c r="I778" s="16"/>
      <c r="J778" s="16"/>
      <c r="K778" s="16"/>
      <c r="L778" s="16"/>
      <c r="M778" s="16"/>
    </row>
    <row r="779" spans="5:13" x14ac:dyDescent="0.4">
      <c r="E779" s="16"/>
      <c r="F779" s="16"/>
      <c r="G779" s="16"/>
      <c r="H779" s="16"/>
      <c r="I779" s="16"/>
      <c r="J779" s="16"/>
      <c r="K779" s="16"/>
      <c r="L779" s="16"/>
      <c r="M779" s="16"/>
    </row>
    <row r="780" spans="5:13" x14ac:dyDescent="0.4">
      <c r="E780" s="16"/>
      <c r="F780" s="16"/>
      <c r="G780" s="16"/>
      <c r="H780" s="16"/>
      <c r="I780" s="16"/>
      <c r="J780" s="16"/>
      <c r="K780" s="16"/>
      <c r="L780" s="16"/>
      <c r="M780" s="16"/>
    </row>
    <row r="781" spans="5:13" x14ac:dyDescent="0.4">
      <c r="E781" s="16"/>
      <c r="F781" s="16"/>
      <c r="G781" s="16"/>
      <c r="H781" s="16"/>
      <c r="I781" s="16"/>
      <c r="J781" s="16"/>
      <c r="K781" s="16"/>
      <c r="L781" s="16"/>
      <c r="M781" s="16"/>
    </row>
    <row r="782" spans="5:13" x14ac:dyDescent="0.4">
      <c r="E782" s="16"/>
      <c r="F782" s="16"/>
      <c r="G782" s="16"/>
      <c r="H782" s="16"/>
      <c r="I782" s="16"/>
      <c r="J782" s="16"/>
      <c r="K782" s="16"/>
      <c r="L782" s="16"/>
      <c r="M782" s="16"/>
    </row>
    <row r="783" spans="5:13" x14ac:dyDescent="0.4">
      <c r="E783" s="16"/>
      <c r="F783" s="16"/>
      <c r="G783" s="16"/>
      <c r="H783" s="16"/>
      <c r="I783" s="16"/>
      <c r="J783" s="16"/>
      <c r="K783" s="16"/>
      <c r="L783" s="16"/>
      <c r="M783" s="16"/>
    </row>
    <row r="784" spans="5:13" x14ac:dyDescent="0.4">
      <c r="E784" s="16"/>
      <c r="F784" s="16"/>
      <c r="G784" s="16"/>
      <c r="H784" s="16"/>
      <c r="I784" s="16"/>
      <c r="J784" s="16"/>
      <c r="K784" s="16"/>
      <c r="L784" s="16"/>
      <c r="M784" s="16"/>
    </row>
    <row r="785" spans="5:13" x14ac:dyDescent="0.4">
      <c r="E785" s="16"/>
      <c r="F785" s="16"/>
      <c r="G785" s="16"/>
      <c r="H785" s="16"/>
      <c r="I785" s="16"/>
      <c r="J785" s="16"/>
      <c r="K785" s="16"/>
      <c r="L785" s="16"/>
      <c r="M785" s="16"/>
    </row>
    <row r="786" spans="5:13" x14ac:dyDescent="0.4">
      <c r="E786" s="16"/>
      <c r="F786" s="16"/>
      <c r="G786" s="16"/>
      <c r="H786" s="16"/>
      <c r="I786" s="16"/>
      <c r="J786" s="16"/>
      <c r="K786" s="16"/>
      <c r="L786" s="16"/>
      <c r="M786" s="16"/>
    </row>
    <row r="787" spans="5:13" x14ac:dyDescent="0.4">
      <c r="E787" s="16"/>
      <c r="F787" s="16"/>
      <c r="G787" s="16"/>
      <c r="H787" s="16"/>
      <c r="I787" s="16"/>
      <c r="J787" s="16"/>
      <c r="K787" s="16"/>
      <c r="L787" s="16"/>
      <c r="M787" s="16"/>
    </row>
    <row r="788" spans="5:13" x14ac:dyDescent="0.4">
      <c r="E788" s="16"/>
      <c r="F788" s="16"/>
      <c r="G788" s="16"/>
      <c r="H788" s="16"/>
      <c r="I788" s="16"/>
      <c r="J788" s="16"/>
      <c r="K788" s="16"/>
      <c r="L788" s="16"/>
      <c r="M788" s="16"/>
    </row>
    <row r="789" spans="5:13" x14ac:dyDescent="0.4">
      <c r="E789" s="16"/>
      <c r="F789" s="16"/>
      <c r="G789" s="16"/>
      <c r="H789" s="16"/>
      <c r="I789" s="16"/>
      <c r="J789" s="16"/>
      <c r="K789" s="16"/>
      <c r="L789" s="16"/>
      <c r="M789" s="16"/>
    </row>
    <row r="790" spans="5:13" x14ac:dyDescent="0.4">
      <c r="E790" s="16"/>
      <c r="F790" s="16"/>
      <c r="G790" s="16"/>
      <c r="H790" s="16"/>
      <c r="I790" s="16"/>
      <c r="J790" s="16"/>
      <c r="K790" s="16"/>
      <c r="L790" s="16"/>
      <c r="M790" s="16"/>
    </row>
    <row r="791" spans="5:13" x14ac:dyDescent="0.4">
      <c r="E791" s="16"/>
      <c r="F791" s="16"/>
      <c r="G791" s="16"/>
      <c r="H791" s="16"/>
      <c r="I791" s="16"/>
      <c r="J791" s="16"/>
      <c r="K791" s="16"/>
      <c r="L791" s="16"/>
      <c r="M791" s="16"/>
    </row>
    <row r="792" spans="5:13" x14ac:dyDescent="0.4">
      <c r="E792" s="16"/>
      <c r="F792" s="16"/>
      <c r="G792" s="16"/>
      <c r="H792" s="16"/>
      <c r="I792" s="16"/>
      <c r="J792" s="16"/>
      <c r="K792" s="16"/>
      <c r="L792" s="16"/>
      <c r="M792" s="16"/>
    </row>
    <row r="793" spans="5:13" x14ac:dyDescent="0.4">
      <c r="E793" s="16"/>
      <c r="F793" s="16"/>
      <c r="G793" s="16"/>
      <c r="H793" s="16"/>
      <c r="I793" s="16"/>
      <c r="J793" s="16"/>
      <c r="K793" s="16"/>
      <c r="L793" s="16"/>
      <c r="M793" s="16"/>
    </row>
    <row r="794" spans="5:13" x14ac:dyDescent="0.4">
      <c r="E794" s="16"/>
      <c r="F794" s="16"/>
      <c r="G794" s="16"/>
      <c r="H794" s="16"/>
      <c r="I794" s="16"/>
      <c r="J794" s="16"/>
      <c r="K794" s="16"/>
      <c r="L794" s="16"/>
      <c r="M794" s="16"/>
    </row>
    <row r="795" spans="5:13" x14ac:dyDescent="0.4">
      <c r="E795" s="16"/>
      <c r="F795" s="16"/>
      <c r="G795" s="16"/>
      <c r="H795" s="16"/>
      <c r="I795" s="16"/>
      <c r="J795" s="16"/>
      <c r="K795" s="16"/>
      <c r="L795" s="16"/>
      <c r="M795" s="16"/>
    </row>
    <row r="796" spans="5:13" x14ac:dyDescent="0.4">
      <c r="E796" s="16"/>
      <c r="F796" s="16"/>
      <c r="G796" s="16"/>
      <c r="H796" s="16"/>
      <c r="I796" s="16"/>
      <c r="J796" s="16"/>
      <c r="K796" s="16"/>
      <c r="L796" s="16"/>
      <c r="M796" s="16"/>
    </row>
    <row r="797" spans="5:13" x14ac:dyDescent="0.4">
      <c r="E797" s="16"/>
      <c r="F797" s="16"/>
      <c r="G797" s="16"/>
      <c r="H797" s="16"/>
      <c r="I797" s="16"/>
      <c r="J797" s="16"/>
      <c r="K797" s="16"/>
      <c r="L797" s="16"/>
      <c r="M797" s="16"/>
    </row>
    <row r="798" spans="5:13" x14ac:dyDescent="0.4">
      <c r="E798" s="16"/>
      <c r="F798" s="16"/>
      <c r="G798" s="16"/>
      <c r="H798" s="16"/>
      <c r="I798" s="16"/>
      <c r="J798" s="16"/>
      <c r="K798" s="16"/>
      <c r="L798" s="16"/>
      <c r="M798" s="16"/>
    </row>
    <row r="799" spans="5:13" x14ac:dyDescent="0.4">
      <c r="E799" s="16"/>
      <c r="F799" s="16"/>
      <c r="G799" s="16"/>
      <c r="H799" s="16"/>
      <c r="I799" s="16"/>
      <c r="J799" s="16"/>
      <c r="K799" s="16"/>
      <c r="L799" s="16"/>
      <c r="M799" s="16"/>
    </row>
    <row r="800" spans="5:13" x14ac:dyDescent="0.4">
      <c r="E800" s="16"/>
      <c r="F800" s="16"/>
      <c r="G800" s="16"/>
      <c r="H800" s="16"/>
      <c r="I800" s="16"/>
      <c r="J800" s="16"/>
      <c r="K800" s="16"/>
      <c r="L800" s="16"/>
      <c r="M800" s="16"/>
    </row>
    <row r="801" spans="5:13" x14ac:dyDescent="0.4">
      <c r="E801" s="16"/>
      <c r="F801" s="16"/>
      <c r="G801" s="16"/>
      <c r="H801" s="16"/>
      <c r="I801" s="16"/>
      <c r="J801" s="16"/>
      <c r="K801" s="16"/>
      <c r="L801" s="16"/>
      <c r="M801" s="16"/>
    </row>
    <row r="802" spans="5:13" x14ac:dyDescent="0.4">
      <c r="E802" s="16"/>
      <c r="F802" s="16"/>
      <c r="G802" s="16"/>
      <c r="H802" s="16"/>
      <c r="I802" s="16"/>
      <c r="J802" s="16"/>
      <c r="K802" s="16"/>
      <c r="L802" s="16"/>
      <c r="M802" s="16"/>
    </row>
    <row r="803" spans="5:13" x14ac:dyDescent="0.4">
      <c r="E803" s="16"/>
      <c r="F803" s="16"/>
      <c r="G803" s="16"/>
      <c r="H803" s="16"/>
      <c r="I803" s="16"/>
      <c r="J803" s="16"/>
      <c r="K803" s="16"/>
      <c r="L803" s="16"/>
      <c r="M803" s="16"/>
    </row>
    <row r="804" spans="5:13" x14ac:dyDescent="0.4">
      <c r="E804" s="16"/>
      <c r="F804" s="16"/>
      <c r="G804" s="16"/>
      <c r="H804" s="16"/>
      <c r="I804" s="16"/>
      <c r="J804" s="16"/>
      <c r="K804" s="16"/>
      <c r="L804" s="16"/>
      <c r="M804" s="16"/>
    </row>
    <row r="805" spans="5:13" x14ac:dyDescent="0.4">
      <c r="E805" s="16"/>
      <c r="F805" s="16"/>
      <c r="G805" s="16"/>
      <c r="H805" s="16"/>
      <c r="I805" s="16"/>
      <c r="J805" s="16"/>
      <c r="K805" s="16"/>
      <c r="L805" s="16"/>
      <c r="M805" s="16"/>
    </row>
    <row r="806" spans="5:13" x14ac:dyDescent="0.4">
      <c r="E806" s="16"/>
      <c r="F806" s="16"/>
      <c r="G806" s="16"/>
      <c r="H806" s="16"/>
      <c r="I806" s="16"/>
      <c r="J806" s="16"/>
      <c r="K806" s="16"/>
      <c r="L806" s="16"/>
      <c r="M806" s="16"/>
    </row>
    <row r="807" spans="5:13" x14ac:dyDescent="0.4">
      <c r="E807" s="16"/>
      <c r="F807" s="16"/>
      <c r="G807" s="16"/>
      <c r="H807" s="16"/>
      <c r="I807" s="16"/>
      <c r="J807" s="16"/>
      <c r="K807" s="16"/>
      <c r="L807" s="16"/>
      <c r="M807" s="16"/>
    </row>
    <row r="808" spans="5:13" x14ac:dyDescent="0.4">
      <c r="E808" s="16"/>
      <c r="F808" s="16"/>
      <c r="G808" s="16"/>
      <c r="H808" s="16"/>
      <c r="I808" s="16"/>
      <c r="J808" s="16"/>
      <c r="K808" s="16"/>
      <c r="L808" s="16"/>
      <c r="M808" s="16"/>
    </row>
    <row r="809" spans="5:13" x14ac:dyDescent="0.4">
      <c r="E809" s="16"/>
      <c r="F809" s="16"/>
      <c r="G809" s="16"/>
      <c r="H809" s="16"/>
      <c r="I809" s="16"/>
      <c r="J809" s="16"/>
      <c r="K809" s="16"/>
      <c r="L809" s="16"/>
      <c r="M809" s="16"/>
    </row>
    <row r="810" spans="5:13" x14ac:dyDescent="0.4">
      <c r="E810" s="16"/>
      <c r="F810" s="16"/>
      <c r="G810" s="16"/>
      <c r="H810" s="16"/>
      <c r="I810" s="16"/>
      <c r="J810" s="16"/>
      <c r="K810" s="16"/>
      <c r="L810" s="16"/>
      <c r="M810" s="16"/>
    </row>
    <row r="811" spans="5:13" x14ac:dyDescent="0.4">
      <c r="E811" s="16"/>
      <c r="F811" s="16"/>
      <c r="G811" s="16"/>
      <c r="H811" s="16"/>
      <c r="I811" s="16"/>
      <c r="J811" s="16"/>
      <c r="K811" s="16"/>
      <c r="L811" s="16"/>
      <c r="M811" s="16"/>
    </row>
    <row r="812" spans="5:13" x14ac:dyDescent="0.4">
      <c r="E812" s="16"/>
      <c r="F812" s="16"/>
      <c r="G812" s="16"/>
      <c r="H812" s="16"/>
      <c r="I812" s="16"/>
      <c r="J812" s="16"/>
      <c r="K812" s="16"/>
      <c r="L812" s="16"/>
      <c r="M812" s="16"/>
    </row>
    <row r="813" spans="5:13" x14ac:dyDescent="0.4">
      <c r="E813" s="16"/>
      <c r="F813" s="16"/>
      <c r="G813" s="16"/>
      <c r="H813" s="16"/>
      <c r="I813" s="16"/>
      <c r="J813" s="16"/>
      <c r="K813" s="16"/>
      <c r="L813" s="16"/>
      <c r="M813" s="16"/>
    </row>
    <row r="814" spans="5:13" x14ac:dyDescent="0.4">
      <c r="E814" s="16"/>
      <c r="F814" s="16"/>
      <c r="G814" s="16"/>
      <c r="H814" s="16"/>
      <c r="I814" s="16"/>
      <c r="J814" s="16"/>
      <c r="K814" s="16"/>
      <c r="L814" s="16"/>
      <c r="M814" s="16"/>
    </row>
    <row r="815" spans="5:13" x14ac:dyDescent="0.4">
      <c r="E815" s="16"/>
      <c r="F815" s="16"/>
      <c r="G815" s="16"/>
      <c r="H815" s="16"/>
      <c r="I815" s="16"/>
      <c r="J815" s="16"/>
      <c r="K815" s="16"/>
      <c r="L815" s="16"/>
      <c r="M815" s="16"/>
    </row>
    <row r="816" spans="5:13" x14ac:dyDescent="0.4">
      <c r="E816" s="16"/>
      <c r="F816" s="16"/>
      <c r="G816" s="16"/>
      <c r="H816" s="16"/>
      <c r="I816" s="16"/>
      <c r="J816" s="16"/>
      <c r="K816" s="16"/>
      <c r="L816" s="16"/>
      <c r="M816" s="16"/>
    </row>
    <row r="817" spans="5:13" x14ac:dyDescent="0.4">
      <c r="E817" s="16"/>
      <c r="F817" s="16"/>
      <c r="G817" s="16"/>
      <c r="H817" s="16"/>
      <c r="I817" s="16"/>
      <c r="J817" s="16"/>
      <c r="K817" s="16"/>
      <c r="L817" s="16"/>
      <c r="M817" s="16"/>
    </row>
    <row r="818" spans="5:13" x14ac:dyDescent="0.4">
      <c r="E818" s="16"/>
      <c r="F818" s="16"/>
      <c r="G818" s="16"/>
      <c r="H818" s="16"/>
      <c r="I818" s="16"/>
      <c r="J818" s="16"/>
      <c r="K818" s="16"/>
      <c r="L818" s="16"/>
      <c r="M818" s="16"/>
    </row>
    <row r="819" spans="5:13" x14ac:dyDescent="0.4">
      <c r="E819" s="16"/>
      <c r="F819" s="16"/>
      <c r="G819" s="16"/>
      <c r="H819" s="16"/>
      <c r="I819" s="16"/>
      <c r="J819" s="16"/>
      <c r="K819" s="16"/>
      <c r="L819" s="16"/>
      <c r="M819" s="16"/>
    </row>
    <row r="820" spans="5:13" x14ac:dyDescent="0.4">
      <c r="E820" s="16"/>
      <c r="F820" s="16"/>
      <c r="G820" s="16"/>
      <c r="H820" s="16"/>
      <c r="I820" s="16"/>
      <c r="J820" s="16"/>
      <c r="K820" s="16"/>
      <c r="L820" s="16"/>
      <c r="M820" s="16"/>
    </row>
    <row r="821" spans="5:13" x14ac:dyDescent="0.4">
      <c r="E821" s="16"/>
      <c r="F821" s="16"/>
      <c r="G821" s="16"/>
      <c r="H821" s="16"/>
      <c r="I821" s="16"/>
      <c r="J821" s="16"/>
      <c r="K821" s="16"/>
      <c r="L821" s="16"/>
      <c r="M821" s="16"/>
    </row>
    <row r="822" spans="5:13" x14ac:dyDescent="0.4">
      <c r="E822" s="16"/>
      <c r="F822" s="16"/>
      <c r="G822" s="16"/>
      <c r="H822" s="16"/>
      <c r="I822" s="16"/>
      <c r="J822" s="16"/>
      <c r="K822" s="16"/>
      <c r="L822" s="16"/>
      <c r="M822" s="16"/>
    </row>
    <row r="823" spans="5:13" x14ac:dyDescent="0.4">
      <c r="E823" s="16"/>
      <c r="F823" s="16"/>
      <c r="G823" s="16"/>
      <c r="H823" s="16"/>
      <c r="I823" s="16"/>
      <c r="J823" s="16"/>
      <c r="K823" s="16"/>
      <c r="L823" s="16"/>
      <c r="M823" s="16"/>
    </row>
    <row r="824" spans="5:13" x14ac:dyDescent="0.4">
      <c r="E824" s="16"/>
      <c r="F824" s="16"/>
      <c r="G824" s="16"/>
      <c r="H824" s="16"/>
      <c r="I824" s="16"/>
      <c r="J824" s="16"/>
      <c r="K824" s="16"/>
      <c r="L824" s="16"/>
      <c r="M824" s="16"/>
    </row>
    <row r="825" spans="5:13" x14ac:dyDescent="0.4">
      <c r="E825" s="16"/>
      <c r="F825" s="16"/>
      <c r="G825" s="16"/>
      <c r="H825" s="16"/>
      <c r="I825" s="16"/>
      <c r="J825" s="16"/>
      <c r="K825" s="16"/>
      <c r="L825" s="16"/>
      <c r="M825" s="16"/>
    </row>
    <row r="826" spans="5:13" x14ac:dyDescent="0.4">
      <c r="E826" s="16"/>
      <c r="F826" s="16"/>
      <c r="G826" s="16"/>
      <c r="H826" s="16"/>
      <c r="I826" s="16"/>
      <c r="J826" s="16"/>
      <c r="K826" s="16"/>
      <c r="L826" s="16"/>
      <c r="M826" s="16"/>
    </row>
    <row r="827" spans="5:13" x14ac:dyDescent="0.4">
      <c r="E827" s="16"/>
      <c r="F827" s="16"/>
      <c r="G827" s="16"/>
      <c r="H827" s="16"/>
      <c r="I827" s="16"/>
      <c r="J827" s="16"/>
      <c r="K827" s="16"/>
      <c r="L827" s="16"/>
      <c r="M827" s="16"/>
    </row>
    <row r="828" spans="5:13" x14ac:dyDescent="0.4">
      <c r="E828" s="16"/>
      <c r="F828" s="16"/>
      <c r="G828" s="16"/>
      <c r="H828" s="16"/>
      <c r="I828" s="16"/>
      <c r="J828" s="16"/>
      <c r="K828" s="16"/>
      <c r="L828" s="16"/>
      <c r="M828" s="16"/>
    </row>
    <row r="829" spans="5:13" x14ac:dyDescent="0.4">
      <c r="E829" s="16"/>
      <c r="F829" s="16"/>
      <c r="G829" s="16"/>
      <c r="H829" s="16"/>
      <c r="I829" s="16"/>
      <c r="J829" s="16"/>
      <c r="K829" s="16"/>
      <c r="L829" s="16"/>
      <c r="M829" s="16"/>
    </row>
    <row r="830" spans="5:13" x14ac:dyDescent="0.4">
      <c r="E830" s="16"/>
      <c r="F830" s="16"/>
      <c r="G830" s="16"/>
      <c r="H830" s="16"/>
      <c r="I830" s="16"/>
      <c r="J830" s="16"/>
      <c r="K830" s="16"/>
      <c r="L830" s="16"/>
      <c r="M830" s="16"/>
    </row>
    <row r="831" spans="5:13" x14ac:dyDescent="0.4">
      <c r="E831" s="16"/>
      <c r="F831" s="16"/>
      <c r="G831" s="16"/>
      <c r="H831" s="16"/>
      <c r="I831" s="16"/>
      <c r="J831" s="16"/>
      <c r="K831" s="16"/>
      <c r="L831" s="16"/>
      <c r="M831" s="16"/>
    </row>
    <row r="832" spans="5:13" x14ac:dyDescent="0.4">
      <c r="E832" s="16"/>
      <c r="F832" s="16"/>
      <c r="G832" s="16"/>
      <c r="H832" s="16"/>
      <c r="I832" s="16"/>
      <c r="J832" s="16"/>
      <c r="K832" s="16"/>
      <c r="L832" s="16"/>
      <c r="M832" s="16"/>
    </row>
    <row r="833" spans="5:13" x14ac:dyDescent="0.4">
      <c r="E833" s="16"/>
      <c r="F833" s="16"/>
      <c r="G833" s="16"/>
      <c r="H833" s="16"/>
      <c r="I833" s="16"/>
      <c r="J833" s="16"/>
      <c r="K833" s="16"/>
      <c r="L833" s="16"/>
      <c r="M833" s="16"/>
    </row>
    <row r="834" spans="5:13" x14ac:dyDescent="0.4">
      <c r="E834" s="16"/>
      <c r="F834" s="16"/>
      <c r="G834" s="16"/>
      <c r="H834" s="16"/>
      <c r="I834" s="16"/>
      <c r="J834" s="16"/>
      <c r="K834" s="16"/>
      <c r="L834" s="16"/>
      <c r="M834" s="16"/>
    </row>
    <row r="835" spans="5:13" x14ac:dyDescent="0.4">
      <c r="E835" s="16"/>
      <c r="F835" s="16"/>
      <c r="G835" s="16"/>
      <c r="H835" s="16"/>
      <c r="I835" s="16"/>
      <c r="J835" s="16"/>
      <c r="K835" s="16"/>
      <c r="L835" s="16"/>
      <c r="M835" s="16"/>
    </row>
    <row r="836" spans="5:13" x14ac:dyDescent="0.4">
      <c r="E836" s="16"/>
      <c r="F836" s="16"/>
      <c r="G836" s="16"/>
      <c r="H836" s="16"/>
      <c r="I836" s="16"/>
      <c r="J836" s="16"/>
      <c r="K836" s="16"/>
      <c r="L836" s="16"/>
      <c r="M836" s="16"/>
    </row>
    <row r="837" spans="5:13" x14ac:dyDescent="0.4">
      <c r="E837" s="16"/>
      <c r="F837" s="16"/>
      <c r="G837" s="16"/>
      <c r="H837" s="16"/>
      <c r="I837" s="16"/>
      <c r="J837" s="16"/>
      <c r="K837" s="16"/>
      <c r="L837" s="16"/>
      <c r="M837" s="16"/>
    </row>
    <row r="838" spans="5:13" x14ac:dyDescent="0.4">
      <c r="E838" s="16"/>
      <c r="F838" s="16"/>
      <c r="G838" s="16"/>
      <c r="H838" s="16"/>
      <c r="I838" s="16"/>
      <c r="J838" s="16"/>
      <c r="K838" s="16"/>
      <c r="L838" s="16"/>
      <c r="M838" s="16"/>
    </row>
    <row r="839" spans="5:13" x14ac:dyDescent="0.4">
      <c r="E839" s="16"/>
      <c r="F839" s="16"/>
      <c r="G839" s="16"/>
      <c r="H839" s="16"/>
      <c r="I839" s="16"/>
      <c r="J839" s="16"/>
      <c r="K839" s="16"/>
      <c r="L839" s="16"/>
      <c r="M839" s="16"/>
    </row>
    <row r="840" spans="5:13" x14ac:dyDescent="0.4">
      <c r="E840" s="16"/>
      <c r="F840" s="16"/>
      <c r="G840" s="16"/>
      <c r="H840" s="16"/>
      <c r="I840" s="16"/>
      <c r="J840" s="16"/>
      <c r="K840" s="16"/>
      <c r="L840" s="16"/>
      <c r="M840" s="16"/>
    </row>
    <row r="841" spans="5:13" x14ac:dyDescent="0.4">
      <c r="E841" s="16"/>
      <c r="F841" s="16"/>
      <c r="G841" s="16"/>
      <c r="H841" s="16"/>
      <c r="I841" s="16"/>
      <c r="J841" s="16"/>
      <c r="K841" s="16"/>
      <c r="L841" s="16"/>
      <c r="M841" s="16"/>
    </row>
    <row r="842" spans="5:13" x14ac:dyDescent="0.4">
      <c r="E842" s="16"/>
      <c r="F842" s="16"/>
      <c r="G842" s="16"/>
      <c r="H842" s="16"/>
      <c r="I842" s="16"/>
      <c r="J842" s="16"/>
      <c r="K842" s="16"/>
      <c r="L842" s="16"/>
      <c r="M842" s="16"/>
    </row>
    <row r="843" spans="5:13" x14ac:dyDescent="0.4">
      <c r="E843" s="16"/>
      <c r="F843" s="16"/>
      <c r="G843" s="16"/>
      <c r="H843" s="16"/>
      <c r="I843" s="16"/>
      <c r="J843" s="16"/>
      <c r="K843" s="16"/>
      <c r="L843" s="16"/>
      <c r="M843" s="16"/>
    </row>
    <row r="844" spans="5:13" x14ac:dyDescent="0.4">
      <c r="E844" s="16"/>
      <c r="F844" s="16"/>
      <c r="G844" s="16"/>
      <c r="H844" s="16"/>
      <c r="I844" s="16"/>
      <c r="J844" s="16"/>
      <c r="K844" s="16"/>
      <c r="L844" s="16"/>
      <c r="M844" s="16"/>
    </row>
    <row r="845" spans="5:13" x14ac:dyDescent="0.4">
      <c r="E845" s="16"/>
      <c r="F845" s="16"/>
      <c r="G845" s="16"/>
      <c r="H845" s="16"/>
      <c r="I845" s="16"/>
      <c r="J845" s="16"/>
      <c r="K845" s="16"/>
      <c r="L845" s="16"/>
      <c r="M845" s="16"/>
    </row>
    <row r="846" spans="5:13" x14ac:dyDescent="0.4">
      <c r="E846" s="16"/>
      <c r="F846" s="16"/>
      <c r="G846" s="16"/>
      <c r="H846" s="16"/>
      <c r="I846" s="16"/>
      <c r="J846" s="16"/>
      <c r="K846" s="16"/>
      <c r="L846" s="16"/>
      <c r="M846" s="16"/>
    </row>
    <row r="847" spans="5:13" x14ac:dyDescent="0.4">
      <c r="E847" s="16"/>
      <c r="F847" s="16"/>
      <c r="G847" s="16"/>
      <c r="H847" s="16"/>
      <c r="I847" s="16"/>
      <c r="J847" s="16"/>
      <c r="K847" s="16"/>
      <c r="L847" s="16"/>
      <c r="M847" s="16"/>
    </row>
    <row r="848" spans="5:13" x14ac:dyDescent="0.4">
      <c r="E848" s="16"/>
      <c r="F848" s="16"/>
      <c r="G848" s="16"/>
      <c r="H848" s="16"/>
      <c r="I848" s="16"/>
      <c r="J848" s="16"/>
      <c r="K848" s="16"/>
      <c r="L848" s="16"/>
      <c r="M848" s="16"/>
    </row>
    <row r="849" spans="5:13" x14ac:dyDescent="0.4">
      <c r="E849" s="16"/>
      <c r="F849" s="16"/>
      <c r="G849" s="16"/>
      <c r="H849" s="16"/>
      <c r="I849" s="16"/>
      <c r="J849" s="16"/>
      <c r="K849" s="16"/>
      <c r="L849" s="16"/>
      <c r="M849" s="16"/>
    </row>
    <row r="850" spans="5:13" x14ac:dyDescent="0.4">
      <c r="E850" s="16"/>
      <c r="F850" s="16"/>
      <c r="G850" s="16"/>
      <c r="H850" s="16"/>
      <c r="I850" s="16"/>
      <c r="J850" s="16"/>
      <c r="K850" s="16"/>
      <c r="L850" s="16"/>
      <c r="M850" s="16"/>
    </row>
    <row r="851" spans="5:13" x14ac:dyDescent="0.4">
      <c r="E851" s="16"/>
      <c r="F851" s="16"/>
      <c r="G851" s="16"/>
      <c r="H851" s="16"/>
      <c r="I851" s="16"/>
      <c r="J851" s="16"/>
      <c r="K851" s="16"/>
      <c r="L851" s="16"/>
      <c r="M851" s="16"/>
    </row>
    <row r="852" spans="5:13" x14ac:dyDescent="0.4">
      <c r="E852" s="16"/>
      <c r="F852" s="16"/>
      <c r="G852" s="16"/>
      <c r="H852" s="16"/>
      <c r="I852" s="16"/>
      <c r="J852" s="16"/>
      <c r="K852" s="16"/>
      <c r="L852" s="16"/>
      <c r="M852" s="16"/>
    </row>
    <row r="853" spans="5:13" x14ac:dyDescent="0.4">
      <c r="E853" s="16"/>
      <c r="F853" s="16"/>
      <c r="G853" s="16"/>
      <c r="H853" s="16"/>
      <c r="I853" s="16"/>
      <c r="J853" s="16"/>
      <c r="K853" s="16"/>
      <c r="L853" s="16"/>
      <c r="M853" s="16"/>
    </row>
    <row r="854" spans="5:13" x14ac:dyDescent="0.4">
      <c r="E854" s="16"/>
      <c r="F854" s="16"/>
      <c r="G854" s="16"/>
      <c r="H854" s="16"/>
      <c r="I854" s="16"/>
      <c r="J854" s="16"/>
      <c r="K854" s="16"/>
      <c r="L854" s="16"/>
      <c r="M854" s="16"/>
    </row>
    <row r="855" spans="5:13" x14ac:dyDescent="0.4">
      <c r="E855" s="16"/>
      <c r="F855" s="16"/>
      <c r="G855" s="16"/>
      <c r="H855" s="16"/>
      <c r="I855" s="16"/>
      <c r="J855" s="16"/>
      <c r="K855" s="16"/>
      <c r="L855" s="16"/>
      <c r="M855" s="16"/>
    </row>
    <row r="856" spans="5:13" x14ac:dyDescent="0.4">
      <c r="E856" s="16"/>
      <c r="F856" s="16"/>
      <c r="G856" s="16"/>
      <c r="H856" s="16"/>
      <c r="I856" s="16"/>
      <c r="J856" s="16"/>
      <c r="K856" s="16"/>
      <c r="L856" s="16"/>
      <c r="M856" s="16"/>
    </row>
    <row r="857" spans="5:13" x14ac:dyDescent="0.4">
      <c r="E857" s="16"/>
      <c r="F857" s="16"/>
      <c r="G857" s="16"/>
      <c r="H857" s="16"/>
      <c r="I857" s="16"/>
      <c r="J857" s="16"/>
      <c r="K857" s="16"/>
      <c r="L857" s="16"/>
      <c r="M857" s="16"/>
    </row>
    <row r="858" spans="5:13" x14ac:dyDescent="0.4">
      <c r="E858" s="16"/>
      <c r="F858" s="16"/>
      <c r="G858" s="16"/>
      <c r="H858" s="16"/>
      <c r="I858" s="16"/>
      <c r="J858" s="16"/>
      <c r="K858" s="16"/>
      <c r="L858" s="16"/>
      <c r="M858" s="16"/>
    </row>
    <row r="859" spans="5:13" x14ac:dyDescent="0.4">
      <c r="E859" s="16"/>
      <c r="F859" s="16"/>
      <c r="G859" s="16"/>
      <c r="H859" s="16"/>
      <c r="I859" s="16"/>
      <c r="J859" s="16"/>
      <c r="K859" s="16"/>
      <c r="L859" s="16"/>
      <c r="M859" s="16"/>
    </row>
    <row r="860" spans="5:13" x14ac:dyDescent="0.4">
      <c r="E860" s="16"/>
      <c r="F860" s="16"/>
      <c r="G860" s="16"/>
      <c r="H860" s="16"/>
      <c r="I860" s="16"/>
      <c r="J860" s="16"/>
      <c r="K860" s="16"/>
      <c r="L860" s="16"/>
      <c r="M860" s="16"/>
    </row>
    <row r="861" spans="5:13" x14ac:dyDescent="0.4">
      <c r="E861" s="16"/>
      <c r="F861" s="16"/>
      <c r="G861" s="16"/>
      <c r="H861" s="16"/>
      <c r="I861" s="16"/>
      <c r="J861" s="16"/>
      <c r="K861" s="16"/>
      <c r="L861" s="16"/>
      <c r="M861" s="16"/>
    </row>
    <row r="862" spans="5:13" x14ac:dyDescent="0.4">
      <c r="E862" s="16"/>
      <c r="F862" s="16"/>
      <c r="G862" s="16"/>
      <c r="H862" s="16"/>
      <c r="I862" s="16"/>
      <c r="J862" s="16"/>
      <c r="K862" s="16"/>
      <c r="L862" s="16"/>
      <c r="M862" s="16"/>
    </row>
    <row r="863" spans="5:13" x14ac:dyDescent="0.4">
      <c r="E863" s="16"/>
      <c r="F863" s="16"/>
      <c r="G863" s="16"/>
      <c r="H863" s="16"/>
      <c r="I863" s="16"/>
      <c r="J863" s="16"/>
      <c r="K863" s="16"/>
      <c r="L863" s="16"/>
      <c r="M863" s="16"/>
    </row>
    <row r="864" spans="5:13" x14ac:dyDescent="0.4">
      <c r="E864" s="16"/>
      <c r="F864" s="16"/>
      <c r="G864" s="16"/>
      <c r="H864" s="16"/>
      <c r="I864" s="16"/>
      <c r="J864" s="16"/>
      <c r="K864" s="16"/>
      <c r="L864" s="16"/>
      <c r="M864" s="16"/>
    </row>
    <row r="865" spans="5:13" x14ac:dyDescent="0.4">
      <c r="E865" s="16"/>
      <c r="F865" s="16"/>
      <c r="G865" s="16"/>
      <c r="H865" s="16"/>
      <c r="I865" s="16"/>
      <c r="J865" s="16"/>
      <c r="K865" s="16"/>
      <c r="L865" s="16"/>
      <c r="M865" s="16"/>
    </row>
    <row r="866" spans="5:13" x14ac:dyDescent="0.4">
      <c r="E866" s="16"/>
      <c r="F866" s="16"/>
      <c r="G866" s="16"/>
      <c r="H866" s="16"/>
      <c r="I866" s="16"/>
      <c r="J866" s="16"/>
      <c r="K866" s="16"/>
      <c r="L866" s="16"/>
      <c r="M866" s="16"/>
    </row>
    <row r="867" spans="5:13" x14ac:dyDescent="0.4">
      <c r="E867" s="16"/>
      <c r="F867" s="16"/>
      <c r="G867" s="16"/>
      <c r="H867" s="16"/>
      <c r="I867" s="16"/>
      <c r="J867" s="16"/>
      <c r="K867" s="16"/>
      <c r="L867" s="16"/>
      <c r="M867" s="16"/>
    </row>
    <row r="868" spans="5:13" x14ac:dyDescent="0.4">
      <c r="E868" s="16"/>
      <c r="F868" s="16"/>
      <c r="G868" s="16"/>
      <c r="H868" s="16"/>
      <c r="I868" s="16"/>
      <c r="J868" s="16"/>
      <c r="K868" s="16"/>
      <c r="L868" s="16"/>
      <c r="M868" s="16"/>
    </row>
    <row r="869" spans="5:13" x14ac:dyDescent="0.4">
      <c r="E869" s="16"/>
      <c r="F869" s="16"/>
      <c r="G869" s="16"/>
      <c r="H869" s="16"/>
      <c r="I869" s="16"/>
      <c r="J869" s="16"/>
      <c r="K869" s="16"/>
      <c r="L869" s="16"/>
      <c r="M869" s="16"/>
    </row>
    <row r="870" spans="5:13" x14ac:dyDescent="0.4">
      <c r="E870" s="16"/>
      <c r="F870" s="16"/>
      <c r="G870" s="16"/>
      <c r="H870" s="16"/>
      <c r="I870" s="16"/>
      <c r="J870" s="16"/>
      <c r="K870" s="16"/>
      <c r="L870" s="16"/>
      <c r="M870" s="16"/>
    </row>
    <row r="871" spans="5:13" x14ac:dyDescent="0.4">
      <c r="E871" s="16"/>
      <c r="F871" s="16"/>
      <c r="G871" s="16"/>
      <c r="H871" s="16"/>
      <c r="I871" s="16"/>
      <c r="J871" s="16"/>
      <c r="K871" s="16"/>
      <c r="L871" s="16"/>
      <c r="M871" s="16"/>
    </row>
    <row r="872" spans="5:13" x14ac:dyDescent="0.4">
      <c r="E872" s="16"/>
      <c r="F872" s="16"/>
      <c r="G872" s="16"/>
      <c r="H872" s="16"/>
      <c r="I872" s="16"/>
      <c r="J872" s="16"/>
      <c r="K872" s="16"/>
      <c r="L872" s="16"/>
      <c r="M872" s="16"/>
    </row>
    <row r="873" spans="5:13" x14ac:dyDescent="0.4">
      <c r="E873" s="16"/>
      <c r="F873" s="16"/>
      <c r="G873" s="16"/>
      <c r="H873" s="16"/>
      <c r="I873" s="16"/>
      <c r="J873" s="16"/>
      <c r="K873" s="16"/>
      <c r="L873" s="16"/>
      <c r="M873" s="16"/>
    </row>
    <row r="874" spans="5:13" x14ac:dyDescent="0.4">
      <c r="E874" s="16"/>
      <c r="F874" s="16"/>
      <c r="G874" s="16"/>
      <c r="H874" s="16"/>
      <c r="I874" s="16"/>
      <c r="J874" s="16"/>
      <c r="K874" s="16"/>
      <c r="L874" s="16"/>
      <c r="M874" s="16"/>
    </row>
    <row r="875" spans="5:13" x14ac:dyDescent="0.4">
      <c r="E875" s="16"/>
      <c r="F875" s="16"/>
      <c r="G875" s="16"/>
      <c r="H875" s="16"/>
      <c r="I875" s="16"/>
      <c r="J875" s="16"/>
      <c r="K875" s="16"/>
      <c r="L875" s="16"/>
      <c r="M875" s="16"/>
    </row>
    <row r="876" spans="5:13" x14ac:dyDescent="0.4">
      <c r="E876" s="16"/>
      <c r="F876" s="16"/>
      <c r="G876" s="16"/>
      <c r="H876" s="16"/>
      <c r="I876" s="16"/>
      <c r="J876" s="16"/>
      <c r="K876" s="16"/>
      <c r="L876" s="16"/>
      <c r="M876" s="16"/>
    </row>
    <row r="877" spans="5:13" x14ac:dyDescent="0.4">
      <c r="E877" s="16"/>
      <c r="F877" s="16"/>
      <c r="G877" s="16"/>
      <c r="H877" s="16"/>
      <c r="I877" s="16"/>
      <c r="J877" s="16"/>
      <c r="K877" s="16"/>
      <c r="L877" s="16"/>
      <c r="M877" s="16"/>
    </row>
    <row r="878" spans="5:13" x14ac:dyDescent="0.4">
      <c r="E878" s="16"/>
      <c r="F878" s="16"/>
      <c r="G878" s="16"/>
      <c r="H878" s="16"/>
      <c r="I878" s="16"/>
      <c r="J878" s="16"/>
      <c r="K878" s="16"/>
      <c r="L878" s="16"/>
      <c r="M878" s="16"/>
    </row>
    <row r="879" spans="5:13" x14ac:dyDescent="0.4">
      <c r="E879" s="16"/>
      <c r="F879" s="16"/>
      <c r="G879" s="16"/>
      <c r="H879" s="16"/>
      <c r="I879" s="16"/>
      <c r="J879" s="16"/>
      <c r="K879" s="16"/>
      <c r="L879" s="16"/>
      <c r="M879" s="16"/>
    </row>
    <row r="880" spans="5:13" x14ac:dyDescent="0.4">
      <c r="E880" s="16"/>
      <c r="F880" s="16"/>
      <c r="G880" s="16"/>
      <c r="H880" s="16"/>
      <c r="I880" s="16"/>
      <c r="J880" s="16"/>
      <c r="K880" s="16"/>
      <c r="L880" s="16"/>
      <c r="M880" s="16"/>
    </row>
    <row r="881" spans="5:13" x14ac:dyDescent="0.4">
      <c r="E881" s="16"/>
      <c r="F881" s="16"/>
      <c r="G881" s="16"/>
      <c r="H881" s="16"/>
      <c r="I881" s="16"/>
      <c r="J881" s="16"/>
      <c r="K881" s="16"/>
      <c r="L881" s="16"/>
      <c r="M881" s="16"/>
    </row>
    <row r="882" spans="5:13" x14ac:dyDescent="0.4">
      <c r="E882" s="16"/>
      <c r="F882" s="16"/>
      <c r="G882" s="16"/>
      <c r="H882" s="16"/>
      <c r="I882" s="16"/>
      <c r="J882" s="16"/>
      <c r="K882" s="16"/>
      <c r="L882" s="16"/>
      <c r="M882" s="16"/>
    </row>
    <row r="883" spans="5:13" x14ac:dyDescent="0.4">
      <c r="E883" s="16"/>
      <c r="F883" s="16"/>
      <c r="G883" s="16"/>
      <c r="H883" s="16"/>
      <c r="I883" s="16"/>
      <c r="J883" s="16"/>
      <c r="K883" s="16"/>
      <c r="L883" s="16"/>
      <c r="M883" s="16"/>
    </row>
    <row r="884" spans="5:13" x14ac:dyDescent="0.4">
      <c r="E884" s="16"/>
      <c r="F884" s="16"/>
      <c r="G884" s="16"/>
      <c r="H884" s="16"/>
      <c r="I884" s="16"/>
      <c r="J884" s="16"/>
      <c r="K884" s="16"/>
      <c r="L884" s="16"/>
      <c r="M884" s="16"/>
    </row>
    <row r="885" spans="5:13" x14ac:dyDescent="0.4">
      <c r="E885" s="16"/>
      <c r="F885" s="16"/>
      <c r="G885" s="16"/>
      <c r="H885" s="16"/>
      <c r="I885" s="16"/>
      <c r="J885" s="16"/>
      <c r="K885" s="16"/>
      <c r="L885" s="16"/>
      <c r="M885" s="16"/>
    </row>
    <row r="886" spans="5:13" x14ac:dyDescent="0.4">
      <c r="E886" s="16"/>
      <c r="F886" s="16"/>
      <c r="G886" s="16"/>
      <c r="H886" s="16"/>
      <c r="I886" s="16"/>
      <c r="J886" s="16"/>
      <c r="K886" s="16"/>
      <c r="L886" s="16"/>
      <c r="M886" s="16"/>
    </row>
    <row r="887" spans="5:13" x14ac:dyDescent="0.4">
      <c r="E887" s="16"/>
      <c r="F887" s="16"/>
      <c r="G887" s="16"/>
      <c r="H887" s="16"/>
      <c r="I887" s="16"/>
      <c r="J887" s="16"/>
      <c r="K887" s="16"/>
      <c r="L887" s="16"/>
      <c r="M887" s="16"/>
    </row>
    <row r="888" spans="5:13" x14ac:dyDescent="0.4">
      <c r="E888" s="16"/>
      <c r="F888" s="16"/>
      <c r="G888" s="16"/>
      <c r="H888" s="16"/>
      <c r="I888" s="16"/>
      <c r="J888" s="16"/>
      <c r="K888" s="16"/>
      <c r="L888" s="16"/>
      <c r="M888" s="16"/>
    </row>
    <row r="889" spans="5:13" x14ac:dyDescent="0.4">
      <c r="E889" s="16"/>
      <c r="F889" s="16"/>
      <c r="G889" s="16"/>
      <c r="H889" s="16"/>
      <c r="I889" s="16"/>
      <c r="J889" s="16"/>
      <c r="K889" s="16"/>
      <c r="L889" s="16"/>
      <c r="M889" s="16"/>
    </row>
    <row r="890" spans="5:13" x14ac:dyDescent="0.4">
      <c r="E890" s="16"/>
      <c r="F890" s="16"/>
      <c r="G890" s="16"/>
      <c r="H890" s="16"/>
      <c r="I890" s="16"/>
      <c r="J890" s="16"/>
      <c r="K890" s="16"/>
      <c r="L890" s="16"/>
      <c r="M890" s="16"/>
    </row>
    <row r="891" spans="5:13" x14ac:dyDescent="0.4">
      <c r="E891" s="16"/>
      <c r="F891" s="16"/>
      <c r="G891" s="16"/>
      <c r="H891" s="16"/>
      <c r="I891" s="16"/>
      <c r="J891" s="16"/>
      <c r="K891" s="16"/>
      <c r="L891" s="16"/>
      <c r="M891" s="16"/>
    </row>
    <row r="892" spans="5:13" x14ac:dyDescent="0.4">
      <c r="E892" s="16"/>
      <c r="F892" s="16"/>
      <c r="G892" s="16"/>
      <c r="H892" s="16"/>
      <c r="I892" s="16"/>
      <c r="J892" s="16"/>
      <c r="K892" s="16"/>
      <c r="L892" s="16"/>
      <c r="M892" s="16"/>
    </row>
    <row r="893" spans="5:13" x14ac:dyDescent="0.4">
      <c r="E893" s="16"/>
      <c r="F893" s="16"/>
      <c r="G893" s="16"/>
      <c r="H893" s="16"/>
      <c r="I893" s="16"/>
      <c r="J893" s="16"/>
      <c r="K893" s="16"/>
      <c r="L893" s="16"/>
      <c r="M893" s="16"/>
    </row>
    <row r="894" spans="5:13" x14ac:dyDescent="0.4">
      <c r="E894" s="16"/>
      <c r="F894" s="16"/>
      <c r="G894" s="16"/>
      <c r="H894" s="16"/>
      <c r="I894" s="16"/>
      <c r="J894" s="16"/>
      <c r="K894" s="16"/>
      <c r="L894" s="16"/>
      <c r="M894" s="16"/>
    </row>
    <row r="895" spans="5:13" x14ac:dyDescent="0.4">
      <c r="E895" s="16"/>
      <c r="F895" s="16"/>
      <c r="G895" s="16"/>
      <c r="H895" s="16"/>
      <c r="I895" s="16"/>
      <c r="J895" s="16"/>
      <c r="K895" s="16"/>
      <c r="L895" s="16"/>
      <c r="M895" s="16"/>
    </row>
    <row r="896" spans="5:13" x14ac:dyDescent="0.4">
      <c r="E896" s="16"/>
      <c r="F896" s="16"/>
      <c r="G896" s="16"/>
      <c r="H896" s="16"/>
      <c r="I896" s="16"/>
      <c r="J896" s="16"/>
      <c r="K896" s="16"/>
      <c r="L896" s="16"/>
      <c r="M896" s="16"/>
    </row>
    <row r="897" spans="5:13" x14ac:dyDescent="0.4">
      <c r="E897" s="16"/>
      <c r="F897" s="16"/>
      <c r="G897" s="16"/>
      <c r="H897" s="16"/>
      <c r="I897" s="16"/>
      <c r="J897" s="16"/>
      <c r="K897" s="16"/>
      <c r="L897" s="16"/>
      <c r="M897" s="16"/>
    </row>
    <row r="898" spans="5:13" x14ac:dyDescent="0.4">
      <c r="E898" s="16"/>
      <c r="F898" s="16"/>
      <c r="G898" s="16"/>
      <c r="H898" s="16"/>
      <c r="I898" s="16"/>
      <c r="J898" s="16"/>
      <c r="K898" s="16"/>
      <c r="L898" s="16"/>
      <c r="M898" s="16"/>
    </row>
    <row r="899" spans="5:13" x14ac:dyDescent="0.4">
      <c r="E899" s="16"/>
      <c r="F899" s="16"/>
      <c r="G899" s="16"/>
      <c r="H899" s="16"/>
      <c r="I899" s="16"/>
      <c r="J899" s="16"/>
      <c r="K899" s="16"/>
      <c r="L899" s="16"/>
      <c r="M899" s="16"/>
    </row>
    <row r="900" spans="5:13" x14ac:dyDescent="0.4">
      <c r="E900" s="16"/>
      <c r="F900" s="16"/>
      <c r="G900" s="16"/>
      <c r="H900" s="16"/>
      <c r="I900" s="16"/>
      <c r="J900" s="16"/>
      <c r="K900" s="16"/>
      <c r="L900" s="16"/>
      <c r="M900" s="16"/>
    </row>
    <row r="901" spans="5:13" x14ac:dyDescent="0.4">
      <c r="E901" s="16"/>
      <c r="F901" s="16"/>
      <c r="G901" s="16"/>
      <c r="H901" s="16"/>
      <c r="I901" s="16"/>
      <c r="J901" s="16"/>
      <c r="K901" s="16"/>
      <c r="L901" s="16"/>
      <c r="M901" s="16"/>
    </row>
    <row r="902" spans="5:13" x14ac:dyDescent="0.4">
      <c r="E902" s="16"/>
      <c r="F902" s="16"/>
      <c r="G902" s="16"/>
      <c r="H902" s="16"/>
      <c r="I902" s="16"/>
      <c r="J902" s="16"/>
      <c r="K902" s="16"/>
      <c r="L902" s="16"/>
      <c r="M902" s="16"/>
    </row>
    <row r="903" spans="5:13" x14ac:dyDescent="0.4">
      <c r="E903" s="16"/>
      <c r="F903" s="16"/>
      <c r="G903" s="16"/>
      <c r="H903" s="16"/>
      <c r="I903" s="16"/>
      <c r="J903" s="16"/>
      <c r="K903" s="16"/>
      <c r="L903" s="16"/>
      <c r="M903" s="16"/>
    </row>
    <row r="904" spans="5:13" x14ac:dyDescent="0.4">
      <c r="E904" s="16"/>
      <c r="F904" s="16"/>
      <c r="G904" s="16"/>
      <c r="H904" s="16"/>
      <c r="I904" s="16"/>
      <c r="J904" s="16"/>
      <c r="K904" s="16"/>
      <c r="L904" s="16"/>
      <c r="M904" s="16"/>
    </row>
    <row r="905" spans="5:13" x14ac:dyDescent="0.4">
      <c r="E905" s="16"/>
      <c r="F905" s="16"/>
      <c r="G905" s="16"/>
      <c r="H905" s="16"/>
      <c r="I905" s="16"/>
      <c r="J905" s="16"/>
      <c r="K905" s="16"/>
      <c r="L905" s="16"/>
      <c r="M905" s="16"/>
    </row>
    <row r="906" spans="5:13" x14ac:dyDescent="0.4">
      <c r="E906" s="16"/>
      <c r="F906" s="16"/>
      <c r="G906" s="16"/>
      <c r="H906" s="16"/>
      <c r="I906" s="16"/>
      <c r="J906" s="16"/>
      <c r="K906" s="16"/>
      <c r="L906" s="16"/>
      <c r="M906" s="16"/>
    </row>
    <row r="907" spans="5:13" x14ac:dyDescent="0.4">
      <c r="E907" s="16"/>
      <c r="F907" s="16"/>
      <c r="G907" s="16"/>
      <c r="H907" s="16"/>
      <c r="I907" s="16"/>
      <c r="J907" s="16"/>
      <c r="K907" s="16"/>
      <c r="L907" s="16"/>
      <c r="M907" s="16"/>
    </row>
    <row r="908" spans="5:13" x14ac:dyDescent="0.4">
      <c r="E908" s="16"/>
      <c r="F908" s="16"/>
      <c r="G908" s="16"/>
      <c r="H908" s="16"/>
      <c r="I908" s="16"/>
      <c r="J908" s="16"/>
      <c r="K908" s="16"/>
      <c r="L908" s="16"/>
      <c r="M908" s="16"/>
    </row>
    <row r="909" spans="5:13" x14ac:dyDescent="0.4">
      <c r="E909" s="16"/>
      <c r="F909" s="16"/>
      <c r="G909" s="16"/>
      <c r="H909" s="16"/>
      <c r="I909" s="16"/>
      <c r="J909" s="16"/>
      <c r="K909" s="16"/>
      <c r="L909" s="16"/>
      <c r="M909" s="16"/>
    </row>
    <row r="910" spans="5:13" x14ac:dyDescent="0.4">
      <c r="E910" s="16"/>
      <c r="F910" s="16"/>
      <c r="G910" s="16"/>
      <c r="H910" s="16"/>
      <c r="I910" s="16"/>
      <c r="J910" s="16"/>
      <c r="K910" s="16"/>
      <c r="L910" s="16"/>
      <c r="M910" s="16"/>
    </row>
    <row r="911" spans="5:13" x14ac:dyDescent="0.4">
      <c r="E911" s="16"/>
      <c r="F911" s="16"/>
      <c r="G911" s="16"/>
      <c r="H911" s="16"/>
      <c r="I911" s="16"/>
      <c r="J911" s="16"/>
      <c r="K911" s="16"/>
      <c r="L911" s="16"/>
      <c r="M911" s="16"/>
    </row>
    <row r="912" spans="5:13" x14ac:dyDescent="0.4">
      <c r="E912" s="16"/>
      <c r="F912" s="16"/>
      <c r="G912" s="16"/>
      <c r="H912" s="16"/>
      <c r="I912" s="16"/>
      <c r="J912" s="16"/>
      <c r="K912" s="16"/>
      <c r="L912" s="16"/>
      <c r="M912" s="16"/>
    </row>
    <row r="913" spans="5:13" x14ac:dyDescent="0.4">
      <c r="E913" s="16"/>
      <c r="F913" s="16"/>
      <c r="G913" s="16"/>
      <c r="H913" s="16"/>
      <c r="I913" s="16"/>
      <c r="J913" s="16"/>
      <c r="K913" s="16"/>
      <c r="L913" s="16"/>
      <c r="M913" s="16"/>
    </row>
    <row r="914" spans="5:13" x14ac:dyDescent="0.4">
      <c r="E914" s="16"/>
      <c r="F914" s="16"/>
      <c r="G914" s="16"/>
      <c r="H914" s="16"/>
      <c r="I914" s="16"/>
      <c r="J914" s="16"/>
      <c r="K914" s="16"/>
      <c r="L914" s="16"/>
      <c r="M914" s="16"/>
    </row>
    <row r="915" spans="5:13" x14ac:dyDescent="0.4">
      <c r="E915" s="16"/>
      <c r="F915" s="16"/>
      <c r="G915" s="16"/>
      <c r="H915" s="16"/>
      <c r="I915" s="16"/>
      <c r="J915" s="16"/>
      <c r="K915" s="16"/>
      <c r="L915" s="16"/>
      <c r="M915" s="16"/>
    </row>
    <row r="916" spans="5:13" x14ac:dyDescent="0.4">
      <c r="E916" s="16"/>
      <c r="F916" s="16"/>
      <c r="G916" s="16"/>
      <c r="H916" s="16"/>
      <c r="I916" s="16"/>
      <c r="J916" s="16"/>
      <c r="K916" s="16"/>
      <c r="L916" s="16"/>
      <c r="M916" s="16"/>
    </row>
    <row r="917" spans="5:13" x14ac:dyDescent="0.4">
      <c r="E917" s="16"/>
      <c r="F917" s="16"/>
      <c r="G917" s="16"/>
      <c r="H917" s="16"/>
      <c r="I917" s="16"/>
      <c r="J917" s="16"/>
      <c r="K917" s="16"/>
      <c r="L917" s="16"/>
      <c r="M917" s="16"/>
    </row>
    <row r="918" spans="5:13" x14ac:dyDescent="0.4">
      <c r="E918" s="16"/>
      <c r="F918" s="16"/>
      <c r="G918" s="16"/>
      <c r="H918" s="16"/>
      <c r="I918" s="16"/>
      <c r="J918" s="16"/>
      <c r="K918" s="16"/>
      <c r="L918" s="16"/>
      <c r="M918" s="16"/>
    </row>
    <row r="919" spans="5:13" x14ac:dyDescent="0.4">
      <c r="E919" s="16"/>
      <c r="F919" s="16"/>
      <c r="G919" s="16"/>
      <c r="H919" s="16"/>
      <c r="I919" s="16"/>
      <c r="J919" s="16"/>
      <c r="K919" s="16"/>
      <c r="L919" s="16"/>
      <c r="M919" s="16"/>
    </row>
    <row r="920" spans="5:13" x14ac:dyDescent="0.4">
      <c r="E920" s="16"/>
      <c r="F920" s="16"/>
      <c r="G920" s="16"/>
      <c r="H920" s="16"/>
      <c r="I920" s="16"/>
      <c r="J920" s="16"/>
      <c r="K920" s="16"/>
      <c r="L920" s="16"/>
      <c r="M920" s="16"/>
    </row>
    <row r="921" spans="5:13" x14ac:dyDescent="0.4">
      <c r="E921" s="16"/>
      <c r="F921" s="16"/>
      <c r="G921" s="16"/>
      <c r="H921" s="16"/>
      <c r="I921" s="16"/>
      <c r="J921" s="16"/>
      <c r="K921" s="16"/>
      <c r="L921" s="16"/>
      <c r="M921" s="16"/>
    </row>
    <row r="922" spans="5:13" x14ac:dyDescent="0.4">
      <c r="E922" s="16"/>
      <c r="F922" s="16"/>
      <c r="G922" s="16"/>
      <c r="H922" s="16"/>
      <c r="I922" s="16"/>
      <c r="J922" s="16"/>
      <c r="K922" s="16"/>
      <c r="L922" s="16"/>
      <c r="M922" s="16"/>
    </row>
    <row r="923" spans="5:13" x14ac:dyDescent="0.4">
      <c r="E923" s="16"/>
      <c r="F923" s="16"/>
      <c r="G923" s="16"/>
      <c r="H923" s="16"/>
      <c r="I923" s="16"/>
      <c r="J923" s="16"/>
      <c r="K923" s="16"/>
      <c r="L923" s="16"/>
      <c r="M923" s="16"/>
    </row>
    <row r="924" spans="5:13" x14ac:dyDescent="0.4">
      <c r="E924" s="16"/>
      <c r="F924" s="16"/>
      <c r="G924" s="16"/>
      <c r="H924" s="16"/>
      <c r="I924" s="16"/>
      <c r="J924" s="16"/>
      <c r="K924" s="16"/>
      <c r="L924" s="16"/>
      <c r="M924" s="16"/>
    </row>
    <row r="925" spans="5:13" x14ac:dyDescent="0.4">
      <c r="E925" s="16"/>
      <c r="F925" s="16"/>
      <c r="G925" s="16"/>
      <c r="H925" s="16"/>
      <c r="I925" s="16"/>
      <c r="J925" s="16"/>
      <c r="K925" s="16"/>
      <c r="L925" s="16"/>
      <c r="M925" s="16"/>
    </row>
    <row r="926" spans="5:13" x14ac:dyDescent="0.4">
      <c r="E926" s="16"/>
      <c r="F926" s="16"/>
      <c r="G926" s="16"/>
      <c r="H926" s="16"/>
      <c r="I926" s="16"/>
      <c r="J926" s="16"/>
      <c r="K926" s="16"/>
      <c r="L926" s="16"/>
      <c r="M926" s="16"/>
    </row>
    <row r="927" spans="5:13" x14ac:dyDescent="0.4">
      <c r="E927" s="16"/>
      <c r="F927" s="16"/>
      <c r="G927" s="16"/>
      <c r="H927" s="16"/>
      <c r="I927" s="16"/>
      <c r="J927" s="16"/>
      <c r="K927" s="16"/>
      <c r="L927" s="16"/>
      <c r="M927" s="16"/>
    </row>
    <row r="928" spans="5:13" x14ac:dyDescent="0.4">
      <c r="E928" s="16"/>
      <c r="F928" s="16"/>
      <c r="G928" s="16"/>
      <c r="H928" s="16"/>
      <c r="I928" s="16"/>
      <c r="J928" s="16"/>
      <c r="K928" s="16"/>
      <c r="L928" s="16"/>
      <c r="M928" s="16"/>
    </row>
    <row r="929" spans="5:13" x14ac:dyDescent="0.4">
      <c r="E929" s="16"/>
      <c r="F929" s="16"/>
      <c r="G929" s="16"/>
      <c r="H929" s="16"/>
      <c r="I929" s="16"/>
      <c r="J929" s="16"/>
      <c r="K929" s="16"/>
      <c r="L929" s="16"/>
      <c r="M929" s="16"/>
    </row>
    <row r="930" spans="5:13" x14ac:dyDescent="0.4">
      <c r="E930" s="16"/>
      <c r="F930" s="16"/>
      <c r="G930" s="16"/>
      <c r="H930" s="16"/>
      <c r="I930" s="16"/>
      <c r="J930" s="16"/>
      <c r="K930" s="16"/>
      <c r="L930" s="16"/>
      <c r="M930" s="16"/>
    </row>
    <row r="931" spans="5:13" x14ac:dyDescent="0.4">
      <c r="E931" s="16"/>
      <c r="F931" s="16"/>
      <c r="G931" s="16"/>
      <c r="H931" s="16"/>
      <c r="I931" s="16"/>
      <c r="J931" s="16"/>
      <c r="K931" s="16"/>
      <c r="L931" s="16"/>
      <c r="M931" s="16"/>
    </row>
    <row r="932" spans="5:13" x14ac:dyDescent="0.4">
      <c r="E932" s="16"/>
      <c r="F932" s="16"/>
      <c r="G932" s="16"/>
      <c r="H932" s="16"/>
      <c r="I932" s="16"/>
      <c r="J932" s="16"/>
      <c r="K932" s="16"/>
      <c r="L932" s="16"/>
      <c r="M932" s="16"/>
    </row>
    <row r="933" spans="5:13" x14ac:dyDescent="0.4">
      <c r="E933" s="16"/>
      <c r="F933" s="16"/>
      <c r="G933" s="16"/>
      <c r="H933" s="16"/>
      <c r="I933" s="16"/>
      <c r="J933" s="16"/>
      <c r="K933" s="16"/>
      <c r="L933" s="16"/>
      <c r="M933" s="16"/>
    </row>
    <row r="934" spans="5:13" x14ac:dyDescent="0.4">
      <c r="E934" s="16"/>
      <c r="F934" s="16"/>
      <c r="G934" s="16"/>
      <c r="H934" s="16"/>
      <c r="I934" s="16"/>
      <c r="J934" s="16"/>
      <c r="K934" s="16"/>
      <c r="L934" s="16"/>
      <c r="M934" s="16"/>
    </row>
    <row r="935" spans="5:13" x14ac:dyDescent="0.4">
      <c r="E935" s="16"/>
      <c r="F935" s="16"/>
      <c r="G935" s="16"/>
      <c r="H935" s="16"/>
      <c r="I935" s="16"/>
      <c r="J935" s="16"/>
      <c r="K935" s="16"/>
      <c r="L935" s="16"/>
      <c r="M935" s="16"/>
    </row>
    <row r="936" spans="5:13" x14ac:dyDescent="0.4">
      <c r="E936" s="16"/>
      <c r="F936" s="16"/>
      <c r="G936" s="16"/>
      <c r="H936" s="16"/>
      <c r="I936" s="16"/>
      <c r="J936" s="16"/>
      <c r="K936" s="16"/>
      <c r="L936" s="16"/>
      <c r="M936" s="16"/>
    </row>
    <row r="937" spans="5:13" x14ac:dyDescent="0.4">
      <c r="E937" s="16"/>
      <c r="F937" s="16"/>
      <c r="G937" s="16"/>
      <c r="H937" s="16"/>
      <c r="I937" s="16"/>
      <c r="J937" s="16"/>
      <c r="K937" s="16"/>
      <c r="L937" s="16"/>
      <c r="M937" s="16"/>
    </row>
    <row r="938" spans="5:13" x14ac:dyDescent="0.4">
      <c r="E938" s="16"/>
      <c r="F938" s="16"/>
      <c r="G938" s="16"/>
      <c r="H938" s="16"/>
      <c r="I938" s="16"/>
      <c r="J938" s="16"/>
      <c r="K938" s="16"/>
      <c r="L938" s="16"/>
      <c r="M938" s="16"/>
    </row>
    <row r="939" spans="5:13" x14ac:dyDescent="0.4">
      <c r="E939" s="16"/>
      <c r="F939" s="16"/>
      <c r="G939" s="16"/>
      <c r="H939" s="16"/>
      <c r="I939" s="16"/>
      <c r="J939" s="16"/>
      <c r="K939" s="16"/>
      <c r="L939" s="16"/>
      <c r="M939" s="16"/>
    </row>
    <row r="940" spans="5:13" x14ac:dyDescent="0.4">
      <c r="E940" s="16"/>
      <c r="F940" s="16"/>
      <c r="G940" s="16"/>
      <c r="H940" s="16"/>
      <c r="I940" s="16"/>
      <c r="J940" s="16"/>
      <c r="K940" s="16"/>
      <c r="L940" s="16"/>
      <c r="M940" s="16"/>
    </row>
    <row r="941" spans="5:13" x14ac:dyDescent="0.4">
      <c r="E941" s="16"/>
      <c r="F941" s="16"/>
      <c r="G941" s="16"/>
      <c r="H941" s="16"/>
      <c r="I941" s="16"/>
      <c r="J941" s="16"/>
      <c r="K941" s="16"/>
      <c r="L941" s="16"/>
      <c r="M941" s="16"/>
    </row>
    <row r="942" spans="5:13" x14ac:dyDescent="0.4">
      <c r="E942" s="16"/>
      <c r="F942" s="16"/>
      <c r="G942" s="16"/>
      <c r="H942" s="16"/>
      <c r="I942" s="16"/>
      <c r="J942" s="16"/>
      <c r="K942" s="16"/>
      <c r="L942" s="16"/>
      <c r="M942" s="16"/>
    </row>
    <row r="943" spans="5:13" x14ac:dyDescent="0.4">
      <c r="E943" s="16"/>
      <c r="F943" s="16"/>
      <c r="G943" s="16"/>
      <c r="H943" s="16"/>
      <c r="I943" s="16"/>
      <c r="J943" s="16"/>
      <c r="K943" s="16"/>
      <c r="L943" s="16"/>
      <c r="M943" s="16"/>
    </row>
    <row r="944" spans="5:13" x14ac:dyDescent="0.4">
      <c r="E944" s="16"/>
      <c r="F944" s="16"/>
      <c r="G944" s="16"/>
      <c r="H944" s="16"/>
      <c r="I944" s="16"/>
      <c r="J944" s="16"/>
      <c r="K944" s="16"/>
      <c r="L944" s="16"/>
      <c r="M944" s="16"/>
    </row>
    <row r="945" spans="5:13" x14ac:dyDescent="0.4">
      <c r="E945" s="16"/>
      <c r="F945" s="16"/>
      <c r="G945" s="16"/>
      <c r="H945" s="16"/>
      <c r="I945" s="16"/>
      <c r="J945" s="16"/>
      <c r="K945" s="16"/>
      <c r="L945" s="16"/>
      <c r="M945" s="16"/>
    </row>
    <row r="946" spans="5:13" x14ac:dyDescent="0.4">
      <c r="E946" s="16"/>
      <c r="F946" s="16"/>
      <c r="G946" s="16"/>
      <c r="H946" s="16"/>
      <c r="I946" s="16"/>
      <c r="J946" s="16"/>
      <c r="K946" s="16"/>
      <c r="L946" s="16"/>
      <c r="M946" s="16"/>
    </row>
    <row r="947" spans="5:13" x14ac:dyDescent="0.4">
      <c r="E947" s="16"/>
      <c r="F947" s="16"/>
      <c r="G947" s="16"/>
      <c r="H947" s="16"/>
      <c r="I947" s="16"/>
      <c r="J947" s="16"/>
      <c r="K947" s="16"/>
      <c r="L947" s="16"/>
      <c r="M947" s="16"/>
    </row>
    <row r="948" spans="5:13" x14ac:dyDescent="0.4">
      <c r="E948" s="16"/>
      <c r="F948" s="16"/>
      <c r="G948" s="16"/>
      <c r="H948" s="16"/>
      <c r="I948" s="16"/>
      <c r="J948" s="16"/>
      <c r="K948" s="16"/>
      <c r="L948" s="16"/>
      <c r="M948" s="16"/>
    </row>
    <row r="949" spans="5:13" x14ac:dyDescent="0.4">
      <c r="E949" s="16"/>
      <c r="F949" s="16"/>
      <c r="G949" s="16"/>
      <c r="H949" s="16"/>
      <c r="I949" s="16"/>
      <c r="J949" s="16"/>
      <c r="K949" s="16"/>
      <c r="L949" s="16"/>
      <c r="M949" s="16"/>
    </row>
    <row r="950" spans="5:13" x14ac:dyDescent="0.4">
      <c r="E950" s="16"/>
      <c r="F950" s="16"/>
      <c r="G950" s="16"/>
      <c r="H950" s="16"/>
      <c r="I950" s="16"/>
      <c r="J950" s="16"/>
      <c r="K950" s="16"/>
      <c r="L950" s="16"/>
      <c r="M950" s="16"/>
    </row>
    <row r="951" spans="5:13" x14ac:dyDescent="0.4">
      <c r="E951" s="16"/>
      <c r="F951" s="16"/>
      <c r="G951" s="16"/>
      <c r="H951" s="16"/>
      <c r="I951" s="16"/>
      <c r="J951" s="16"/>
      <c r="K951" s="16"/>
      <c r="L951" s="16"/>
      <c r="M951" s="16"/>
    </row>
    <row r="952" spans="5:13" x14ac:dyDescent="0.4">
      <c r="E952" s="16"/>
      <c r="F952" s="16"/>
      <c r="G952" s="16"/>
      <c r="H952" s="16"/>
      <c r="I952" s="16"/>
      <c r="J952" s="16"/>
      <c r="K952" s="16"/>
      <c r="L952" s="16"/>
      <c r="M952" s="16"/>
    </row>
    <row r="953" spans="5:13" x14ac:dyDescent="0.4">
      <c r="E953" s="16"/>
      <c r="F953" s="16"/>
      <c r="G953" s="16"/>
      <c r="H953" s="16"/>
      <c r="I953" s="16"/>
      <c r="J953" s="16"/>
      <c r="K953" s="16"/>
      <c r="L953" s="16"/>
      <c r="M953" s="16"/>
    </row>
    <row r="954" spans="5:13" x14ac:dyDescent="0.4">
      <c r="E954" s="16"/>
      <c r="F954" s="16"/>
      <c r="G954" s="16"/>
      <c r="H954" s="16"/>
      <c r="I954" s="16"/>
      <c r="J954" s="16"/>
      <c r="K954" s="16"/>
      <c r="L954" s="16"/>
      <c r="M954" s="16"/>
    </row>
    <row r="955" spans="5:13" x14ac:dyDescent="0.4">
      <c r="E955" s="16"/>
      <c r="F955" s="16"/>
      <c r="G955" s="16"/>
      <c r="H955" s="16"/>
      <c r="I955" s="16"/>
      <c r="J955" s="16"/>
      <c r="K955" s="16"/>
      <c r="L955" s="16"/>
      <c r="M955" s="16"/>
    </row>
    <row r="956" spans="5:13" x14ac:dyDescent="0.4">
      <c r="E956" s="16"/>
      <c r="F956" s="16"/>
      <c r="G956" s="16"/>
      <c r="H956" s="16"/>
      <c r="I956" s="16"/>
      <c r="J956" s="16"/>
      <c r="K956" s="16"/>
      <c r="L956" s="16"/>
      <c r="M956" s="16"/>
    </row>
    <row r="957" spans="5:13" x14ac:dyDescent="0.4">
      <c r="E957" s="16"/>
      <c r="F957" s="16"/>
      <c r="G957" s="16"/>
      <c r="H957" s="16"/>
      <c r="I957" s="16"/>
      <c r="J957" s="16"/>
      <c r="K957" s="16"/>
      <c r="L957" s="16"/>
      <c r="M957" s="16"/>
    </row>
    <row r="958" spans="5:13" x14ac:dyDescent="0.4">
      <c r="E958" s="16"/>
      <c r="F958" s="16"/>
      <c r="G958" s="16"/>
      <c r="H958" s="16"/>
      <c r="I958" s="16"/>
      <c r="J958" s="16"/>
      <c r="K958" s="16"/>
      <c r="L958" s="16"/>
      <c r="M958" s="16"/>
    </row>
    <row r="959" spans="5:13" x14ac:dyDescent="0.4">
      <c r="E959" s="16"/>
      <c r="F959" s="16"/>
      <c r="G959" s="16"/>
      <c r="H959" s="16"/>
      <c r="I959" s="16"/>
      <c r="J959" s="16"/>
      <c r="K959" s="16"/>
      <c r="L959" s="16"/>
      <c r="M959" s="16"/>
    </row>
    <row r="960" spans="5:13" x14ac:dyDescent="0.4">
      <c r="E960" s="16"/>
      <c r="F960" s="16"/>
      <c r="G960" s="16"/>
      <c r="H960" s="16"/>
      <c r="I960" s="16"/>
      <c r="J960" s="16"/>
      <c r="K960" s="16"/>
      <c r="L960" s="16"/>
      <c r="M960" s="16"/>
    </row>
    <row r="961" spans="5:13" x14ac:dyDescent="0.4">
      <c r="E961" s="16"/>
      <c r="F961" s="16"/>
      <c r="G961" s="16"/>
      <c r="H961" s="16"/>
      <c r="I961" s="16"/>
      <c r="J961" s="16"/>
      <c r="K961" s="16"/>
      <c r="L961" s="16"/>
      <c r="M961" s="16"/>
    </row>
    <row r="962" spans="5:13" x14ac:dyDescent="0.4">
      <c r="E962" s="16"/>
      <c r="F962" s="16"/>
      <c r="G962" s="16"/>
      <c r="H962" s="16"/>
      <c r="I962" s="16"/>
      <c r="J962" s="16"/>
      <c r="K962" s="16"/>
      <c r="L962" s="16"/>
      <c r="M962" s="16"/>
    </row>
    <row r="963" spans="5:13" x14ac:dyDescent="0.4">
      <c r="E963" s="16"/>
      <c r="F963" s="16"/>
      <c r="G963" s="16"/>
      <c r="H963" s="16"/>
      <c r="I963" s="16"/>
      <c r="J963" s="16"/>
      <c r="K963" s="16"/>
      <c r="L963" s="16"/>
      <c r="M963" s="16"/>
    </row>
    <row r="964" spans="5:13" x14ac:dyDescent="0.4">
      <c r="E964" s="16"/>
      <c r="F964" s="16"/>
      <c r="G964" s="16"/>
      <c r="H964" s="16"/>
      <c r="I964" s="16"/>
      <c r="J964" s="16"/>
      <c r="K964" s="16"/>
      <c r="L964" s="16"/>
      <c r="M964" s="16"/>
    </row>
    <row r="965" spans="5:13" x14ac:dyDescent="0.4">
      <c r="E965" s="16"/>
      <c r="F965" s="16"/>
      <c r="G965" s="16"/>
      <c r="H965" s="16"/>
      <c r="I965" s="16"/>
      <c r="J965" s="16"/>
      <c r="K965" s="16"/>
      <c r="L965" s="16"/>
      <c r="M965" s="16"/>
    </row>
    <row r="966" spans="5:13" x14ac:dyDescent="0.4">
      <c r="E966" s="16"/>
      <c r="F966" s="16"/>
      <c r="G966" s="16"/>
      <c r="H966" s="16"/>
      <c r="I966" s="16"/>
      <c r="J966" s="16"/>
      <c r="K966" s="16"/>
      <c r="L966" s="16"/>
      <c r="M966" s="16"/>
    </row>
    <row r="967" spans="5:13" x14ac:dyDescent="0.4">
      <c r="E967" s="16"/>
      <c r="F967" s="16"/>
      <c r="G967" s="16"/>
      <c r="H967" s="16"/>
      <c r="I967" s="16"/>
      <c r="J967" s="16"/>
      <c r="K967" s="16"/>
      <c r="L967" s="16"/>
      <c r="M967" s="16"/>
    </row>
    <row r="968" spans="5:13" x14ac:dyDescent="0.4">
      <c r="E968" s="16"/>
      <c r="F968" s="16"/>
      <c r="G968" s="16"/>
      <c r="H968" s="16"/>
      <c r="I968" s="16"/>
      <c r="J968" s="16"/>
      <c r="K968" s="16"/>
      <c r="L968" s="16"/>
      <c r="M968" s="16"/>
    </row>
    <row r="969" spans="5:13" x14ac:dyDescent="0.4">
      <c r="E969" s="16"/>
      <c r="F969" s="16"/>
      <c r="G969" s="16"/>
      <c r="H969" s="16"/>
      <c r="I969" s="16"/>
      <c r="J969" s="16"/>
      <c r="K969" s="16"/>
      <c r="L969" s="16"/>
      <c r="M969" s="16"/>
    </row>
    <row r="970" spans="5:13" x14ac:dyDescent="0.4">
      <c r="E970" s="16"/>
      <c r="F970" s="16"/>
      <c r="G970" s="16"/>
      <c r="H970" s="16"/>
      <c r="I970" s="16"/>
      <c r="J970" s="16"/>
      <c r="K970" s="16"/>
      <c r="L970" s="16"/>
      <c r="M970" s="16"/>
    </row>
    <row r="971" spans="5:13" x14ac:dyDescent="0.4">
      <c r="E971" s="16"/>
      <c r="F971" s="16"/>
      <c r="G971" s="16"/>
      <c r="H971" s="16"/>
      <c r="I971" s="16"/>
      <c r="J971" s="16"/>
      <c r="K971" s="16"/>
      <c r="L971" s="16"/>
      <c r="M971" s="16"/>
    </row>
    <row r="972" spans="5:13" x14ac:dyDescent="0.4">
      <c r="E972" s="16"/>
      <c r="F972" s="16"/>
      <c r="G972" s="16"/>
      <c r="H972" s="16"/>
      <c r="I972" s="16"/>
      <c r="J972" s="16"/>
      <c r="K972" s="16"/>
      <c r="L972" s="16"/>
      <c r="M972" s="16"/>
    </row>
    <row r="973" spans="5:13" x14ac:dyDescent="0.4">
      <c r="E973" s="16"/>
      <c r="F973" s="16"/>
      <c r="G973" s="16"/>
      <c r="H973" s="16"/>
      <c r="I973" s="16"/>
      <c r="J973" s="16"/>
      <c r="K973" s="16"/>
      <c r="L973" s="16"/>
      <c r="M973" s="16"/>
    </row>
    <row r="974" spans="5:13" x14ac:dyDescent="0.4">
      <c r="E974" s="16"/>
      <c r="F974" s="16"/>
      <c r="G974" s="16"/>
      <c r="H974" s="16"/>
      <c r="I974" s="16"/>
      <c r="J974" s="16"/>
      <c r="K974" s="16"/>
      <c r="L974" s="16"/>
      <c r="M974" s="16"/>
    </row>
    <row r="975" spans="5:13" x14ac:dyDescent="0.4">
      <c r="E975" s="16"/>
      <c r="F975" s="16"/>
      <c r="G975" s="16"/>
      <c r="H975" s="16"/>
      <c r="I975" s="16"/>
      <c r="J975" s="16"/>
      <c r="K975" s="16"/>
      <c r="L975" s="16"/>
      <c r="M975" s="16"/>
    </row>
    <row r="976" spans="5:13" x14ac:dyDescent="0.4">
      <c r="E976" s="16"/>
      <c r="F976" s="16"/>
      <c r="G976" s="16"/>
      <c r="H976" s="16"/>
      <c r="I976" s="16"/>
      <c r="J976" s="16"/>
      <c r="K976" s="16"/>
      <c r="L976" s="16"/>
      <c r="M976" s="16"/>
    </row>
    <row r="977" spans="5:13" x14ac:dyDescent="0.4">
      <c r="E977" s="16"/>
      <c r="F977" s="16"/>
      <c r="G977" s="16"/>
      <c r="H977" s="16"/>
      <c r="I977" s="16"/>
      <c r="J977" s="16"/>
      <c r="K977" s="16"/>
      <c r="L977" s="16"/>
      <c r="M977" s="16"/>
    </row>
    <row r="978" spans="5:13" x14ac:dyDescent="0.4">
      <c r="E978" s="16"/>
      <c r="F978" s="16"/>
      <c r="G978" s="16"/>
      <c r="H978" s="16"/>
      <c r="I978" s="16"/>
      <c r="J978" s="16"/>
      <c r="K978" s="16"/>
      <c r="L978" s="16"/>
      <c r="M978" s="16"/>
    </row>
    <row r="979" spans="5:13" x14ac:dyDescent="0.4">
      <c r="E979" s="16"/>
      <c r="F979" s="16"/>
      <c r="G979" s="16"/>
      <c r="H979" s="16"/>
      <c r="I979" s="16"/>
      <c r="J979" s="16"/>
      <c r="K979" s="16"/>
      <c r="L979" s="16"/>
      <c r="M979" s="16"/>
    </row>
    <row r="980" spans="5:13" x14ac:dyDescent="0.4">
      <c r="E980" s="16"/>
      <c r="F980" s="16"/>
      <c r="G980" s="16"/>
      <c r="H980" s="16"/>
      <c r="I980" s="16"/>
      <c r="J980" s="16"/>
      <c r="K980" s="16"/>
      <c r="L980" s="16"/>
      <c r="M980" s="16"/>
    </row>
    <row r="981" spans="5:13" x14ac:dyDescent="0.4">
      <c r="E981" s="16"/>
      <c r="F981" s="16"/>
      <c r="G981" s="16"/>
      <c r="H981" s="16"/>
      <c r="I981" s="16"/>
      <c r="J981" s="16"/>
      <c r="K981" s="16"/>
      <c r="L981" s="16"/>
      <c r="M981" s="16"/>
    </row>
    <row r="982" spans="5:13" x14ac:dyDescent="0.4">
      <c r="E982" s="16"/>
      <c r="F982" s="16"/>
      <c r="G982" s="16"/>
      <c r="H982" s="16"/>
      <c r="I982" s="16"/>
      <c r="J982" s="16"/>
      <c r="K982" s="16"/>
      <c r="L982" s="16"/>
      <c r="M982" s="16"/>
    </row>
    <row r="983" spans="5:13" x14ac:dyDescent="0.4">
      <c r="E983" s="16"/>
      <c r="F983" s="16"/>
      <c r="G983" s="16"/>
      <c r="H983" s="16"/>
      <c r="I983" s="16"/>
      <c r="J983" s="16"/>
      <c r="K983" s="16"/>
      <c r="L983" s="16"/>
      <c r="M983" s="16"/>
    </row>
    <row r="984" spans="5:13" x14ac:dyDescent="0.4">
      <c r="E984" s="16"/>
      <c r="F984" s="16"/>
      <c r="G984" s="16"/>
      <c r="H984" s="16"/>
      <c r="I984" s="16"/>
      <c r="J984" s="16"/>
      <c r="K984" s="16"/>
      <c r="L984" s="16"/>
      <c r="M984" s="16"/>
    </row>
    <row r="985" spans="5:13" x14ac:dyDescent="0.4">
      <c r="E985" s="16"/>
      <c r="F985" s="16"/>
      <c r="G985" s="16"/>
      <c r="H985" s="16"/>
      <c r="I985" s="16"/>
      <c r="J985" s="16"/>
      <c r="K985" s="16"/>
      <c r="L985" s="16"/>
      <c r="M985" s="16"/>
    </row>
    <row r="986" spans="5:13" x14ac:dyDescent="0.4">
      <c r="E986" s="16"/>
      <c r="F986" s="16"/>
      <c r="G986" s="16"/>
      <c r="H986" s="16"/>
      <c r="I986" s="16"/>
      <c r="J986" s="16"/>
      <c r="K986" s="16"/>
      <c r="L986" s="16"/>
      <c r="M986" s="16"/>
    </row>
    <row r="987" spans="5:13" x14ac:dyDescent="0.4">
      <c r="E987" s="16"/>
      <c r="F987" s="16"/>
      <c r="G987" s="16"/>
      <c r="H987" s="16"/>
      <c r="I987" s="16"/>
      <c r="J987" s="16"/>
      <c r="K987" s="16"/>
      <c r="L987" s="16"/>
      <c r="M987" s="16"/>
    </row>
    <row r="988" spans="5:13" x14ac:dyDescent="0.4">
      <c r="E988" s="16"/>
      <c r="F988" s="16"/>
      <c r="G988" s="16"/>
      <c r="H988" s="16"/>
      <c r="I988" s="16"/>
      <c r="J988" s="16"/>
      <c r="K988" s="16"/>
      <c r="L988" s="16"/>
      <c r="M988" s="16"/>
    </row>
    <row r="989" spans="5:13" x14ac:dyDescent="0.4">
      <c r="E989" s="16"/>
      <c r="F989" s="16"/>
      <c r="G989" s="16"/>
      <c r="H989" s="16"/>
      <c r="I989" s="16"/>
      <c r="J989" s="16"/>
      <c r="K989" s="16"/>
      <c r="L989" s="16"/>
      <c r="M989" s="16"/>
    </row>
    <row r="990" spans="5:13" x14ac:dyDescent="0.4">
      <c r="E990" s="16"/>
      <c r="F990" s="16"/>
      <c r="G990" s="16"/>
      <c r="H990" s="16"/>
      <c r="I990" s="16"/>
      <c r="J990" s="16"/>
      <c r="K990" s="16"/>
      <c r="L990" s="16"/>
      <c r="M990" s="16"/>
    </row>
    <row r="991" spans="5:13" x14ac:dyDescent="0.4">
      <c r="E991" s="16"/>
      <c r="F991" s="16"/>
      <c r="G991" s="16"/>
      <c r="H991" s="16"/>
      <c r="I991" s="16"/>
      <c r="J991" s="16"/>
      <c r="K991" s="16"/>
      <c r="L991" s="16"/>
      <c r="M991" s="16"/>
    </row>
    <row r="992" spans="5:13" x14ac:dyDescent="0.4">
      <c r="E992" s="16"/>
      <c r="F992" s="16"/>
      <c r="G992" s="16"/>
      <c r="H992" s="16"/>
      <c r="I992" s="16"/>
      <c r="J992" s="16"/>
      <c r="K992" s="16"/>
      <c r="L992" s="16"/>
      <c r="M992" s="16"/>
    </row>
    <row r="993" spans="5:13" x14ac:dyDescent="0.4">
      <c r="E993" s="16"/>
      <c r="F993" s="16"/>
      <c r="G993" s="16"/>
      <c r="H993" s="16"/>
      <c r="I993" s="16"/>
      <c r="J993" s="16"/>
      <c r="K993" s="16"/>
      <c r="L993" s="16"/>
      <c r="M993" s="16"/>
    </row>
    <row r="994" spans="5:13" x14ac:dyDescent="0.4">
      <c r="E994" s="16"/>
      <c r="F994" s="16"/>
      <c r="G994" s="16"/>
      <c r="H994" s="16"/>
      <c r="I994" s="16"/>
      <c r="J994" s="16"/>
      <c r="K994" s="16"/>
      <c r="L994" s="16"/>
      <c r="M994" s="16"/>
    </row>
    <row r="995" spans="5:13" x14ac:dyDescent="0.4">
      <c r="E995" s="16"/>
      <c r="F995" s="16"/>
      <c r="G995" s="16"/>
      <c r="H995" s="16"/>
      <c r="I995" s="16"/>
      <c r="J995" s="16"/>
      <c r="K995" s="16"/>
      <c r="L995" s="16"/>
      <c r="M995" s="16"/>
    </row>
    <row r="996" spans="5:13" x14ac:dyDescent="0.4">
      <c r="E996" s="16"/>
      <c r="F996" s="16"/>
      <c r="G996" s="16"/>
      <c r="H996" s="16"/>
      <c r="I996" s="16"/>
      <c r="J996" s="16"/>
      <c r="K996" s="16"/>
      <c r="L996" s="16"/>
      <c r="M996" s="16"/>
    </row>
    <row r="997" spans="5:13" x14ac:dyDescent="0.4">
      <c r="E997" s="16"/>
      <c r="F997" s="16"/>
      <c r="G997" s="16"/>
      <c r="H997" s="16"/>
      <c r="I997" s="16"/>
      <c r="J997" s="16"/>
      <c r="K997" s="16"/>
      <c r="L997" s="16"/>
      <c r="M997" s="16"/>
    </row>
    <row r="998" spans="5:13" x14ac:dyDescent="0.4">
      <c r="E998" s="16"/>
      <c r="F998" s="16"/>
      <c r="G998" s="16"/>
      <c r="H998" s="16"/>
      <c r="I998" s="16"/>
      <c r="J998" s="16"/>
      <c r="K998" s="16"/>
      <c r="L998" s="16"/>
      <c r="M998" s="16"/>
    </row>
    <row r="999" spans="5:13" x14ac:dyDescent="0.4">
      <c r="E999" s="16"/>
      <c r="F999" s="16"/>
      <c r="G999" s="16"/>
      <c r="H999" s="16"/>
      <c r="I999" s="16"/>
      <c r="J999" s="16"/>
      <c r="K999" s="16"/>
      <c r="L999" s="16"/>
      <c r="M999" s="16"/>
    </row>
    <row r="1000" spans="5:13" x14ac:dyDescent="0.4">
      <c r="E1000" s="16"/>
      <c r="F1000" s="16"/>
      <c r="G1000" s="16"/>
      <c r="H1000" s="16"/>
      <c r="I1000" s="16"/>
      <c r="J1000" s="16"/>
      <c r="K1000" s="16"/>
      <c r="L1000" s="16"/>
      <c r="M1000" s="16"/>
    </row>
    <row r="1001" spans="5:13" x14ac:dyDescent="0.4">
      <c r="E1001" s="16"/>
      <c r="F1001" s="16"/>
      <c r="G1001" s="16"/>
      <c r="H1001" s="16"/>
      <c r="I1001" s="16"/>
      <c r="J1001" s="16"/>
      <c r="K1001" s="16"/>
      <c r="L1001" s="16"/>
      <c r="M1001" s="16"/>
    </row>
    <row r="1002" spans="5:13" x14ac:dyDescent="0.4">
      <c r="E1002" s="16"/>
      <c r="F1002" s="16"/>
      <c r="G1002" s="16"/>
      <c r="H1002" s="16"/>
      <c r="I1002" s="16"/>
      <c r="J1002" s="16"/>
      <c r="K1002" s="16"/>
      <c r="L1002" s="16"/>
      <c r="M1002" s="16"/>
    </row>
    <row r="1003" spans="5:13" x14ac:dyDescent="0.4">
      <c r="E1003" s="16"/>
      <c r="F1003" s="16"/>
      <c r="G1003" s="16"/>
      <c r="H1003" s="16"/>
      <c r="I1003" s="16"/>
      <c r="J1003" s="16"/>
      <c r="K1003" s="16"/>
      <c r="L1003" s="16"/>
      <c r="M1003" s="16"/>
    </row>
    <row r="1004" spans="5:13" x14ac:dyDescent="0.4">
      <c r="E1004" s="16"/>
      <c r="F1004" s="16"/>
      <c r="G1004" s="16"/>
      <c r="H1004" s="16"/>
      <c r="I1004" s="16"/>
      <c r="J1004" s="16"/>
      <c r="K1004" s="16"/>
      <c r="L1004" s="16"/>
      <c r="M1004" s="16"/>
    </row>
    <row r="1005" spans="5:13" x14ac:dyDescent="0.4">
      <c r="E1005" s="16"/>
      <c r="F1005" s="16"/>
      <c r="G1005" s="16"/>
      <c r="H1005" s="16"/>
      <c r="I1005" s="16"/>
      <c r="J1005" s="16"/>
      <c r="K1005" s="16"/>
      <c r="L1005" s="16"/>
      <c r="M1005" s="16"/>
    </row>
    <row r="1006" spans="5:13" x14ac:dyDescent="0.4">
      <c r="E1006" s="16"/>
      <c r="F1006" s="16"/>
      <c r="G1006" s="16"/>
      <c r="H1006" s="16"/>
      <c r="I1006" s="16"/>
      <c r="J1006" s="16"/>
      <c r="K1006" s="16"/>
      <c r="L1006" s="16"/>
      <c r="M1006" s="16"/>
    </row>
    <row r="1007" spans="5:13" x14ac:dyDescent="0.4">
      <c r="E1007" s="16"/>
      <c r="F1007" s="16"/>
      <c r="G1007" s="16"/>
      <c r="H1007" s="16"/>
      <c r="I1007" s="16"/>
      <c r="J1007" s="16"/>
      <c r="K1007" s="16"/>
      <c r="L1007" s="16"/>
      <c r="M1007" s="16"/>
    </row>
    <row r="1008" spans="5:13" x14ac:dyDescent="0.4">
      <c r="E1008" s="16"/>
      <c r="F1008" s="16"/>
      <c r="G1008" s="16"/>
      <c r="H1008" s="16"/>
      <c r="I1008" s="16"/>
      <c r="J1008" s="16"/>
      <c r="K1008" s="16"/>
      <c r="L1008" s="16"/>
      <c r="M1008" s="16"/>
    </row>
    <row r="1009" spans="5:13" x14ac:dyDescent="0.4">
      <c r="E1009" s="16"/>
      <c r="F1009" s="16"/>
      <c r="G1009" s="16"/>
      <c r="H1009" s="16"/>
      <c r="I1009" s="16"/>
      <c r="J1009" s="16"/>
      <c r="K1009" s="16"/>
      <c r="L1009" s="16"/>
      <c r="M1009" s="16"/>
    </row>
    <row r="1010" spans="5:13" x14ac:dyDescent="0.4">
      <c r="E1010" s="16"/>
      <c r="F1010" s="16"/>
      <c r="G1010" s="16"/>
      <c r="H1010" s="16"/>
      <c r="I1010" s="16"/>
      <c r="J1010" s="16"/>
      <c r="K1010" s="16"/>
      <c r="L1010" s="16"/>
      <c r="M1010" s="16"/>
    </row>
    <row r="1011" spans="5:13" x14ac:dyDescent="0.4">
      <c r="E1011" s="16"/>
      <c r="F1011" s="16"/>
      <c r="G1011" s="16"/>
      <c r="H1011" s="16"/>
      <c r="I1011" s="16"/>
      <c r="J1011" s="16"/>
      <c r="K1011" s="16"/>
      <c r="L1011" s="16"/>
      <c r="M1011" s="16"/>
    </row>
    <row r="1012" spans="5:13" x14ac:dyDescent="0.4">
      <c r="E1012" s="16"/>
      <c r="F1012" s="16"/>
      <c r="G1012" s="16"/>
      <c r="H1012" s="16"/>
      <c r="I1012" s="16"/>
      <c r="J1012" s="16"/>
      <c r="K1012" s="16"/>
      <c r="L1012" s="16"/>
      <c r="M1012" s="16"/>
    </row>
    <row r="1013" spans="5:13" x14ac:dyDescent="0.4">
      <c r="E1013" s="16"/>
      <c r="F1013" s="16"/>
      <c r="G1013" s="16"/>
      <c r="H1013" s="16"/>
      <c r="I1013" s="16"/>
      <c r="J1013" s="16"/>
      <c r="K1013" s="16"/>
      <c r="L1013" s="16"/>
      <c r="M1013" s="16"/>
    </row>
    <row r="1014" spans="5:13" x14ac:dyDescent="0.4">
      <c r="E1014" s="16"/>
      <c r="F1014" s="16"/>
      <c r="G1014" s="16"/>
      <c r="H1014" s="16"/>
      <c r="I1014" s="16"/>
      <c r="J1014" s="16"/>
      <c r="K1014" s="16"/>
      <c r="L1014" s="16"/>
      <c r="M1014" s="16"/>
    </row>
    <row r="1015" spans="5:13" x14ac:dyDescent="0.4">
      <c r="E1015" s="16"/>
      <c r="F1015" s="16"/>
      <c r="G1015" s="16"/>
      <c r="H1015" s="16"/>
      <c r="I1015" s="16"/>
      <c r="J1015" s="16"/>
      <c r="K1015" s="16"/>
      <c r="L1015" s="16"/>
      <c r="M1015" s="16"/>
    </row>
    <row r="1016" spans="5:13" x14ac:dyDescent="0.4">
      <c r="E1016" s="16"/>
      <c r="F1016" s="16"/>
      <c r="G1016" s="16"/>
      <c r="H1016" s="16"/>
      <c r="I1016" s="16"/>
      <c r="J1016" s="16"/>
      <c r="K1016" s="16"/>
      <c r="L1016" s="16"/>
      <c r="M1016" s="16"/>
    </row>
    <row r="1017" spans="5:13" x14ac:dyDescent="0.4">
      <c r="E1017" s="16"/>
      <c r="F1017" s="16"/>
      <c r="G1017" s="16"/>
      <c r="H1017" s="16"/>
      <c r="I1017" s="16"/>
      <c r="J1017" s="16"/>
      <c r="K1017" s="16"/>
      <c r="L1017" s="16"/>
      <c r="M1017" s="16"/>
    </row>
    <row r="1018" spans="5:13" x14ac:dyDescent="0.4">
      <c r="E1018" s="16"/>
      <c r="F1018" s="16"/>
      <c r="G1018" s="16"/>
      <c r="H1018" s="16"/>
      <c r="I1018" s="16"/>
      <c r="J1018" s="16"/>
      <c r="K1018" s="16"/>
      <c r="L1018" s="16"/>
      <c r="M1018" s="16"/>
    </row>
    <row r="1019" spans="5:13" x14ac:dyDescent="0.4">
      <c r="E1019" s="16"/>
      <c r="F1019" s="16"/>
      <c r="G1019" s="16"/>
      <c r="H1019" s="16"/>
      <c r="I1019" s="16"/>
      <c r="J1019" s="16"/>
      <c r="K1019" s="16"/>
      <c r="L1019" s="16"/>
      <c r="M1019" s="16"/>
    </row>
    <row r="1020" spans="5:13" x14ac:dyDescent="0.4">
      <c r="E1020" s="16"/>
      <c r="F1020" s="16"/>
      <c r="G1020" s="16"/>
      <c r="H1020" s="16"/>
      <c r="I1020" s="16"/>
      <c r="J1020" s="16"/>
      <c r="K1020" s="16"/>
      <c r="L1020" s="16"/>
      <c r="M1020" s="16"/>
    </row>
    <row r="1021" spans="5:13" x14ac:dyDescent="0.4">
      <c r="E1021" s="16"/>
      <c r="F1021" s="16"/>
      <c r="G1021" s="16"/>
      <c r="H1021" s="16"/>
      <c r="I1021" s="16"/>
      <c r="J1021" s="16"/>
      <c r="K1021" s="16"/>
      <c r="L1021" s="16"/>
      <c r="M1021" s="16"/>
    </row>
    <row r="1022" spans="5:13" x14ac:dyDescent="0.4">
      <c r="E1022" s="16"/>
      <c r="F1022" s="16"/>
      <c r="G1022" s="16"/>
      <c r="H1022" s="16"/>
      <c r="I1022" s="16"/>
      <c r="J1022" s="16"/>
      <c r="K1022" s="16"/>
      <c r="L1022" s="16"/>
      <c r="M1022" s="16"/>
    </row>
    <row r="1023" spans="5:13" x14ac:dyDescent="0.4">
      <c r="E1023" s="16"/>
      <c r="F1023" s="16"/>
      <c r="G1023" s="16"/>
      <c r="H1023" s="16"/>
      <c r="I1023" s="16"/>
      <c r="J1023" s="16"/>
      <c r="K1023" s="16"/>
      <c r="L1023" s="16"/>
      <c r="M1023" s="16"/>
    </row>
    <row r="1024" spans="5:13" x14ac:dyDescent="0.4">
      <c r="E1024" s="16"/>
      <c r="F1024" s="16"/>
      <c r="G1024" s="16"/>
      <c r="H1024" s="16"/>
      <c r="I1024" s="16"/>
      <c r="J1024" s="16"/>
      <c r="K1024" s="16"/>
      <c r="L1024" s="16"/>
      <c r="M1024" s="16"/>
    </row>
    <row r="1025" spans="5:13" x14ac:dyDescent="0.4">
      <c r="E1025" s="16"/>
      <c r="F1025" s="16"/>
      <c r="G1025" s="16"/>
      <c r="H1025" s="16"/>
      <c r="I1025" s="16"/>
      <c r="J1025" s="16"/>
      <c r="K1025" s="16"/>
      <c r="L1025" s="16"/>
      <c r="M1025" s="16"/>
    </row>
    <row r="1026" spans="5:13" x14ac:dyDescent="0.4">
      <c r="E1026" s="16"/>
      <c r="F1026" s="16"/>
      <c r="G1026" s="16"/>
      <c r="H1026" s="16"/>
      <c r="I1026" s="16"/>
      <c r="J1026" s="16"/>
      <c r="K1026" s="16"/>
      <c r="L1026" s="16"/>
      <c r="M1026" s="16"/>
    </row>
    <row r="1027" spans="5:13" x14ac:dyDescent="0.4">
      <c r="E1027" s="16"/>
      <c r="F1027" s="16"/>
      <c r="G1027" s="16"/>
      <c r="H1027" s="16"/>
      <c r="I1027" s="16"/>
      <c r="J1027" s="16"/>
      <c r="K1027" s="16"/>
      <c r="L1027" s="16"/>
      <c r="M1027" s="16"/>
    </row>
    <row r="1028" spans="5:13" x14ac:dyDescent="0.4">
      <c r="E1028" s="16"/>
      <c r="F1028" s="16"/>
      <c r="G1028" s="16"/>
      <c r="H1028" s="16"/>
      <c r="I1028" s="16"/>
      <c r="J1028" s="16"/>
      <c r="K1028" s="16"/>
      <c r="L1028" s="16"/>
      <c r="M1028" s="16"/>
    </row>
    <row r="1029" spans="5:13" x14ac:dyDescent="0.4">
      <c r="E1029" s="16"/>
      <c r="F1029" s="16"/>
      <c r="G1029" s="16"/>
      <c r="H1029" s="16"/>
      <c r="I1029" s="16"/>
      <c r="J1029" s="16"/>
      <c r="K1029" s="16"/>
      <c r="L1029" s="16"/>
      <c r="M1029" s="16"/>
    </row>
    <row r="1030" spans="5:13" x14ac:dyDescent="0.4">
      <c r="E1030" s="16"/>
      <c r="F1030" s="16"/>
      <c r="G1030" s="16"/>
      <c r="H1030" s="16"/>
      <c r="I1030" s="16"/>
      <c r="J1030" s="16"/>
      <c r="K1030" s="16"/>
      <c r="L1030" s="16"/>
      <c r="M1030" s="16"/>
    </row>
    <row r="1031" spans="5:13" x14ac:dyDescent="0.4">
      <c r="E1031" s="16"/>
      <c r="F1031" s="16"/>
      <c r="G1031" s="16"/>
      <c r="H1031" s="16"/>
      <c r="I1031" s="16"/>
      <c r="J1031" s="16"/>
      <c r="K1031" s="16"/>
      <c r="L1031" s="16"/>
      <c r="M1031" s="16"/>
    </row>
    <row r="1032" spans="5:13" x14ac:dyDescent="0.4">
      <c r="E1032" s="16"/>
      <c r="F1032" s="16"/>
      <c r="G1032" s="16"/>
      <c r="H1032" s="16"/>
      <c r="I1032" s="16"/>
      <c r="J1032" s="16"/>
      <c r="K1032" s="16"/>
      <c r="L1032" s="16"/>
      <c r="M1032" s="16"/>
    </row>
    <row r="1033" spans="5:13" x14ac:dyDescent="0.4">
      <c r="E1033" s="16"/>
      <c r="F1033" s="16"/>
      <c r="G1033" s="16"/>
      <c r="H1033" s="16"/>
      <c r="I1033" s="16"/>
      <c r="J1033" s="16"/>
      <c r="K1033" s="16"/>
      <c r="L1033" s="16"/>
      <c r="M1033" s="16"/>
    </row>
    <row r="1034" spans="5:13" x14ac:dyDescent="0.4">
      <c r="E1034" s="16"/>
      <c r="F1034" s="16"/>
      <c r="G1034" s="16"/>
      <c r="H1034" s="16"/>
      <c r="I1034" s="16"/>
      <c r="J1034" s="16"/>
      <c r="K1034" s="16"/>
      <c r="L1034" s="16"/>
      <c r="M1034" s="16"/>
    </row>
    <row r="1035" spans="5:13" x14ac:dyDescent="0.4">
      <c r="E1035" s="16"/>
      <c r="F1035" s="16"/>
      <c r="G1035" s="16"/>
      <c r="H1035" s="16"/>
      <c r="I1035" s="16"/>
      <c r="J1035" s="16"/>
      <c r="K1035" s="16"/>
      <c r="L1035" s="16"/>
      <c r="M1035" s="16"/>
    </row>
    <row r="1036" spans="5:13" x14ac:dyDescent="0.4">
      <c r="E1036" s="16"/>
      <c r="F1036" s="16"/>
      <c r="G1036" s="16"/>
      <c r="H1036" s="16"/>
      <c r="I1036" s="16"/>
      <c r="J1036" s="16"/>
      <c r="K1036" s="16"/>
      <c r="L1036" s="16"/>
      <c r="M1036" s="16"/>
    </row>
    <row r="1037" spans="5:13" x14ac:dyDescent="0.4">
      <c r="E1037" s="16"/>
      <c r="F1037" s="16"/>
      <c r="G1037" s="16"/>
      <c r="H1037" s="16"/>
      <c r="I1037" s="16"/>
      <c r="J1037" s="16"/>
      <c r="K1037" s="16"/>
      <c r="L1037" s="16"/>
      <c r="M1037" s="16"/>
    </row>
    <row r="1038" spans="5:13" x14ac:dyDescent="0.4">
      <c r="E1038" s="16"/>
      <c r="F1038" s="16"/>
      <c r="G1038" s="16"/>
      <c r="H1038" s="16"/>
      <c r="I1038" s="16"/>
      <c r="J1038" s="16"/>
      <c r="K1038" s="16"/>
      <c r="L1038" s="16"/>
      <c r="M1038" s="16"/>
    </row>
    <row r="1039" spans="5:13" x14ac:dyDescent="0.4">
      <c r="E1039" s="16"/>
      <c r="F1039" s="16"/>
      <c r="G1039" s="16"/>
      <c r="H1039" s="16"/>
      <c r="I1039" s="16"/>
      <c r="J1039" s="16"/>
      <c r="K1039" s="16"/>
      <c r="L1039" s="16"/>
      <c r="M1039" s="16"/>
    </row>
    <row r="1040" spans="5:13" x14ac:dyDescent="0.4">
      <c r="E1040" s="16"/>
      <c r="F1040" s="16"/>
      <c r="G1040" s="16"/>
      <c r="H1040" s="16"/>
      <c r="I1040" s="16"/>
      <c r="J1040" s="16"/>
      <c r="K1040" s="16"/>
      <c r="L1040" s="16"/>
      <c r="M1040" s="16"/>
    </row>
    <row r="1041" spans="5:13" x14ac:dyDescent="0.4">
      <c r="E1041" s="16"/>
      <c r="F1041" s="16"/>
      <c r="G1041" s="16"/>
      <c r="H1041" s="16"/>
      <c r="I1041" s="16"/>
      <c r="J1041" s="16"/>
      <c r="K1041" s="16"/>
      <c r="L1041" s="16"/>
      <c r="M1041" s="16"/>
    </row>
    <row r="1042" spans="5:13" x14ac:dyDescent="0.4">
      <c r="E1042" s="16"/>
      <c r="F1042" s="16"/>
      <c r="G1042" s="16"/>
      <c r="H1042" s="16"/>
      <c r="I1042" s="16"/>
      <c r="J1042" s="16"/>
      <c r="K1042" s="16"/>
      <c r="L1042" s="16"/>
      <c r="M1042" s="16"/>
    </row>
    <row r="1043" spans="5:13" x14ac:dyDescent="0.4">
      <c r="E1043" s="16"/>
      <c r="F1043" s="16"/>
      <c r="G1043" s="16"/>
      <c r="H1043" s="16"/>
      <c r="I1043" s="16"/>
      <c r="J1043" s="16"/>
      <c r="K1043" s="16"/>
      <c r="L1043" s="16"/>
      <c r="M1043" s="16"/>
    </row>
    <row r="1044" spans="5:13" x14ac:dyDescent="0.4">
      <c r="E1044" s="16"/>
      <c r="F1044" s="16"/>
      <c r="G1044" s="16"/>
      <c r="H1044" s="16"/>
      <c r="I1044" s="16"/>
      <c r="J1044" s="16"/>
      <c r="K1044" s="16"/>
      <c r="L1044" s="16"/>
      <c r="M1044" s="16"/>
    </row>
    <row r="1045" spans="5:13" x14ac:dyDescent="0.4">
      <c r="E1045" s="16"/>
      <c r="F1045" s="16"/>
      <c r="G1045" s="16"/>
      <c r="H1045" s="16"/>
      <c r="I1045" s="16"/>
      <c r="J1045" s="16"/>
      <c r="K1045" s="16"/>
      <c r="L1045" s="16"/>
      <c r="M1045" s="16"/>
    </row>
    <row r="1046" spans="5:13" x14ac:dyDescent="0.4">
      <c r="E1046" s="16"/>
      <c r="F1046" s="16"/>
      <c r="G1046" s="16"/>
      <c r="H1046" s="16"/>
      <c r="I1046" s="16"/>
      <c r="J1046" s="16"/>
      <c r="K1046" s="16"/>
      <c r="L1046" s="16"/>
      <c r="M1046" s="16"/>
    </row>
    <row r="1047" spans="5:13" x14ac:dyDescent="0.4">
      <c r="E1047" s="16"/>
      <c r="F1047" s="16"/>
      <c r="G1047" s="16"/>
      <c r="H1047" s="16"/>
      <c r="I1047" s="16"/>
      <c r="J1047" s="16"/>
      <c r="K1047" s="16"/>
      <c r="L1047" s="16"/>
      <c r="M1047" s="16"/>
    </row>
    <row r="1048" spans="5:13" x14ac:dyDescent="0.4">
      <c r="E1048" s="16"/>
      <c r="F1048" s="16"/>
      <c r="G1048" s="16"/>
      <c r="H1048" s="16"/>
      <c r="I1048" s="16"/>
      <c r="J1048" s="16"/>
      <c r="K1048" s="16"/>
      <c r="L1048" s="16"/>
      <c r="M1048" s="16"/>
    </row>
    <row r="1049" spans="5:13" x14ac:dyDescent="0.4">
      <c r="E1049" s="16"/>
      <c r="F1049" s="16"/>
      <c r="G1049" s="16"/>
      <c r="H1049" s="16"/>
      <c r="I1049" s="16"/>
      <c r="J1049" s="16"/>
      <c r="K1049" s="16"/>
      <c r="L1049" s="16"/>
      <c r="M1049" s="16"/>
    </row>
    <row r="1050" spans="5:13" x14ac:dyDescent="0.4">
      <c r="E1050" s="16"/>
      <c r="F1050" s="16"/>
      <c r="G1050" s="16"/>
      <c r="H1050" s="16"/>
      <c r="I1050" s="16"/>
      <c r="J1050" s="16"/>
      <c r="K1050" s="16"/>
      <c r="L1050" s="16"/>
      <c r="M1050" s="16"/>
    </row>
    <row r="1051" spans="5:13" x14ac:dyDescent="0.4">
      <c r="E1051" s="16"/>
      <c r="F1051" s="16"/>
      <c r="G1051" s="16"/>
      <c r="H1051" s="16"/>
      <c r="I1051" s="16"/>
      <c r="J1051" s="16"/>
      <c r="K1051" s="16"/>
      <c r="L1051" s="16"/>
      <c r="M1051" s="16"/>
    </row>
    <row r="1052" spans="5:13" x14ac:dyDescent="0.4">
      <c r="E1052" s="16"/>
      <c r="F1052" s="16"/>
      <c r="G1052" s="16"/>
      <c r="H1052" s="16"/>
      <c r="I1052" s="16"/>
      <c r="J1052" s="16"/>
      <c r="K1052" s="16"/>
      <c r="L1052" s="16"/>
      <c r="M1052" s="16"/>
    </row>
    <row r="1053" spans="5:13" x14ac:dyDescent="0.4">
      <c r="E1053" s="16"/>
      <c r="F1053" s="16"/>
      <c r="G1053" s="16"/>
      <c r="H1053" s="16"/>
      <c r="I1053" s="16"/>
      <c r="J1053" s="16"/>
      <c r="K1053" s="16"/>
      <c r="L1053" s="16"/>
      <c r="M1053" s="16"/>
    </row>
    <row r="1054" spans="5:13" x14ac:dyDescent="0.4">
      <c r="E1054" s="16"/>
      <c r="F1054" s="16"/>
      <c r="G1054" s="16"/>
      <c r="H1054" s="16"/>
      <c r="I1054" s="16"/>
      <c r="J1054" s="16"/>
      <c r="K1054" s="16"/>
      <c r="L1054" s="16"/>
      <c r="M1054" s="16"/>
    </row>
    <row r="1055" spans="5:13" x14ac:dyDescent="0.4">
      <c r="E1055" s="16"/>
      <c r="F1055" s="16"/>
      <c r="G1055" s="16"/>
      <c r="H1055" s="16"/>
      <c r="I1055" s="16"/>
      <c r="J1055" s="16"/>
      <c r="K1055" s="16"/>
      <c r="L1055" s="16"/>
      <c r="M1055" s="16"/>
    </row>
    <row r="1056" spans="5:13" x14ac:dyDescent="0.4">
      <c r="E1056" s="16"/>
      <c r="F1056" s="16"/>
      <c r="G1056" s="16"/>
      <c r="H1056" s="16"/>
      <c r="I1056" s="16"/>
      <c r="J1056" s="16"/>
      <c r="K1056" s="16"/>
      <c r="L1056" s="16"/>
      <c r="M1056" s="16"/>
    </row>
    <row r="1057" spans="5:13" x14ac:dyDescent="0.4">
      <c r="E1057" s="16"/>
      <c r="F1057" s="16"/>
      <c r="G1057" s="16"/>
      <c r="H1057" s="16"/>
      <c r="I1057" s="16"/>
      <c r="J1057" s="16"/>
      <c r="K1057" s="16"/>
      <c r="L1057" s="16"/>
      <c r="M1057" s="16"/>
    </row>
    <row r="1058" spans="5:13" x14ac:dyDescent="0.4">
      <c r="E1058" s="16"/>
      <c r="F1058" s="16"/>
      <c r="G1058" s="16"/>
      <c r="H1058" s="16"/>
      <c r="I1058" s="16"/>
      <c r="J1058" s="16"/>
      <c r="K1058" s="16"/>
      <c r="L1058" s="16"/>
      <c r="M1058" s="16"/>
    </row>
    <row r="1059" spans="5:13" x14ac:dyDescent="0.4">
      <c r="E1059" s="16"/>
      <c r="F1059" s="16"/>
      <c r="G1059" s="16"/>
      <c r="H1059" s="16"/>
      <c r="I1059" s="16"/>
      <c r="J1059" s="16"/>
      <c r="K1059" s="16"/>
      <c r="L1059" s="16"/>
      <c r="M1059" s="16"/>
    </row>
    <row r="1060" spans="5:13" x14ac:dyDescent="0.4">
      <c r="E1060" s="16"/>
      <c r="F1060" s="16"/>
      <c r="G1060" s="16"/>
      <c r="H1060" s="16"/>
      <c r="I1060" s="16"/>
      <c r="J1060" s="16"/>
      <c r="K1060" s="16"/>
      <c r="L1060" s="16"/>
      <c r="M1060" s="16"/>
    </row>
    <row r="1061" spans="5:13" x14ac:dyDescent="0.4">
      <c r="E1061" s="16"/>
      <c r="F1061" s="16"/>
      <c r="G1061" s="16"/>
      <c r="H1061" s="16"/>
      <c r="I1061" s="16"/>
      <c r="J1061" s="16"/>
      <c r="K1061" s="16"/>
      <c r="L1061" s="16"/>
      <c r="M1061" s="16"/>
    </row>
    <row r="1062" spans="5:13" x14ac:dyDescent="0.4">
      <c r="E1062" s="16"/>
      <c r="F1062" s="16"/>
      <c r="G1062" s="16"/>
      <c r="H1062" s="16"/>
      <c r="I1062" s="16"/>
      <c r="J1062" s="16"/>
      <c r="K1062" s="16"/>
      <c r="L1062" s="16"/>
      <c r="M1062" s="16"/>
    </row>
    <row r="1063" spans="5:13" x14ac:dyDescent="0.4">
      <c r="E1063" s="16"/>
      <c r="F1063" s="16"/>
      <c r="G1063" s="16"/>
      <c r="H1063" s="16"/>
      <c r="I1063" s="16"/>
      <c r="J1063" s="16"/>
      <c r="K1063" s="16"/>
      <c r="L1063" s="16"/>
      <c r="M1063" s="16"/>
    </row>
    <row r="1064" spans="5:13" x14ac:dyDescent="0.4">
      <c r="E1064" s="16"/>
      <c r="F1064" s="16"/>
      <c r="G1064" s="16"/>
      <c r="H1064" s="16"/>
      <c r="I1064" s="16"/>
      <c r="J1064" s="16"/>
      <c r="K1064" s="16"/>
      <c r="L1064" s="16"/>
      <c r="M1064" s="16"/>
    </row>
    <row r="1065" spans="5:13" x14ac:dyDescent="0.4">
      <c r="E1065" s="16"/>
      <c r="F1065" s="16"/>
      <c r="G1065" s="16"/>
      <c r="H1065" s="16"/>
      <c r="I1065" s="16"/>
      <c r="J1065" s="16"/>
      <c r="K1065" s="16"/>
      <c r="L1065" s="16"/>
      <c r="M1065" s="16"/>
    </row>
    <row r="1066" spans="5:13" x14ac:dyDescent="0.4">
      <c r="E1066" s="16"/>
      <c r="F1066" s="16"/>
      <c r="G1066" s="16"/>
      <c r="H1066" s="16"/>
      <c r="I1066" s="16"/>
      <c r="J1066" s="16"/>
      <c r="K1066" s="16"/>
      <c r="L1066" s="16"/>
      <c r="M1066" s="16"/>
    </row>
    <row r="1067" spans="5:13" x14ac:dyDescent="0.4">
      <c r="E1067" s="16"/>
      <c r="F1067" s="16"/>
      <c r="G1067" s="16"/>
      <c r="H1067" s="16"/>
      <c r="I1067" s="16"/>
      <c r="J1067" s="16"/>
      <c r="K1067" s="16"/>
      <c r="L1067" s="16"/>
      <c r="M1067" s="16"/>
    </row>
    <row r="1068" spans="5:13" x14ac:dyDescent="0.4">
      <c r="E1068" s="16"/>
      <c r="F1068" s="16"/>
      <c r="G1068" s="16"/>
      <c r="H1068" s="16"/>
      <c r="I1068" s="16"/>
      <c r="J1068" s="16"/>
      <c r="K1068" s="16"/>
      <c r="L1068" s="16"/>
      <c r="M1068" s="16"/>
    </row>
    <row r="1069" spans="5:13" x14ac:dyDescent="0.4">
      <c r="E1069" s="16"/>
      <c r="F1069" s="16"/>
      <c r="G1069" s="16"/>
      <c r="H1069" s="16"/>
      <c r="I1069" s="16"/>
      <c r="J1069" s="16"/>
      <c r="K1069" s="16"/>
      <c r="L1069" s="16"/>
      <c r="M1069" s="16"/>
    </row>
    <row r="1070" spans="5:13" x14ac:dyDescent="0.4">
      <c r="E1070" s="16"/>
      <c r="F1070" s="16"/>
      <c r="G1070" s="16"/>
      <c r="H1070" s="16"/>
      <c r="I1070" s="16"/>
      <c r="J1070" s="16"/>
      <c r="K1070" s="16"/>
      <c r="L1070" s="16"/>
      <c r="M1070" s="16"/>
    </row>
    <row r="1071" spans="5:13" x14ac:dyDescent="0.4">
      <c r="E1071" s="16"/>
      <c r="F1071" s="16"/>
      <c r="G1071" s="16"/>
      <c r="H1071" s="16"/>
      <c r="I1071" s="16"/>
      <c r="J1071" s="16"/>
      <c r="K1071" s="16"/>
      <c r="L1071" s="16"/>
      <c r="M1071" s="16"/>
    </row>
    <row r="1072" spans="5:13" x14ac:dyDescent="0.4">
      <c r="E1072" s="16"/>
      <c r="F1072" s="16"/>
      <c r="G1072" s="16"/>
      <c r="H1072" s="16"/>
      <c r="I1072" s="16"/>
      <c r="J1072" s="16"/>
      <c r="K1072" s="16"/>
      <c r="L1072" s="16"/>
      <c r="M1072" s="16"/>
    </row>
    <row r="1073" spans="5:13" x14ac:dyDescent="0.4">
      <c r="E1073" s="16"/>
      <c r="F1073" s="16"/>
      <c r="G1073" s="16"/>
      <c r="H1073" s="16"/>
      <c r="I1073" s="16"/>
      <c r="J1073" s="16"/>
      <c r="K1073" s="16"/>
      <c r="L1073" s="16"/>
      <c r="M1073" s="16"/>
    </row>
    <row r="1074" spans="5:13" x14ac:dyDescent="0.4">
      <c r="E1074" s="16"/>
      <c r="F1074" s="16"/>
      <c r="G1074" s="16"/>
      <c r="H1074" s="16"/>
      <c r="I1074" s="16"/>
      <c r="J1074" s="16"/>
      <c r="K1074" s="16"/>
      <c r="L1074" s="16"/>
      <c r="M1074" s="16"/>
    </row>
    <row r="1075" spans="5:13" x14ac:dyDescent="0.4">
      <c r="E1075" s="16"/>
      <c r="F1075" s="16"/>
      <c r="G1075" s="16"/>
      <c r="H1075" s="16"/>
      <c r="I1075" s="16"/>
      <c r="J1075" s="16"/>
      <c r="K1075" s="16"/>
      <c r="L1075" s="16"/>
      <c r="M1075" s="16"/>
    </row>
    <row r="1076" spans="5:13" x14ac:dyDescent="0.4">
      <c r="E1076" s="16"/>
      <c r="F1076" s="16"/>
      <c r="G1076" s="16"/>
      <c r="H1076" s="16"/>
      <c r="I1076" s="16"/>
      <c r="J1076" s="16"/>
      <c r="K1076" s="16"/>
      <c r="L1076" s="16"/>
      <c r="M1076" s="16"/>
    </row>
    <row r="1077" spans="5:13" x14ac:dyDescent="0.4">
      <c r="E1077" s="16"/>
      <c r="F1077" s="16"/>
      <c r="G1077" s="16"/>
      <c r="H1077" s="16"/>
      <c r="I1077" s="16"/>
      <c r="J1077" s="16"/>
      <c r="K1077" s="16"/>
      <c r="L1077" s="16"/>
      <c r="M1077" s="16"/>
    </row>
    <row r="1078" spans="5:13" x14ac:dyDescent="0.4">
      <c r="E1078" s="16"/>
      <c r="F1078" s="16"/>
      <c r="G1078" s="16"/>
      <c r="H1078" s="16"/>
      <c r="I1078" s="16"/>
      <c r="J1078" s="16"/>
      <c r="K1078" s="16"/>
      <c r="L1078" s="16"/>
      <c r="M1078" s="16"/>
    </row>
    <row r="1079" spans="5:13" x14ac:dyDescent="0.4">
      <c r="E1079" s="16"/>
      <c r="F1079" s="16"/>
      <c r="G1079" s="16"/>
      <c r="H1079" s="16"/>
      <c r="I1079" s="16"/>
      <c r="J1079" s="16"/>
      <c r="K1079" s="16"/>
      <c r="L1079" s="16"/>
      <c r="M1079" s="16"/>
    </row>
    <row r="1080" spans="5:13" x14ac:dyDescent="0.4">
      <c r="E1080" s="16"/>
      <c r="F1080" s="16"/>
      <c r="G1080" s="16"/>
      <c r="H1080" s="16"/>
      <c r="I1080" s="16"/>
      <c r="J1080" s="16"/>
      <c r="K1080" s="16"/>
      <c r="L1080" s="16"/>
      <c r="M1080" s="16"/>
    </row>
    <row r="1081" spans="5:13" x14ac:dyDescent="0.4">
      <c r="E1081" s="16"/>
      <c r="F1081" s="16"/>
      <c r="G1081" s="16"/>
      <c r="H1081" s="16"/>
      <c r="I1081" s="16"/>
      <c r="J1081" s="16"/>
      <c r="K1081" s="16"/>
      <c r="L1081" s="16"/>
      <c r="M1081" s="16"/>
    </row>
    <row r="1082" spans="5:13" x14ac:dyDescent="0.4">
      <c r="E1082" s="16"/>
      <c r="F1082" s="16"/>
      <c r="G1082" s="16"/>
      <c r="H1082" s="16"/>
      <c r="I1082" s="16"/>
      <c r="J1082" s="16"/>
      <c r="K1082" s="16"/>
      <c r="L1082" s="16"/>
      <c r="M1082" s="16"/>
    </row>
    <row r="1083" spans="5:13" x14ac:dyDescent="0.4">
      <c r="E1083" s="16"/>
      <c r="F1083" s="16"/>
      <c r="G1083" s="16"/>
      <c r="H1083" s="16"/>
      <c r="I1083" s="16"/>
      <c r="J1083" s="16"/>
      <c r="K1083" s="16"/>
      <c r="L1083" s="16"/>
      <c r="M1083" s="16"/>
    </row>
    <row r="1084" spans="5:13" x14ac:dyDescent="0.4">
      <c r="E1084" s="16"/>
      <c r="F1084" s="16"/>
      <c r="G1084" s="16"/>
      <c r="H1084" s="16"/>
      <c r="I1084" s="16"/>
      <c r="J1084" s="16"/>
      <c r="K1084" s="16"/>
      <c r="L1084" s="16"/>
      <c r="M1084" s="16"/>
    </row>
    <row r="1085" spans="5:13" x14ac:dyDescent="0.4">
      <c r="E1085" s="16"/>
      <c r="F1085" s="16"/>
      <c r="G1085" s="16"/>
      <c r="H1085" s="16"/>
      <c r="I1085" s="16"/>
      <c r="J1085" s="16"/>
      <c r="K1085" s="16"/>
      <c r="L1085" s="16"/>
      <c r="M1085" s="16"/>
    </row>
    <row r="1086" spans="5:13" x14ac:dyDescent="0.4">
      <c r="E1086" s="16"/>
      <c r="F1086" s="16"/>
      <c r="G1086" s="16"/>
      <c r="H1086" s="16"/>
      <c r="I1086" s="16"/>
      <c r="J1086" s="16"/>
      <c r="K1086" s="16"/>
      <c r="L1086" s="16"/>
      <c r="M1086" s="16"/>
    </row>
    <row r="1087" spans="5:13" x14ac:dyDescent="0.4">
      <c r="E1087" s="16"/>
      <c r="F1087" s="16"/>
      <c r="G1087" s="16"/>
      <c r="H1087" s="16"/>
      <c r="I1087" s="16"/>
      <c r="J1087" s="16"/>
      <c r="K1087" s="16"/>
      <c r="L1087" s="16"/>
      <c r="M1087" s="16"/>
    </row>
    <row r="1088" spans="5:13" x14ac:dyDescent="0.4">
      <c r="E1088" s="16"/>
      <c r="F1088" s="16"/>
      <c r="G1088" s="16"/>
      <c r="H1088" s="16"/>
      <c r="I1088" s="16"/>
      <c r="J1088" s="16"/>
      <c r="K1088" s="16"/>
      <c r="L1088" s="16"/>
      <c r="M1088" s="16"/>
    </row>
    <row r="1089" spans="5:13" x14ac:dyDescent="0.4">
      <c r="E1089" s="16"/>
      <c r="F1089" s="16"/>
      <c r="G1089" s="16"/>
      <c r="H1089" s="16"/>
      <c r="I1089" s="16"/>
      <c r="J1089" s="16"/>
      <c r="K1089" s="16"/>
      <c r="L1089" s="16"/>
      <c r="M1089" s="16"/>
    </row>
    <row r="1090" spans="5:13" x14ac:dyDescent="0.4">
      <c r="E1090" s="16"/>
      <c r="F1090" s="16"/>
      <c r="G1090" s="16"/>
      <c r="H1090" s="16"/>
      <c r="I1090" s="16"/>
      <c r="J1090" s="16"/>
      <c r="K1090" s="16"/>
      <c r="L1090" s="16"/>
      <c r="M1090" s="16"/>
    </row>
    <row r="1091" spans="5:13" x14ac:dyDescent="0.4">
      <c r="E1091" s="16"/>
      <c r="F1091" s="16"/>
      <c r="G1091" s="16"/>
      <c r="H1091" s="16"/>
      <c r="I1091" s="16"/>
      <c r="J1091" s="16"/>
      <c r="K1091" s="16"/>
      <c r="L1091" s="16"/>
      <c r="M1091" s="16"/>
    </row>
    <row r="1092" spans="5:13" x14ac:dyDescent="0.4">
      <c r="E1092" s="16"/>
      <c r="F1092" s="16"/>
      <c r="G1092" s="16"/>
      <c r="H1092" s="16"/>
      <c r="I1092" s="16"/>
      <c r="J1092" s="16"/>
      <c r="K1092" s="16"/>
      <c r="L1092" s="16"/>
      <c r="M1092" s="16"/>
    </row>
    <row r="1093" spans="5:13" x14ac:dyDescent="0.4">
      <c r="E1093" s="16"/>
      <c r="F1093" s="16"/>
      <c r="G1093" s="16"/>
      <c r="H1093" s="16"/>
      <c r="I1093" s="16"/>
      <c r="J1093" s="16"/>
      <c r="K1093" s="16"/>
      <c r="L1093" s="16"/>
      <c r="M1093" s="16"/>
    </row>
    <row r="1094" spans="5:13" x14ac:dyDescent="0.4">
      <c r="E1094" s="16"/>
      <c r="F1094" s="16"/>
      <c r="G1094" s="16"/>
      <c r="H1094" s="16"/>
      <c r="I1094" s="16"/>
      <c r="J1094" s="16"/>
      <c r="K1094" s="16"/>
      <c r="L1094" s="16"/>
      <c r="M1094" s="16"/>
    </row>
    <row r="1095" spans="5:13" x14ac:dyDescent="0.4">
      <c r="E1095" s="16"/>
      <c r="F1095" s="16"/>
      <c r="G1095" s="16"/>
      <c r="H1095" s="16"/>
      <c r="I1095" s="16"/>
      <c r="J1095" s="16"/>
      <c r="K1095" s="16"/>
      <c r="L1095" s="16"/>
      <c r="M1095" s="16"/>
    </row>
    <row r="1096" spans="5:13" x14ac:dyDescent="0.4">
      <c r="E1096" s="16"/>
      <c r="F1096" s="16"/>
      <c r="G1096" s="16"/>
      <c r="H1096" s="16"/>
      <c r="I1096" s="16"/>
      <c r="J1096" s="16"/>
      <c r="K1096" s="16"/>
      <c r="L1096" s="16"/>
      <c r="M1096" s="16"/>
    </row>
    <row r="1097" spans="5:13" x14ac:dyDescent="0.4">
      <c r="E1097" s="16"/>
      <c r="F1097" s="16"/>
      <c r="G1097" s="16"/>
      <c r="H1097" s="16"/>
      <c r="I1097" s="16"/>
      <c r="J1097" s="16"/>
      <c r="K1097" s="16"/>
      <c r="L1097" s="16"/>
      <c r="M1097" s="16"/>
    </row>
    <row r="1098" spans="5:13" x14ac:dyDescent="0.4">
      <c r="E1098" s="16"/>
      <c r="F1098" s="16"/>
      <c r="G1098" s="16"/>
      <c r="H1098" s="16"/>
      <c r="I1098" s="16"/>
      <c r="J1098" s="16"/>
      <c r="K1098" s="16"/>
      <c r="L1098" s="16"/>
      <c r="M1098" s="16"/>
    </row>
    <row r="1099" spans="5:13" x14ac:dyDescent="0.4">
      <c r="E1099" s="16"/>
      <c r="F1099" s="16"/>
      <c r="G1099" s="16"/>
      <c r="H1099" s="16"/>
      <c r="I1099" s="16"/>
      <c r="J1099" s="16"/>
      <c r="K1099" s="16"/>
      <c r="L1099" s="16"/>
      <c r="M1099" s="16"/>
    </row>
    <row r="1100" spans="5:13" x14ac:dyDescent="0.4">
      <c r="E1100" s="16"/>
      <c r="F1100" s="16"/>
      <c r="G1100" s="16"/>
      <c r="H1100" s="16"/>
      <c r="I1100" s="16"/>
      <c r="J1100" s="16"/>
      <c r="K1100" s="16"/>
      <c r="L1100" s="16"/>
      <c r="M1100" s="16"/>
    </row>
    <row r="1101" spans="5:13" x14ac:dyDescent="0.4">
      <c r="E1101" s="16"/>
      <c r="F1101" s="16"/>
      <c r="G1101" s="16"/>
      <c r="H1101" s="16"/>
      <c r="I1101" s="16"/>
      <c r="J1101" s="16"/>
      <c r="K1101" s="16"/>
      <c r="L1101" s="16"/>
      <c r="M1101" s="16"/>
    </row>
    <row r="1102" spans="5:13" x14ac:dyDescent="0.4">
      <c r="E1102" s="16"/>
      <c r="F1102" s="16"/>
      <c r="G1102" s="16"/>
      <c r="H1102" s="16"/>
      <c r="I1102" s="16"/>
      <c r="J1102" s="16"/>
      <c r="K1102" s="16"/>
      <c r="L1102" s="16"/>
      <c r="M1102" s="16"/>
    </row>
    <row r="1103" spans="5:13" x14ac:dyDescent="0.4">
      <c r="E1103" s="16"/>
      <c r="F1103" s="16"/>
      <c r="G1103" s="16"/>
      <c r="H1103" s="16"/>
      <c r="I1103" s="16"/>
      <c r="J1103" s="16"/>
      <c r="K1103" s="16"/>
      <c r="L1103" s="16"/>
      <c r="M1103" s="16"/>
    </row>
    <row r="1104" spans="5:13" x14ac:dyDescent="0.4">
      <c r="E1104" s="16"/>
      <c r="F1104" s="16"/>
      <c r="G1104" s="16"/>
      <c r="H1104" s="16"/>
      <c r="I1104" s="16"/>
      <c r="J1104" s="16"/>
      <c r="K1104" s="16"/>
      <c r="L1104" s="16"/>
      <c r="M1104" s="16"/>
    </row>
    <row r="1105" spans="5:13" x14ac:dyDescent="0.4">
      <c r="E1105" s="16"/>
      <c r="F1105" s="16"/>
      <c r="G1105" s="16"/>
      <c r="H1105" s="16"/>
      <c r="I1105" s="16"/>
      <c r="J1105" s="16"/>
      <c r="K1105" s="16"/>
      <c r="L1105" s="16"/>
      <c r="M1105" s="16"/>
    </row>
    <row r="1106" spans="5:13" x14ac:dyDescent="0.4">
      <c r="E1106" s="16"/>
      <c r="F1106" s="16"/>
      <c r="G1106" s="16"/>
      <c r="H1106" s="16"/>
      <c r="I1106" s="16"/>
      <c r="J1106" s="16"/>
      <c r="K1106" s="16"/>
      <c r="L1106" s="16"/>
      <c r="M1106" s="16"/>
    </row>
    <row r="1107" spans="5:13" x14ac:dyDescent="0.4">
      <c r="E1107" s="16"/>
      <c r="F1107" s="16"/>
      <c r="G1107" s="16"/>
      <c r="H1107" s="16"/>
      <c r="I1107" s="16"/>
      <c r="J1107" s="16"/>
      <c r="K1107" s="16"/>
      <c r="L1107" s="16"/>
      <c r="M1107" s="16"/>
    </row>
    <row r="1108" spans="5:13" x14ac:dyDescent="0.4">
      <c r="E1108" s="16"/>
      <c r="F1108" s="16"/>
      <c r="G1108" s="16"/>
      <c r="H1108" s="16"/>
      <c r="I1108" s="16"/>
      <c r="J1108" s="16"/>
      <c r="K1108" s="16"/>
      <c r="L1108" s="16"/>
      <c r="M1108" s="16"/>
    </row>
    <row r="1109" spans="5:13" x14ac:dyDescent="0.4">
      <c r="E1109" s="16"/>
      <c r="F1109" s="16"/>
      <c r="G1109" s="16"/>
      <c r="H1109" s="16"/>
      <c r="I1109" s="16"/>
      <c r="J1109" s="16"/>
      <c r="K1109" s="16"/>
      <c r="L1109" s="16"/>
      <c r="M1109" s="16"/>
    </row>
    <row r="1110" spans="5:13" x14ac:dyDescent="0.4">
      <c r="E1110" s="16"/>
      <c r="F1110" s="16"/>
      <c r="G1110" s="16"/>
      <c r="H1110" s="16"/>
      <c r="I1110" s="16"/>
      <c r="J1110" s="16"/>
      <c r="K1110" s="16"/>
      <c r="L1110" s="16"/>
      <c r="M1110" s="16"/>
    </row>
    <row r="1111" spans="5:13" x14ac:dyDescent="0.4">
      <c r="E1111" s="16"/>
      <c r="F1111" s="16"/>
      <c r="G1111" s="16"/>
      <c r="H1111" s="16"/>
      <c r="I1111" s="16"/>
      <c r="J1111" s="16"/>
      <c r="K1111" s="16"/>
      <c r="L1111" s="16"/>
      <c r="M1111" s="16"/>
    </row>
    <row r="1112" spans="5:13" x14ac:dyDescent="0.4">
      <c r="E1112" s="16"/>
      <c r="F1112" s="16"/>
      <c r="G1112" s="16"/>
      <c r="H1112" s="16"/>
      <c r="I1112" s="16"/>
      <c r="J1112" s="16"/>
      <c r="K1112" s="16"/>
      <c r="L1112" s="16"/>
      <c r="M1112" s="16"/>
    </row>
    <row r="1113" spans="5:13" x14ac:dyDescent="0.4">
      <c r="E1113" s="16"/>
      <c r="F1113" s="16"/>
      <c r="G1113" s="16"/>
      <c r="H1113" s="16"/>
      <c r="I1113" s="16"/>
      <c r="J1113" s="16"/>
      <c r="K1113" s="16"/>
      <c r="L1113" s="16"/>
      <c r="M1113" s="16"/>
    </row>
    <row r="1114" spans="5:13" x14ac:dyDescent="0.4">
      <c r="E1114" s="16"/>
      <c r="F1114" s="16"/>
      <c r="G1114" s="16"/>
      <c r="H1114" s="16"/>
      <c r="I1114" s="16"/>
      <c r="J1114" s="16"/>
      <c r="K1114" s="16"/>
      <c r="L1114" s="16"/>
      <c r="M1114" s="16"/>
    </row>
    <row r="1115" spans="5:13" x14ac:dyDescent="0.4">
      <c r="E1115" s="16"/>
      <c r="F1115" s="16"/>
      <c r="G1115" s="16"/>
      <c r="H1115" s="16"/>
      <c r="I1115" s="16"/>
      <c r="J1115" s="16"/>
      <c r="K1115" s="16"/>
      <c r="L1115" s="16"/>
      <c r="M1115" s="16"/>
    </row>
    <row r="1116" spans="5:13" x14ac:dyDescent="0.4">
      <c r="E1116" s="16"/>
      <c r="F1116" s="16"/>
      <c r="G1116" s="16"/>
      <c r="H1116" s="16"/>
      <c r="I1116" s="16"/>
      <c r="J1116" s="16"/>
      <c r="K1116" s="16"/>
      <c r="L1116" s="16"/>
      <c r="M1116" s="16"/>
    </row>
    <row r="1117" spans="5:13" x14ac:dyDescent="0.4">
      <c r="E1117" s="16"/>
      <c r="F1117" s="16"/>
      <c r="G1117" s="16"/>
      <c r="H1117" s="16"/>
      <c r="I1117" s="16"/>
      <c r="J1117" s="16"/>
      <c r="K1117" s="16"/>
      <c r="L1117" s="16"/>
      <c r="M1117" s="16"/>
    </row>
    <row r="1118" spans="5:13" x14ac:dyDescent="0.4">
      <c r="E1118" s="16"/>
      <c r="F1118" s="16"/>
      <c r="G1118" s="16"/>
      <c r="H1118" s="16"/>
      <c r="I1118" s="16"/>
      <c r="J1118" s="16"/>
      <c r="K1118" s="16"/>
      <c r="L1118" s="16"/>
      <c r="M1118" s="16"/>
    </row>
    <row r="1119" spans="5:13" x14ac:dyDescent="0.4">
      <c r="E1119" s="16"/>
      <c r="F1119" s="16"/>
      <c r="G1119" s="16"/>
      <c r="H1119" s="16"/>
      <c r="I1119" s="16"/>
      <c r="J1119" s="16"/>
      <c r="K1119" s="16"/>
      <c r="L1119" s="16"/>
      <c r="M1119" s="16"/>
    </row>
    <row r="1120" spans="5:13" x14ac:dyDescent="0.4">
      <c r="E1120" s="16"/>
      <c r="F1120" s="16"/>
      <c r="G1120" s="16"/>
      <c r="H1120" s="16"/>
      <c r="I1120" s="16"/>
      <c r="J1120" s="16"/>
      <c r="K1120" s="16"/>
      <c r="L1120" s="16"/>
      <c r="M1120" s="16"/>
    </row>
    <row r="1121" spans="5:13" x14ac:dyDescent="0.4">
      <c r="E1121" s="16"/>
      <c r="F1121" s="16"/>
      <c r="G1121" s="16"/>
      <c r="H1121" s="16"/>
      <c r="I1121" s="16"/>
      <c r="J1121" s="16"/>
      <c r="K1121" s="16"/>
      <c r="L1121" s="16"/>
      <c r="M1121" s="16"/>
    </row>
    <row r="1122" spans="5:13" x14ac:dyDescent="0.4">
      <c r="E1122" s="16"/>
      <c r="F1122" s="16"/>
      <c r="G1122" s="16"/>
      <c r="H1122" s="16"/>
      <c r="I1122" s="16"/>
      <c r="J1122" s="16"/>
      <c r="K1122" s="16"/>
      <c r="L1122" s="16"/>
      <c r="M1122" s="16"/>
    </row>
    <row r="1123" spans="5:13" x14ac:dyDescent="0.4">
      <c r="E1123" s="16"/>
      <c r="F1123" s="16"/>
      <c r="G1123" s="16"/>
      <c r="H1123" s="16"/>
      <c r="I1123" s="16"/>
      <c r="J1123" s="16"/>
      <c r="K1123" s="16"/>
      <c r="L1123" s="16"/>
      <c r="M1123" s="16"/>
    </row>
    <row r="1124" spans="5:13" x14ac:dyDescent="0.4">
      <c r="E1124" s="16"/>
      <c r="F1124" s="16"/>
      <c r="G1124" s="16"/>
      <c r="H1124" s="16"/>
      <c r="I1124" s="16"/>
      <c r="J1124" s="16"/>
      <c r="K1124" s="16"/>
      <c r="L1124" s="16"/>
      <c r="M1124" s="16"/>
    </row>
    <row r="1125" spans="5:13" x14ac:dyDescent="0.4">
      <c r="E1125" s="16"/>
      <c r="F1125" s="16"/>
      <c r="G1125" s="16"/>
      <c r="H1125" s="16"/>
      <c r="I1125" s="16"/>
      <c r="J1125" s="16"/>
      <c r="K1125" s="16"/>
      <c r="L1125" s="16"/>
      <c r="M1125" s="16"/>
    </row>
    <row r="1126" spans="5:13" x14ac:dyDescent="0.4">
      <c r="E1126" s="16"/>
      <c r="F1126" s="16"/>
      <c r="G1126" s="16"/>
      <c r="H1126" s="16"/>
      <c r="I1126" s="16"/>
      <c r="J1126" s="16"/>
      <c r="K1126" s="16"/>
      <c r="L1126" s="16"/>
      <c r="M1126" s="16"/>
    </row>
    <row r="1127" spans="5:13" x14ac:dyDescent="0.4">
      <c r="E1127" s="16"/>
      <c r="F1127" s="16"/>
      <c r="G1127" s="16"/>
      <c r="H1127" s="16"/>
      <c r="I1127" s="16"/>
      <c r="J1127" s="16"/>
      <c r="K1127" s="16"/>
      <c r="L1127" s="16"/>
      <c r="M1127" s="16"/>
    </row>
    <row r="1128" spans="5:13" x14ac:dyDescent="0.4">
      <c r="E1128" s="16"/>
      <c r="F1128" s="16"/>
      <c r="G1128" s="16"/>
      <c r="H1128" s="16"/>
      <c r="I1128" s="16"/>
      <c r="J1128" s="16"/>
      <c r="K1128" s="16"/>
      <c r="L1128" s="16"/>
      <c r="M1128" s="16"/>
    </row>
    <row r="1129" spans="5:13" x14ac:dyDescent="0.4">
      <c r="E1129" s="16"/>
      <c r="F1129" s="16"/>
      <c r="G1129" s="16"/>
      <c r="H1129" s="16"/>
      <c r="I1129" s="16"/>
      <c r="J1129" s="16"/>
      <c r="K1129" s="16"/>
      <c r="L1129" s="16"/>
      <c r="M1129" s="16"/>
    </row>
    <row r="1130" spans="5:13" x14ac:dyDescent="0.4">
      <c r="E1130" s="16"/>
      <c r="F1130" s="16"/>
      <c r="G1130" s="16"/>
      <c r="H1130" s="16"/>
      <c r="I1130" s="16"/>
      <c r="J1130" s="16"/>
      <c r="K1130" s="16"/>
      <c r="L1130" s="16"/>
      <c r="M1130" s="16"/>
    </row>
    <row r="1131" spans="5:13" x14ac:dyDescent="0.4">
      <c r="E1131" s="16"/>
      <c r="F1131" s="16"/>
      <c r="G1131" s="16"/>
      <c r="H1131" s="16"/>
      <c r="I1131" s="16"/>
      <c r="J1131" s="16"/>
      <c r="K1131" s="16"/>
      <c r="L1131" s="16"/>
      <c r="M1131" s="16"/>
    </row>
    <row r="1132" spans="5:13" x14ac:dyDescent="0.4">
      <c r="E1132" s="16"/>
      <c r="F1132" s="16"/>
      <c r="G1132" s="16"/>
      <c r="H1132" s="16"/>
      <c r="I1132" s="16"/>
      <c r="J1132" s="16"/>
      <c r="K1132" s="16"/>
      <c r="L1132" s="16"/>
      <c r="M1132" s="16"/>
    </row>
    <row r="1133" spans="5:13" x14ac:dyDescent="0.4">
      <c r="E1133" s="16"/>
      <c r="F1133" s="16"/>
      <c r="G1133" s="16"/>
      <c r="H1133" s="16"/>
      <c r="I1133" s="16"/>
      <c r="J1133" s="16"/>
      <c r="K1133" s="16"/>
      <c r="L1133" s="16"/>
      <c r="M1133" s="16"/>
    </row>
    <row r="1134" spans="5:13" x14ac:dyDescent="0.4">
      <c r="E1134" s="16"/>
      <c r="F1134" s="16"/>
      <c r="G1134" s="16"/>
      <c r="H1134" s="16"/>
      <c r="I1134" s="16"/>
      <c r="J1134" s="16"/>
      <c r="K1134" s="16"/>
      <c r="L1134" s="16"/>
      <c r="M1134" s="16"/>
    </row>
    <row r="1135" spans="5:13" x14ac:dyDescent="0.4">
      <c r="E1135" s="16"/>
      <c r="F1135" s="16"/>
      <c r="G1135" s="16"/>
      <c r="H1135" s="16"/>
      <c r="I1135" s="16"/>
      <c r="J1135" s="16"/>
      <c r="K1135" s="16"/>
      <c r="L1135" s="16"/>
      <c r="M1135" s="16"/>
    </row>
    <row r="1136" spans="5:13" x14ac:dyDescent="0.4">
      <c r="E1136" s="16"/>
      <c r="F1136" s="16"/>
      <c r="G1136" s="16"/>
      <c r="H1136" s="16"/>
      <c r="I1136" s="16"/>
      <c r="J1136" s="16"/>
      <c r="K1136" s="16"/>
      <c r="L1136" s="16"/>
      <c r="M1136" s="16"/>
    </row>
    <row r="1137" spans="5:13" x14ac:dyDescent="0.4">
      <c r="E1137" s="16"/>
      <c r="F1137" s="16"/>
      <c r="G1137" s="16"/>
      <c r="H1137" s="16"/>
      <c r="I1137" s="16"/>
      <c r="J1137" s="16"/>
      <c r="K1137" s="16"/>
      <c r="L1137" s="16"/>
      <c r="M1137" s="16"/>
    </row>
    <row r="1138" spans="5:13" x14ac:dyDescent="0.4">
      <c r="E1138" s="16"/>
      <c r="F1138" s="16"/>
      <c r="G1138" s="16"/>
      <c r="H1138" s="16"/>
      <c r="I1138" s="16"/>
      <c r="J1138" s="16"/>
      <c r="K1138" s="16"/>
      <c r="L1138" s="16"/>
      <c r="M1138" s="16"/>
    </row>
    <row r="1139" spans="5:13" x14ac:dyDescent="0.4">
      <c r="E1139" s="16"/>
      <c r="F1139" s="16"/>
      <c r="G1139" s="16"/>
      <c r="H1139" s="16"/>
      <c r="I1139" s="16"/>
      <c r="J1139" s="16"/>
      <c r="K1139" s="16"/>
      <c r="L1139" s="16"/>
      <c r="M1139" s="16"/>
    </row>
    <row r="1140" spans="5:13" x14ac:dyDescent="0.4">
      <c r="E1140" s="16"/>
      <c r="F1140" s="16"/>
      <c r="G1140" s="16"/>
      <c r="H1140" s="16"/>
      <c r="I1140" s="16"/>
      <c r="J1140" s="16"/>
      <c r="K1140" s="16"/>
      <c r="L1140" s="16"/>
      <c r="M1140" s="16"/>
    </row>
    <row r="1141" spans="5:13" x14ac:dyDescent="0.4">
      <c r="E1141" s="16"/>
      <c r="F1141" s="16"/>
      <c r="G1141" s="16"/>
      <c r="H1141" s="16"/>
      <c r="I1141" s="16"/>
      <c r="J1141" s="16"/>
      <c r="K1141" s="16"/>
      <c r="L1141" s="16"/>
      <c r="M1141" s="16"/>
    </row>
    <row r="1142" spans="5:13" x14ac:dyDescent="0.4">
      <c r="E1142" s="16"/>
      <c r="F1142" s="16"/>
      <c r="G1142" s="16"/>
      <c r="H1142" s="16"/>
      <c r="I1142" s="16"/>
      <c r="J1142" s="16"/>
      <c r="K1142" s="16"/>
      <c r="L1142" s="16"/>
      <c r="M1142" s="16"/>
    </row>
    <row r="1143" spans="5:13" x14ac:dyDescent="0.4">
      <c r="E1143" s="16"/>
      <c r="F1143" s="16"/>
      <c r="G1143" s="16"/>
      <c r="H1143" s="16"/>
      <c r="I1143" s="16"/>
      <c r="J1143" s="16"/>
      <c r="K1143" s="16"/>
      <c r="L1143" s="16"/>
      <c r="M1143" s="16"/>
    </row>
    <row r="1144" spans="5:13" x14ac:dyDescent="0.4">
      <c r="E1144" s="16"/>
      <c r="F1144" s="16"/>
      <c r="G1144" s="16"/>
      <c r="H1144" s="16"/>
      <c r="I1144" s="16"/>
      <c r="J1144" s="16"/>
      <c r="K1144" s="16"/>
      <c r="L1144" s="16"/>
      <c r="M1144" s="16"/>
    </row>
    <row r="1145" spans="5:13" x14ac:dyDescent="0.4">
      <c r="E1145" s="16"/>
      <c r="F1145" s="16"/>
      <c r="G1145" s="16"/>
      <c r="H1145" s="16"/>
      <c r="I1145" s="16"/>
      <c r="J1145" s="16"/>
      <c r="K1145" s="16"/>
      <c r="L1145" s="16"/>
      <c r="M1145" s="16"/>
    </row>
    <row r="1146" spans="5:13" x14ac:dyDescent="0.4">
      <c r="E1146" s="16"/>
      <c r="F1146" s="16"/>
      <c r="G1146" s="16"/>
      <c r="H1146" s="16"/>
      <c r="I1146" s="16"/>
      <c r="J1146" s="16"/>
      <c r="K1146" s="16"/>
      <c r="L1146" s="16"/>
      <c r="M1146" s="16"/>
    </row>
    <row r="1147" spans="5:13" x14ac:dyDescent="0.4">
      <c r="E1147" s="16"/>
      <c r="F1147" s="16"/>
      <c r="G1147" s="16"/>
      <c r="H1147" s="16"/>
      <c r="I1147" s="16"/>
      <c r="J1147" s="16"/>
      <c r="K1147" s="16"/>
      <c r="L1147" s="16"/>
      <c r="M1147" s="16"/>
    </row>
    <row r="1148" spans="5:13" x14ac:dyDescent="0.4">
      <c r="E1148" s="16"/>
      <c r="F1148" s="16"/>
      <c r="G1148" s="16"/>
      <c r="H1148" s="16"/>
      <c r="I1148" s="16"/>
      <c r="J1148" s="16"/>
      <c r="K1148" s="16"/>
      <c r="L1148" s="16"/>
      <c r="M1148" s="16"/>
    </row>
    <row r="1149" spans="5:13" x14ac:dyDescent="0.4">
      <c r="E1149" s="16"/>
      <c r="F1149" s="16"/>
      <c r="G1149" s="16"/>
      <c r="H1149" s="16"/>
      <c r="I1149" s="16"/>
      <c r="J1149" s="16"/>
      <c r="K1149" s="16"/>
      <c r="L1149" s="16"/>
      <c r="M1149" s="16"/>
    </row>
    <row r="1150" spans="5:13" x14ac:dyDescent="0.4">
      <c r="E1150" s="16"/>
      <c r="F1150" s="16"/>
      <c r="G1150" s="16"/>
      <c r="H1150" s="16"/>
      <c r="I1150" s="16"/>
      <c r="J1150" s="16"/>
      <c r="K1150" s="16"/>
      <c r="L1150" s="16"/>
      <c r="M1150" s="16"/>
    </row>
    <row r="1151" spans="5:13" x14ac:dyDescent="0.4">
      <c r="E1151" s="16"/>
      <c r="F1151" s="16"/>
      <c r="G1151" s="16"/>
      <c r="H1151" s="16"/>
      <c r="I1151" s="16"/>
      <c r="J1151" s="16"/>
      <c r="K1151" s="16"/>
      <c r="L1151" s="16"/>
      <c r="M1151" s="16"/>
    </row>
    <row r="1152" spans="5:13" x14ac:dyDescent="0.4">
      <c r="E1152" s="16"/>
      <c r="F1152" s="16"/>
      <c r="G1152" s="16"/>
      <c r="H1152" s="16"/>
      <c r="I1152" s="16"/>
      <c r="J1152" s="16"/>
      <c r="K1152" s="16"/>
      <c r="L1152" s="16"/>
      <c r="M1152" s="16"/>
    </row>
    <row r="1153" spans="5:13" x14ac:dyDescent="0.4">
      <c r="E1153" s="16"/>
      <c r="F1153" s="16"/>
      <c r="G1153" s="16"/>
      <c r="H1153" s="16"/>
      <c r="I1153" s="16"/>
      <c r="J1153" s="16"/>
      <c r="K1153" s="16"/>
      <c r="L1153" s="16"/>
      <c r="M1153" s="16"/>
    </row>
    <row r="1154" spans="5:13" x14ac:dyDescent="0.4">
      <c r="E1154" s="16"/>
      <c r="F1154" s="16"/>
      <c r="G1154" s="16"/>
      <c r="H1154" s="16"/>
      <c r="I1154" s="16"/>
      <c r="J1154" s="16"/>
      <c r="K1154" s="16"/>
      <c r="L1154" s="16"/>
      <c r="M1154" s="16"/>
    </row>
    <row r="1155" spans="5:13" x14ac:dyDescent="0.4">
      <c r="E1155" s="16"/>
      <c r="F1155" s="16"/>
      <c r="G1155" s="16"/>
      <c r="H1155" s="16"/>
      <c r="I1155" s="16"/>
      <c r="J1155" s="16"/>
      <c r="K1155" s="16"/>
      <c r="L1155" s="16"/>
      <c r="M1155" s="16"/>
    </row>
    <row r="1156" spans="5:13" x14ac:dyDescent="0.4">
      <c r="E1156" s="16"/>
      <c r="F1156" s="16"/>
      <c r="G1156" s="16"/>
      <c r="H1156" s="16"/>
      <c r="I1156" s="16"/>
      <c r="J1156" s="16"/>
      <c r="K1156" s="16"/>
      <c r="L1156" s="16"/>
      <c r="M1156" s="16"/>
    </row>
    <row r="1157" spans="5:13" x14ac:dyDescent="0.4">
      <c r="E1157" s="16"/>
      <c r="F1157" s="16"/>
      <c r="G1157" s="16"/>
      <c r="H1157" s="16"/>
      <c r="I1157" s="16"/>
      <c r="J1157" s="16"/>
      <c r="K1157" s="16"/>
      <c r="L1157" s="16"/>
      <c r="M1157" s="16"/>
    </row>
    <row r="1158" spans="5:13" x14ac:dyDescent="0.4">
      <c r="E1158" s="16"/>
      <c r="F1158" s="16"/>
      <c r="G1158" s="16"/>
      <c r="H1158" s="16"/>
      <c r="I1158" s="16"/>
      <c r="J1158" s="16"/>
      <c r="K1158" s="16"/>
      <c r="L1158" s="16"/>
      <c r="M1158" s="16"/>
    </row>
    <row r="1159" spans="5:13" x14ac:dyDescent="0.4">
      <c r="E1159" s="16"/>
      <c r="F1159" s="16"/>
      <c r="G1159" s="16"/>
      <c r="H1159" s="16"/>
      <c r="I1159" s="16"/>
      <c r="J1159" s="16"/>
      <c r="K1159" s="16"/>
      <c r="L1159" s="16"/>
      <c r="M1159" s="16"/>
    </row>
    <row r="1160" spans="5:13" x14ac:dyDescent="0.4">
      <c r="E1160" s="16"/>
      <c r="F1160" s="16"/>
      <c r="G1160" s="16"/>
      <c r="H1160" s="16"/>
      <c r="I1160" s="16"/>
      <c r="J1160" s="16"/>
      <c r="K1160" s="16"/>
      <c r="L1160" s="16"/>
      <c r="M1160" s="16"/>
    </row>
    <row r="1161" spans="5:13" x14ac:dyDescent="0.4">
      <c r="E1161" s="16"/>
      <c r="F1161" s="16"/>
      <c r="G1161" s="16"/>
      <c r="H1161" s="16"/>
      <c r="I1161" s="16"/>
      <c r="J1161" s="16"/>
      <c r="K1161" s="16"/>
      <c r="L1161" s="16"/>
      <c r="M1161" s="16"/>
    </row>
    <row r="1162" spans="5:13" x14ac:dyDescent="0.4">
      <c r="E1162" s="16"/>
      <c r="F1162" s="16"/>
      <c r="G1162" s="16"/>
      <c r="H1162" s="16"/>
      <c r="I1162" s="16"/>
      <c r="J1162" s="16"/>
      <c r="K1162" s="16"/>
      <c r="L1162" s="16"/>
      <c r="M1162" s="16"/>
    </row>
    <row r="1163" spans="5:13" x14ac:dyDescent="0.4">
      <c r="E1163" s="16"/>
      <c r="F1163" s="16"/>
      <c r="G1163" s="16"/>
      <c r="H1163" s="16"/>
      <c r="I1163" s="16"/>
      <c r="J1163" s="16"/>
      <c r="K1163" s="16"/>
      <c r="L1163" s="16"/>
      <c r="M1163" s="16"/>
    </row>
    <row r="1164" spans="5:13" x14ac:dyDescent="0.4">
      <c r="E1164" s="16"/>
      <c r="F1164" s="16"/>
      <c r="G1164" s="16"/>
      <c r="H1164" s="16"/>
      <c r="I1164" s="16"/>
      <c r="J1164" s="16"/>
      <c r="K1164" s="16"/>
      <c r="L1164" s="16"/>
      <c r="M1164" s="16"/>
    </row>
    <row r="1165" spans="5:13" x14ac:dyDescent="0.4">
      <c r="E1165" s="16"/>
      <c r="F1165" s="16"/>
      <c r="G1165" s="16"/>
      <c r="H1165" s="16"/>
      <c r="I1165" s="16"/>
      <c r="J1165" s="16"/>
      <c r="K1165" s="16"/>
      <c r="L1165" s="16"/>
      <c r="M1165" s="16"/>
    </row>
    <row r="1166" spans="5:13" x14ac:dyDescent="0.4">
      <c r="E1166" s="16"/>
      <c r="F1166" s="16"/>
      <c r="G1166" s="16"/>
      <c r="H1166" s="16"/>
      <c r="I1166" s="16"/>
      <c r="J1166" s="16"/>
      <c r="K1166" s="16"/>
      <c r="L1166" s="16"/>
      <c r="M1166" s="16"/>
    </row>
    <row r="1167" spans="5:13" x14ac:dyDescent="0.4">
      <c r="E1167" s="16"/>
      <c r="F1167" s="16"/>
      <c r="G1167" s="16"/>
      <c r="H1167" s="16"/>
      <c r="I1167" s="16"/>
      <c r="J1167" s="16"/>
      <c r="K1167" s="16"/>
      <c r="L1167" s="16"/>
      <c r="M1167" s="16"/>
    </row>
    <row r="1168" spans="5:13" x14ac:dyDescent="0.4">
      <c r="E1168" s="16"/>
      <c r="F1168" s="16"/>
      <c r="G1168" s="16"/>
      <c r="H1168" s="16"/>
      <c r="I1168" s="16"/>
      <c r="J1168" s="16"/>
      <c r="K1168" s="16"/>
      <c r="L1168" s="16"/>
      <c r="M1168" s="16"/>
    </row>
    <row r="1169" spans="5:13" x14ac:dyDescent="0.4">
      <c r="E1169" s="16"/>
      <c r="F1169" s="16"/>
      <c r="G1169" s="16"/>
      <c r="H1169" s="16"/>
      <c r="I1169" s="16"/>
      <c r="J1169" s="16"/>
      <c r="K1169" s="16"/>
      <c r="L1169" s="16"/>
      <c r="M1169" s="16"/>
    </row>
    <row r="1170" spans="5:13" x14ac:dyDescent="0.4">
      <c r="E1170" s="16"/>
      <c r="F1170" s="16"/>
      <c r="G1170" s="16"/>
      <c r="H1170" s="16"/>
      <c r="I1170" s="16"/>
      <c r="J1170" s="16"/>
      <c r="K1170" s="16"/>
      <c r="L1170" s="16"/>
      <c r="M1170" s="16"/>
    </row>
    <row r="1171" spans="5:13" x14ac:dyDescent="0.4">
      <c r="E1171" s="16"/>
      <c r="F1171" s="16"/>
      <c r="G1171" s="16"/>
      <c r="H1171" s="16"/>
      <c r="I1171" s="16"/>
      <c r="J1171" s="16"/>
      <c r="K1171" s="16"/>
      <c r="L1171" s="16"/>
      <c r="M1171" s="16"/>
    </row>
    <row r="1172" spans="5:13" x14ac:dyDescent="0.4">
      <c r="E1172" s="16"/>
      <c r="F1172" s="16"/>
      <c r="G1172" s="16"/>
      <c r="H1172" s="16"/>
      <c r="I1172" s="16"/>
      <c r="J1172" s="16"/>
      <c r="K1172" s="16"/>
      <c r="L1172" s="16"/>
      <c r="M1172" s="16"/>
    </row>
    <row r="1173" spans="5:13" x14ac:dyDescent="0.4">
      <c r="E1173" s="16"/>
      <c r="F1173" s="16"/>
      <c r="G1173" s="16"/>
      <c r="H1173" s="16"/>
      <c r="I1173" s="16"/>
      <c r="J1173" s="16"/>
      <c r="K1173" s="16"/>
      <c r="L1173" s="16"/>
      <c r="M1173" s="16"/>
    </row>
    <row r="1174" spans="5:13" x14ac:dyDescent="0.4">
      <c r="E1174" s="16"/>
      <c r="F1174" s="16"/>
      <c r="G1174" s="16"/>
      <c r="H1174" s="16"/>
      <c r="I1174" s="16"/>
      <c r="J1174" s="16"/>
      <c r="K1174" s="16"/>
      <c r="L1174" s="16"/>
      <c r="M1174" s="16"/>
    </row>
    <row r="1175" spans="5:13" x14ac:dyDescent="0.4">
      <c r="E1175" s="16"/>
      <c r="F1175" s="16"/>
      <c r="G1175" s="16"/>
      <c r="H1175" s="16"/>
      <c r="I1175" s="16"/>
      <c r="J1175" s="16"/>
      <c r="K1175" s="16"/>
      <c r="L1175" s="16"/>
      <c r="M1175" s="16"/>
    </row>
    <row r="1176" spans="5:13" x14ac:dyDescent="0.4">
      <c r="E1176" s="16"/>
      <c r="F1176" s="16"/>
      <c r="G1176" s="16"/>
      <c r="H1176" s="16"/>
      <c r="I1176" s="16"/>
      <c r="J1176" s="16"/>
      <c r="K1176" s="16"/>
      <c r="L1176" s="16"/>
      <c r="M1176" s="16"/>
    </row>
    <row r="1177" spans="5:13" x14ac:dyDescent="0.4">
      <c r="E1177" s="16"/>
      <c r="F1177" s="16"/>
      <c r="G1177" s="16"/>
      <c r="H1177" s="16"/>
      <c r="I1177" s="16"/>
      <c r="J1177" s="16"/>
      <c r="K1177" s="16"/>
      <c r="L1177" s="16"/>
      <c r="M1177" s="16"/>
    </row>
    <row r="1178" spans="5:13" x14ac:dyDescent="0.4">
      <c r="E1178" s="16"/>
      <c r="F1178" s="16"/>
      <c r="G1178" s="16"/>
      <c r="H1178" s="16"/>
      <c r="I1178" s="16"/>
      <c r="J1178" s="16"/>
      <c r="K1178" s="16"/>
      <c r="L1178" s="16"/>
      <c r="M1178" s="16"/>
    </row>
    <row r="1179" spans="5:13" x14ac:dyDescent="0.4">
      <c r="E1179" s="16"/>
      <c r="F1179" s="16"/>
      <c r="G1179" s="16"/>
      <c r="H1179" s="16"/>
      <c r="I1179" s="16"/>
      <c r="J1179" s="16"/>
      <c r="K1179" s="16"/>
      <c r="L1179" s="16"/>
      <c r="M1179" s="16"/>
    </row>
    <row r="1180" spans="5:13" x14ac:dyDescent="0.4">
      <c r="E1180" s="16"/>
      <c r="F1180" s="16"/>
      <c r="G1180" s="16"/>
      <c r="H1180" s="16"/>
      <c r="I1180" s="16"/>
      <c r="J1180" s="16"/>
      <c r="K1180" s="16"/>
      <c r="L1180" s="16"/>
      <c r="M1180" s="16"/>
    </row>
    <row r="1181" spans="5:13" x14ac:dyDescent="0.4">
      <c r="E1181" s="16"/>
      <c r="F1181" s="16"/>
      <c r="G1181" s="16"/>
      <c r="H1181" s="16"/>
      <c r="I1181" s="16"/>
      <c r="J1181" s="16"/>
      <c r="K1181" s="16"/>
      <c r="L1181" s="16"/>
      <c r="M1181" s="16"/>
    </row>
    <row r="1182" spans="5:13" x14ac:dyDescent="0.4">
      <c r="E1182" s="16"/>
      <c r="F1182" s="16"/>
      <c r="G1182" s="16"/>
      <c r="H1182" s="16"/>
      <c r="I1182" s="16"/>
      <c r="J1182" s="16"/>
      <c r="K1182" s="16"/>
      <c r="L1182" s="16"/>
      <c r="M1182" s="16"/>
    </row>
    <row r="1183" spans="5:13" x14ac:dyDescent="0.4">
      <c r="E1183" s="16"/>
      <c r="F1183" s="16"/>
      <c r="G1183" s="16"/>
      <c r="H1183" s="16"/>
      <c r="I1183" s="16"/>
      <c r="J1183" s="16"/>
      <c r="K1183" s="16"/>
      <c r="L1183" s="16"/>
      <c r="M1183" s="16"/>
    </row>
    <row r="1184" spans="5:13" x14ac:dyDescent="0.4">
      <c r="E1184" s="16"/>
      <c r="F1184" s="16"/>
      <c r="G1184" s="16"/>
      <c r="H1184" s="16"/>
      <c r="I1184" s="16"/>
      <c r="J1184" s="16"/>
      <c r="K1184" s="16"/>
      <c r="L1184" s="16"/>
      <c r="M1184" s="16"/>
    </row>
    <row r="1185" spans="5:13" x14ac:dyDescent="0.4">
      <c r="E1185" s="16"/>
      <c r="F1185" s="16"/>
      <c r="G1185" s="16"/>
      <c r="H1185" s="16"/>
      <c r="I1185" s="16"/>
      <c r="J1185" s="16"/>
      <c r="K1185" s="16"/>
      <c r="L1185" s="16"/>
      <c r="M1185" s="16"/>
    </row>
    <row r="1186" spans="5:13" x14ac:dyDescent="0.4">
      <c r="E1186" s="16"/>
      <c r="F1186" s="16"/>
      <c r="G1186" s="16"/>
      <c r="H1186" s="16"/>
      <c r="I1186" s="16"/>
      <c r="J1186" s="16"/>
      <c r="K1186" s="16"/>
      <c r="L1186" s="16"/>
      <c r="M1186" s="16"/>
    </row>
    <row r="1187" spans="5:13" x14ac:dyDescent="0.4">
      <c r="E1187" s="16"/>
      <c r="F1187" s="16"/>
      <c r="G1187" s="16"/>
      <c r="H1187" s="16"/>
      <c r="I1187" s="16"/>
      <c r="J1187" s="16"/>
      <c r="K1187" s="16"/>
      <c r="L1187" s="16"/>
      <c r="M1187" s="16"/>
    </row>
    <row r="1188" spans="5:13" x14ac:dyDescent="0.4">
      <c r="E1188" s="16"/>
      <c r="F1188" s="16"/>
      <c r="G1188" s="16"/>
      <c r="H1188" s="16"/>
      <c r="I1188" s="16"/>
      <c r="J1188" s="16"/>
      <c r="K1188" s="16"/>
      <c r="L1188" s="16"/>
      <c r="M1188" s="16"/>
    </row>
    <row r="1189" spans="5:13" x14ac:dyDescent="0.4">
      <c r="E1189" s="16"/>
      <c r="F1189" s="16"/>
      <c r="G1189" s="16"/>
      <c r="H1189" s="16"/>
      <c r="I1189" s="16"/>
      <c r="J1189" s="16"/>
      <c r="K1189" s="16"/>
      <c r="L1189" s="16"/>
      <c r="M1189" s="16"/>
    </row>
    <row r="1190" spans="5:13" x14ac:dyDescent="0.4">
      <c r="E1190" s="16"/>
      <c r="F1190" s="16"/>
      <c r="G1190" s="16"/>
      <c r="H1190" s="16"/>
      <c r="I1190" s="16"/>
      <c r="J1190" s="16"/>
      <c r="K1190" s="16"/>
      <c r="L1190" s="16"/>
      <c r="M1190" s="16"/>
    </row>
    <row r="1191" spans="5:13" x14ac:dyDescent="0.4">
      <c r="E1191" s="16"/>
      <c r="F1191" s="16"/>
      <c r="G1191" s="16"/>
      <c r="H1191" s="16"/>
      <c r="I1191" s="16"/>
      <c r="J1191" s="16"/>
      <c r="K1191" s="16"/>
      <c r="L1191" s="16"/>
      <c r="M1191" s="16"/>
    </row>
    <row r="1192" spans="5:13" x14ac:dyDescent="0.4">
      <c r="E1192" s="16"/>
      <c r="F1192" s="16"/>
      <c r="G1192" s="16"/>
      <c r="H1192" s="16"/>
      <c r="I1192" s="16"/>
      <c r="J1192" s="16"/>
      <c r="K1192" s="16"/>
      <c r="L1192" s="16"/>
      <c r="M1192" s="16"/>
    </row>
    <row r="1193" spans="5:13" x14ac:dyDescent="0.4">
      <c r="E1193" s="16"/>
      <c r="F1193" s="16"/>
      <c r="G1193" s="16"/>
      <c r="H1193" s="16"/>
      <c r="I1193" s="16"/>
      <c r="J1193" s="16"/>
      <c r="K1193" s="16"/>
      <c r="L1193" s="16"/>
      <c r="M1193" s="16"/>
    </row>
    <row r="1194" spans="5:13" x14ac:dyDescent="0.4">
      <c r="E1194" s="16"/>
      <c r="F1194" s="16"/>
      <c r="G1194" s="16"/>
      <c r="H1194" s="16"/>
      <c r="I1194" s="16"/>
      <c r="J1194" s="16"/>
      <c r="K1194" s="16"/>
      <c r="L1194" s="16"/>
      <c r="M1194" s="16"/>
    </row>
    <row r="1195" spans="5:13" x14ac:dyDescent="0.4">
      <c r="E1195" s="16"/>
      <c r="F1195" s="16"/>
      <c r="G1195" s="16"/>
      <c r="H1195" s="16"/>
      <c r="I1195" s="16"/>
      <c r="J1195" s="16"/>
      <c r="K1195" s="16"/>
      <c r="L1195" s="16"/>
      <c r="M1195" s="16"/>
    </row>
    <row r="1196" spans="5:13" x14ac:dyDescent="0.4">
      <c r="E1196" s="16"/>
      <c r="F1196" s="16"/>
      <c r="G1196" s="16"/>
      <c r="H1196" s="16"/>
      <c r="I1196" s="16"/>
      <c r="J1196" s="16"/>
      <c r="K1196" s="16"/>
      <c r="L1196" s="16"/>
      <c r="M1196" s="16"/>
    </row>
    <row r="1197" spans="5:13" x14ac:dyDescent="0.4">
      <c r="E1197" s="16"/>
      <c r="F1197" s="16"/>
      <c r="G1197" s="16"/>
      <c r="H1197" s="16"/>
      <c r="I1197" s="16"/>
      <c r="J1197" s="16"/>
      <c r="K1197" s="16"/>
      <c r="L1197" s="16"/>
      <c r="M1197" s="16"/>
    </row>
    <row r="1198" spans="5:13" x14ac:dyDescent="0.4">
      <c r="E1198" s="16"/>
      <c r="F1198" s="16"/>
      <c r="G1198" s="16"/>
      <c r="H1198" s="16"/>
      <c r="I1198" s="16"/>
      <c r="J1198" s="16"/>
      <c r="K1198" s="16"/>
      <c r="L1198" s="16"/>
      <c r="M1198" s="16"/>
    </row>
    <row r="1199" spans="5:13" x14ac:dyDescent="0.4">
      <c r="E1199" s="16"/>
      <c r="F1199" s="16"/>
      <c r="G1199" s="16"/>
      <c r="H1199" s="16"/>
      <c r="I1199" s="16"/>
      <c r="J1199" s="16"/>
      <c r="K1199" s="16"/>
      <c r="L1199" s="16"/>
      <c r="M1199" s="16"/>
    </row>
    <row r="1200" spans="5:13" x14ac:dyDescent="0.4">
      <c r="E1200" s="16"/>
      <c r="F1200" s="16"/>
      <c r="G1200" s="16"/>
      <c r="H1200" s="16"/>
      <c r="I1200" s="16"/>
      <c r="J1200" s="16"/>
      <c r="K1200" s="16"/>
      <c r="L1200" s="16"/>
      <c r="M1200" s="16"/>
    </row>
    <row r="1201" spans="5:13" x14ac:dyDescent="0.4">
      <c r="E1201" s="16"/>
      <c r="F1201" s="16"/>
      <c r="G1201" s="16"/>
      <c r="H1201" s="16"/>
      <c r="I1201" s="16"/>
      <c r="J1201" s="16"/>
      <c r="K1201" s="16"/>
      <c r="L1201" s="16"/>
      <c r="M1201" s="16"/>
    </row>
    <row r="1202" spans="5:13" x14ac:dyDescent="0.4">
      <c r="E1202" s="16"/>
      <c r="F1202" s="16"/>
      <c r="G1202" s="16"/>
      <c r="H1202" s="16"/>
      <c r="I1202" s="16"/>
      <c r="J1202" s="16"/>
      <c r="K1202" s="16"/>
      <c r="L1202" s="16"/>
      <c r="M1202" s="16"/>
    </row>
    <row r="1203" spans="5:13" x14ac:dyDescent="0.4">
      <c r="E1203" s="16"/>
      <c r="F1203" s="16"/>
      <c r="G1203" s="16"/>
      <c r="H1203" s="16"/>
      <c r="I1203" s="16"/>
      <c r="J1203" s="16"/>
      <c r="K1203" s="16"/>
      <c r="L1203" s="16"/>
      <c r="M1203" s="16"/>
    </row>
    <row r="1204" spans="5:13" x14ac:dyDescent="0.4">
      <c r="E1204" s="16"/>
      <c r="F1204" s="16"/>
      <c r="G1204" s="16"/>
      <c r="H1204" s="16"/>
      <c r="I1204" s="16"/>
      <c r="J1204" s="16"/>
      <c r="K1204" s="16"/>
      <c r="L1204" s="16"/>
      <c r="M1204" s="16"/>
    </row>
    <row r="1205" spans="5:13" x14ac:dyDescent="0.4">
      <c r="E1205" s="16"/>
      <c r="F1205" s="16"/>
      <c r="G1205" s="16"/>
      <c r="H1205" s="16"/>
      <c r="I1205" s="16"/>
      <c r="J1205" s="16"/>
      <c r="K1205" s="16"/>
      <c r="L1205" s="16"/>
      <c r="M1205" s="16"/>
    </row>
    <row r="1206" spans="5:13" x14ac:dyDescent="0.4">
      <c r="E1206" s="16"/>
      <c r="F1206" s="16"/>
      <c r="G1206" s="16"/>
      <c r="H1206" s="16"/>
      <c r="I1206" s="16"/>
      <c r="J1206" s="16"/>
      <c r="K1206" s="16"/>
      <c r="L1206" s="16"/>
      <c r="M1206" s="16"/>
    </row>
    <row r="1207" spans="5:13" x14ac:dyDescent="0.4">
      <c r="E1207" s="16"/>
      <c r="F1207" s="16"/>
      <c r="G1207" s="16"/>
      <c r="H1207" s="16"/>
      <c r="I1207" s="16"/>
      <c r="J1207" s="16"/>
      <c r="K1207" s="16"/>
      <c r="L1207" s="16"/>
      <c r="M1207" s="16"/>
    </row>
    <row r="1208" spans="5:13" x14ac:dyDescent="0.4">
      <c r="E1208" s="16"/>
      <c r="F1208" s="16"/>
      <c r="G1208" s="16"/>
      <c r="H1208" s="16"/>
      <c r="I1208" s="16"/>
      <c r="J1208" s="16"/>
      <c r="K1208" s="16"/>
      <c r="L1208" s="16"/>
      <c r="M1208" s="16"/>
    </row>
    <row r="1209" spans="5:13" x14ac:dyDescent="0.4">
      <c r="E1209" s="16"/>
      <c r="F1209" s="16"/>
      <c r="G1209" s="16"/>
      <c r="H1209" s="16"/>
      <c r="I1209" s="16"/>
      <c r="J1209" s="16"/>
      <c r="K1209" s="16"/>
      <c r="L1209" s="16"/>
      <c r="M1209" s="16"/>
    </row>
    <row r="1210" spans="5:13" x14ac:dyDescent="0.4">
      <c r="E1210" s="16"/>
      <c r="F1210" s="16"/>
      <c r="G1210" s="16"/>
      <c r="H1210" s="16"/>
      <c r="I1210" s="16"/>
      <c r="J1210" s="16"/>
      <c r="K1210" s="16"/>
      <c r="L1210" s="16"/>
      <c r="M1210" s="16"/>
    </row>
    <row r="1211" spans="5:13" x14ac:dyDescent="0.4">
      <c r="E1211" s="16"/>
      <c r="F1211" s="16"/>
      <c r="G1211" s="16"/>
      <c r="H1211" s="16"/>
      <c r="I1211" s="16"/>
      <c r="J1211" s="16"/>
      <c r="K1211" s="16"/>
      <c r="L1211" s="16"/>
      <c r="M1211" s="16"/>
    </row>
    <row r="1212" spans="5:13" x14ac:dyDescent="0.4">
      <c r="E1212" s="16"/>
      <c r="F1212" s="16"/>
      <c r="G1212" s="16"/>
      <c r="H1212" s="16"/>
      <c r="I1212" s="16"/>
      <c r="J1212" s="16"/>
      <c r="K1212" s="16"/>
      <c r="L1212" s="16"/>
      <c r="M1212" s="16"/>
    </row>
    <row r="1213" spans="5:13" x14ac:dyDescent="0.4">
      <c r="E1213" s="16"/>
      <c r="F1213" s="16"/>
      <c r="G1213" s="16"/>
      <c r="H1213" s="16"/>
      <c r="I1213" s="16"/>
      <c r="J1213" s="16"/>
      <c r="K1213" s="16"/>
      <c r="L1213" s="16"/>
      <c r="M1213" s="16"/>
    </row>
    <row r="1214" spans="5:13" x14ac:dyDescent="0.4">
      <c r="E1214" s="16"/>
      <c r="F1214" s="16"/>
      <c r="G1214" s="16"/>
      <c r="H1214" s="16"/>
      <c r="I1214" s="16"/>
      <c r="J1214" s="16"/>
      <c r="K1214" s="16"/>
      <c r="L1214" s="16"/>
      <c r="M1214" s="16"/>
    </row>
    <row r="1215" spans="5:13" x14ac:dyDescent="0.4">
      <c r="E1215" s="16"/>
      <c r="F1215" s="16"/>
      <c r="G1215" s="16"/>
      <c r="H1215" s="16"/>
      <c r="I1215" s="16"/>
      <c r="J1215" s="16"/>
      <c r="K1215" s="16"/>
      <c r="L1215" s="16"/>
      <c r="M1215" s="16"/>
    </row>
    <row r="1216" spans="5:13" x14ac:dyDescent="0.4">
      <c r="E1216" s="16"/>
      <c r="F1216" s="16"/>
      <c r="G1216" s="16"/>
      <c r="H1216" s="16"/>
      <c r="I1216" s="16"/>
      <c r="J1216" s="16"/>
      <c r="K1216" s="16"/>
      <c r="L1216" s="16"/>
      <c r="M1216" s="16"/>
    </row>
    <row r="1217" spans="5:13" x14ac:dyDescent="0.4">
      <c r="E1217" s="16"/>
      <c r="F1217" s="16"/>
      <c r="G1217" s="16"/>
      <c r="H1217" s="16"/>
      <c r="I1217" s="16"/>
      <c r="J1217" s="16"/>
      <c r="K1217" s="16"/>
      <c r="L1217" s="16"/>
      <c r="M1217" s="16"/>
    </row>
    <row r="1218" spans="5:13" x14ac:dyDescent="0.4">
      <c r="E1218" s="16"/>
      <c r="F1218" s="16"/>
      <c r="G1218" s="16"/>
      <c r="H1218" s="16"/>
      <c r="I1218" s="16"/>
      <c r="J1218" s="16"/>
      <c r="K1218" s="16"/>
      <c r="L1218" s="16"/>
      <c r="M1218" s="16"/>
    </row>
    <row r="1219" spans="5:13" x14ac:dyDescent="0.4">
      <c r="E1219" s="16"/>
      <c r="F1219" s="16"/>
      <c r="G1219" s="16"/>
      <c r="H1219" s="16"/>
      <c r="I1219" s="16"/>
      <c r="J1219" s="16"/>
      <c r="K1219" s="16"/>
      <c r="L1219" s="16"/>
      <c r="M1219" s="16"/>
    </row>
    <row r="1220" spans="5:13" x14ac:dyDescent="0.4">
      <c r="E1220" s="16"/>
      <c r="F1220" s="16"/>
      <c r="G1220" s="16"/>
      <c r="H1220" s="16"/>
      <c r="I1220" s="16"/>
      <c r="J1220" s="16"/>
      <c r="K1220" s="16"/>
      <c r="L1220" s="16"/>
      <c r="M1220" s="16"/>
    </row>
    <row r="1221" spans="5:13" x14ac:dyDescent="0.4">
      <c r="E1221" s="16"/>
      <c r="F1221" s="16"/>
      <c r="G1221" s="16"/>
      <c r="H1221" s="16"/>
      <c r="I1221" s="16"/>
      <c r="J1221" s="16"/>
      <c r="K1221" s="16"/>
      <c r="L1221" s="16"/>
      <c r="M1221" s="16"/>
    </row>
    <row r="1222" spans="5:13" x14ac:dyDescent="0.4">
      <c r="E1222" s="16"/>
      <c r="F1222" s="16"/>
      <c r="G1222" s="16"/>
      <c r="H1222" s="16"/>
      <c r="I1222" s="16"/>
      <c r="J1222" s="16"/>
      <c r="K1222" s="16"/>
      <c r="L1222" s="16"/>
      <c r="M1222" s="16"/>
    </row>
    <row r="1223" spans="5:13" x14ac:dyDescent="0.4">
      <c r="E1223" s="16"/>
      <c r="F1223" s="16"/>
      <c r="G1223" s="16"/>
      <c r="H1223" s="16"/>
      <c r="I1223" s="16"/>
      <c r="J1223" s="16"/>
      <c r="K1223" s="16"/>
      <c r="L1223" s="16"/>
      <c r="M1223" s="16"/>
    </row>
    <row r="1224" spans="5:13" x14ac:dyDescent="0.4">
      <c r="E1224" s="16"/>
      <c r="F1224" s="16"/>
      <c r="G1224" s="16"/>
      <c r="H1224" s="16"/>
      <c r="I1224" s="16"/>
      <c r="J1224" s="16"/>
      <c r="K1224" s="16"/>
      <c r="L1224" s="16"/>
      <c r="M1224" s="16"/>
    </row>
    <row r="1225" spans="5:13" x14ac:dyDescent="0.4">
      <c r="E1225" s="16"/>
      <c r="F1225" s="16"/>
      <c r="G1225" s="16"/>
      <c r="H1225" s="16"/>
      <c r="I1225" s="16"/>
      <c r="J1225" s="16"/>
      <c r="K1225" s="16"/>
      <c r="L1225" s="16"/>
      <c r="M1225" s="16"/>
    </row>
    <row r="1226" spans="5:13" x14ac:dyDescent="0.4">
      <c r="E1226" s="16"/>
      <c r="F1226" s="16"/>
      <c r="G1226" s="16"/>
      <c r="H1226" s="16"/>
      <c r="I1226" s="16"/>
      <c r="J1226" s="16"/>
      <c r="K1226" s="16"/>
      <c r="L1226" s="16"/>
      <c r="M1226" s="16"/>
    </row>
    <row r="1227" spans="5:13" x14ac:dyDescent="0.4">
      <c r="E1227" s="16"/>
      <c r="F1227" s="16"/>
      <c r="G1227" s="16"/>
      <c r="H1227" s="16"/>
      <c r="I1227" s="16"/>
      <c r="J1227" s="16"/>
      <c r="K1227" s="16"/>
      <c r="L1227" s="16"/>
      <c r="M1227" s="16"/>
    </row>
    <row r="1228" spans="5:13" x14ac:dyDescent="0.4">
      <c r="E1228" s="16"/>
      <c r="F1228" s="16"/>
      <c r="G1228" s="16"/>
      <c r="H1228" s="16"/>
      <c r="I1228" s="16"/>
      <c r="J1228" s="16"/>
      <c r="K1228" s="16"/>
      <c r="L1228" s="16"/>
      <c r="M1228" s="16"/>
    </row>
    <row r="1229" spans="5:13" x14ac:dyDescent="0.4">
      <c r="E1229" s="16"/>
      <c r="F1229" s="16"/>
      <c r="G1229" s="16"/>
      <c r="H1229" s="16"/>
      <c r="I1229" s="16"/>
      <c r="J1229" s="16"/>
      <c r="K1229" s="16"/>
      <c r="L1229" s="16"/>
      <c r="M1229" s="16"/>
    </row>
    <row r="1230" spans="5:13" x14ac:dyDescent="0.4">
      <c r="E1230" s="16"/>
      <c r="F1230" s="16"/>
      <c r="G1230" s="16"/>
      <c r="H1230" s="16"/>
      <c r="I1230" s="16"/>
      <c r="J1230" s="16"/>
      <c r="K1230" s="16"/>
      <c r="L1230" s="16"/>
      <c r="M1230" s="16"/>
    </row>
    <row r="1231" spans="5:13" x14ac:dyDescent="0.4">
      <c r="E1231" s="16"/>
      <c r="F1231" s="16"/>
      <c r="G1231" s="16"/>
      <c r="H1231" s="16"/>
      <c r="I1231" s="16"/>
      <c r="J1231" s="16"/>
      <c r="K1231" s="16"/>
      <c r="L1231" s="16"/>
      <c r="M1231" s="16"/>
    </row>
    <row r="1232" spans="5:13" x14ac:dyDescent="0.4">
      <c r="E1232" s="16"/>
      <c r="F1232" s="16"/>
      <c r="G1232" s="16"/>
      <c r="H1232" s="16"/>
      <c r="I1232" s="16"/>
      <c r="J1232" s="16"/>
      <c r="K1232" s="16"/>
      <c r="L1232" s="16"/>
      <c r="M1232" s="16"/>
    </row>
    <row r="1233" spans="5:13" x14ac:dyDescent="0.4">
      <c r="E1233" s="16"/>
      <c r="F1233" s="16"/>
      <c r="G1233" s="16"/>
      <c r="H1233" s="16"/>
      <c r="I1233" s="16"/>
      <c r="J1233" s="16"/>
      <c r="K1233" s="16"/>
      <c r="L1233" s="16"/>
      <c r="M1233" s="16"/>
    </row>
    <row r="1234" spans="5:13" x14ac:dyDescent="0.4">
      <c r="E1234" s="16"/>
      <c r="F1234" s="16"/>
      <c r="G1234" s="16"/>
      <c r="H1234" s="16"/>
      <c r="I1234" s="16"/>
      <c r="J1234" s="16"/>
      <c r="K1234" s="16"/>
      <c r="L1234" s="16"/>
      <c r="M1234" s="16"/>
    </row>
    <row r="1235" spans="5:13" x14ac:dyDescent="0.4">
      <c r="E1235" s="16"/>
      <c r="F1235" s="16"/>
      <c r="G1235" s="16"/>
      <c r="H1235" s="16"/>
      <c r="I1235" s="16"/>
      <c r="J1235" s="16"/>
      <c r="K1235" s="16"/>
      <c r="L1235" s="16"/>
      <c r="M1235" s="16"/>
    </row>
    <row r="1236" spans="5:13" x14ac:dyDescent="0.4">
      <c r="E1236" s="16"/>
      <c r="F1236" s="16"/>
      <c r="G1236" s="16"/>
      <c r="H1236" s="16"/>
      <c r="I1236" s="16"/>
      <c r="J1236" s="16"/>
      <c r="K1236" s="16"/>
      <c r="L1236" s="16"/>
      <c r="M1236" s="16"/>
    </row>
    <row r="1237" spans="5:13" x14ac:dyDescent="0.4">
      <c r="E1237" s="16"/>
      <c r="F1237" s="16"/>
      <c r="G1237" s="16"/>
      <c r="H1237" s="16"/>
      <c r="I1237" s="16"/>
      <c r="J1237" s="16"/>
      <c r="K1237" s="16"/>
      <c r="L1237" s="16"/>
      <c r="M1237" s="16"/>
    </row>
    <row r="1238" spans="5:13" x14ac:dyDescent="0.4">
      <c r="E1238" s="16"/>
      <c r="F1238" s="16"/>
      <c r="G1238" s="16"/>
      <c r="H1238" s="16"/>
      <c r="I1238" s="16"/>
      <c r="J1238" s="16"/>
      <c r="K1238" s="16"/>
      <c r="L1238" s="16"/>
      <c r="M1238" s="16"/>
    </row>
    <row r="1239" spans="5:13" x14ac:dyDescent="0.4">
      <c r="E1239" s="16"/>
      <c r="F1239" s="16"/>
      <c r="G1239" s="16"/>
      <c r="H1239" s="16"/>
      <c r="I1239" s="16"/>
      <c r="J1239" s="16"/>
      <c r="K1239" s="16"/>
      <c r="L1239" s="16"/>
      <c r="M1239" s="16"/>
    </row>
    <row r="1240" spans="5:13" x14ac:dyDescent="0.4">
      <c r="E1240" s="16"/>
      <c r="F1240" s="16"/>
      <c r="G1240" s="16"/>
      <c r="H1240" s="16"/>
      <c r="I1240" s="16"/>
      <c r="J1240" s="16"/>
      <c r="K1240" s="16"/>
      <c r="L1240" s="16"/>
      <c r="M1240" s="16"/>
    </row>
    <row r="1241" spans="5:13" x14ac:dyDescent="0.4">
      <c r="E1241" s="16"/>
      <c r="F1241" s="16"/>
      <c r="G1241" s="16"/>
      <c r="H1241" s="16"/>
      <c r="I1241" s="16"/>
      <c r="J1241" s="16"/>
      <c r="K1241" s="16"/>
      <c r="L1241" s="16"/>
      <c r="M1241" s="16"/>
    </row>
    <row r="1242" spans="5:13" x14ac:dyDescent="0.4">
      <c r="E1242" s="16"/>
      <c r="F1242" s="16"/>
      <c r="G1242" s="16"/>
      <c r="H1242" s="16"/>
      <c r="I1242" s="16"/>
      <c r="J1242" s="16"/>
      <c r="K1242" s="16"/>
      <c r="L1242" s="16"/>
      <c r="M1242" s="16"/>
    </row>
    <row r="1243" spans="5:13" x14ac:dyDescent="0.4">
      <c r="E1243" s="16"/>
      <c r="F1243" s="16"/>
      <c r="G1243" s="16"/>
      <c r="H1243" s="16"/>
      <c r="I1243" s="16"/>
      <c r="J1243" s="16"/>
      <c r="K1243" s="16"/>
      <c r="L1243" s="16"/>
      <c r="M1243" s="16"/>
    </row>
    <row r="1244" spans="5:13" x14ac:dyDescent="0.4">
      <c r="E1244" s="16"/>
      <c r="F1244" s="16"/>
      <c r="G1244" s="16"/>
      <c r="H1244" s="16"/>
      <c r="I1244" s="16"/>
      <c r="J1244" s="16"/>
      <c r="K1244" s="16"/>
      <c r="L1244" s="16"/>
      <c r="M1244" s="16"/>
    </row>
    <row r="1245" spans="5:13" x14ac:dyDescent="0.4">
      <c r="E1245" s="16"/>
      <c r="F1245" s="16"/>
      <c r="G1245" s="16"/>
      <c r="H1245" s="16"/>
      <c r="I1245" s="16"/>
      <c r="J1245" s="16"/>
      <c r="K1245" s="16"/>
      <c r="L1245" s="16"/>
      <c r="M1245" s="16"/>
    </row>
    <row r="1246" spans="5:13" x14ac:dyDescent="0.4">
      <c r="E1246" s="16"/>
      <c r="F1246" s="16"/>
      <c r="G1246" s="16"/>
      <c r="H1246" s="16"/>
      <c r="I1246" s="16"/>
      <c r="J1246" s="16"/>
      <c r="K1246" s="16"/>
      <c r="L1246" s="16"/>
      <c r="M1246" s="16"/>
    </row>
    <row r="1247" spans="5:13" x14ac:dyDescent="0.4">
      <c r="E1247" s="16"/>
      <c r="F1247" s="16"/>
      <c r="G1247" s="16"/>
      <c r="H1247" s="16"/>
      <c r="I1247" s="16"/>
      <c r="J1247" s="16"/>
      <c r="K1247" s="16"/>
      <c r="L1247" s="16"/>
      <c r="M1247" s="16"/>
    </row>
    <row r="1248" spans="5:13" x14ac:dyDescent="0.4">
      <c r="E1248" s="16"/>
      <c r="F1248" s="16"/>
      <c r="G1248" s="16"/>
      <c r="H1248" s="16"/>
      <c r="I1248" s="16"/>
      <c r="J1248" s="16"/>
      <c r="K1248" s="16"/>
      <c r="L1248" s="16"/>
      <c r="M1248" s="16"/>
    </row>
    <row r="1249" spans="5:13" x14ac:dyDescent="0.4">
      <c r="E1249" s="16"/>
      <c r="F1249" s="16"/>
      <c r="G1249" s="16"/>
      <c r="H1249" s="16"/>
      <c r="I1249" s="16"/>
      <c r="J1249" s="16"/>
      <c r="K1249" s="16"/>
      <c r="L1249" s="16"/>
      <c r="M1249" s="16"/>
    </row>
    <row r="1250" spans="5:13" x14ac:dyDescent="0.4">
      <c r="E1250" s="16"/>
      <c r="F1250" s="16"/>
      <c r="G1250" s="16"/>
      <c r="H1250" s="16"/>
      <c r="I1250" s="16"/>
      <c r="J1250" s="16"/>
      <c r="K1250" s="16"/>
      <c r="L1250" s="16"/>
      <c r="M1250" s="16"/>
    </row>
    <row r="1251" spans="5:13" x14ac:dyDescent="0.4">
      <c r="E1251" s="16"/>
      <c r="F1251" s="16"/>
      <c r="G1251" s="16"/>
      <c r="H1251" s="16"/>
      <c r="I1251" s="16"/>
      <c r="J1251" s="16"/>
      <c r="K1251" s="16"/>
      <c r="L1251" s="16"/>
      <c r="M1251" s="16"/>
    </row>
    <row r="1252" spans="5:13" x14ac:dyDescent="0.4">
      <c r="E1252" s="16"/>
      <c r="F1252" s="16"/>
      <c r="G1252" s="16"/>
      <c r="H1252" s="16"/>
      <c r="I1252" s="16"/>
      <c r="J1252" s="16"/>
      <c r="K1252" s="16"/>
      <c r="L1252" s="16"/>
      <c r="M1252" s="16"/>
    </row>
    <row r="1253" spans="5:13" x14ac:dyDescent="0.4">
      <c r="E1253" s="16"/>
      <c r="F1253" s="16"/>
      <c r="G1253" s="16"/>
      <c r="H1253" s="16"/>
      <c r="I1253" s="16"/>
      <c r="J1253" s="16"/>
      <c r="K1253" s="16"/>
      <c r="L1253" s="16"/>
      <c r="M1253" s="16"/>
    </row>
    <row r="1254" spans="5:13" x14ac:dyDescent="0.4">
      <c r="E1254" s="16"/>
      <c r="F1254" s="16"/>
      <c r="G1254" s="16"/>
      <c r="H1254" s="16"/>
      <c r="I1254" s="16"/>
      <c r="J1254" s="16"/>
      <c r="K1254" s="16"/>
      <c r="L1254" s="16"/>
      <c r="M1254" s="16"/>
    </row>
    <row r="1255" spans="5:13" x14ac:dyDescent="0.4">
      <c r="E1255" s="16"/>
      <c r="F1255" s="16"/>
      <c r="G1255" s="16"/>
      <c r="H1255" s="16"/>
      <c r="I1255" s="16"/>
      <c r="J1255" s="16"/>
      <c r="K1255" s="16"/>
      <c r="L1255" s="16"/>
      <c r="M1255" s="16"/>
    </row>
    <row r="1256" spans="5:13" x14ac:dyDescent="0.4">
      <c r="E1256" s="16"/>
      <c r="F1256" s="16"/>
      <c r="G1256" s="16"/>
      <c r="H1256" s="16"/>
      <c r="I1256" s="16"/>
      <c r="J1256" s="16"/>
      <c r="K1256" s="16"/>
      <c r="L1256" s="16"/>
      <c r="M1256" s="16"/>
    </row>
    <row r="1257" spans="5:13" x14ac:dyDescent="0.4">
      <c r="E1257" s="16"/>
      <c r="F1257" s="16"/>
      <c r="G1257" s="16"/>
      <c r="H1257" s="16"/>
      <c r="I1257" s="16"/>
      <c r="J1257" s="16"/>
      <c r="K1257" s="16"/>
      <c r="L1257" s="16"/>
      <c r="M1257" s="16"/>
    </row>
    <row r="1258" spans="5:13" x14ac:dyDescent="0.4">
      <c r="E1258" s="16"/>
      <c r="F1258" s="16"/>
      <c r="G1258" s="16"/>
      <c r="H1258" s="16"/>
      <c r="I1258" s="16"/>
      <c r="J1258" s="16"/>
      <c r="K1258" s="16"/>
      <c r="L1258" s="16"/>
      <c r="M1258" s="16"/>
    </row>
    <row r="1259" spans="5:13" x14ac:dyDescent="0.4">
      <c r="E1259" s="16"/>
      <c r="F1259" s="16"/>
      <c r="G1259" s="16"/>
      <c r="H1259" s="16"/>
      <c r="I1259" s="16"/>
      <c r="J1259" s="16"/>
      <c r="K1259" s="16"/>
      <c r="L1259" s="16"/>
      <c r="M1259" s="16"/>
    </row>
    <row r="1260" spans="5:13" x14ac:dyDescent="0.4">
      <c r="E1260" s="16"/>
      <c r="F1260" s="16"/>
      <c r="G1260" s="16"/>
      <c r="H1260" s="16"/>
      <c r="I1260" s="16"/>
      <c r="J1260" s="16"/>
      <c r="K1260" s="16"/>
      <c r="L1260" s="16"/>
      <c r="M1260" s="16"/>
    </row>
    <row r="1261" spans="5:13" x14ac:dyDescent="0.4">
      <c r="E1261" s="16"/>
      <c r="F1261" s="16"/>
      <c r="G1261" s="16"/>
      <c r="H1261" s="16"/>
      <c r="I1261" s="16"/>
      <c r="J1261" s="16"/>
      <c r="K1261" s="16"/>
      <c r="L1261" s="16"/>
      <c r="M1261" s="16"/>
    </row>
    <row r="1262" spans="5:13" x14ac:dyDescent="0.4">
      <c r="E1262" s="16"/>
      <c r="F1262" s="16"/>
      <c r="G1262" s="16"/>
      <c r="H1262" s="16"/>
      <c r="I1262" s="16"/>
      <c r="J1262" s="16"/>
      <c r="K1262" s="16"/>
      <c r="L1262" s="16"/>
      <c r="M1262" s="16"/>
    </row>
    <row r="1263" spans="5:13" x14ac:dyDescent="0.4">
      <c r="E1263" s="16"/>
      <c r="F1263" s="16"/>
      <c r="G1263" s="16"/>
      <c r="H1263" s="16"/>
      <c r="I1263" s="16"/>
      <c r="J1263" s="16"/>
      <c r="K1263" s="16"/>
      <c r="L1263" s="16"/>
      <c r="M1263" s="16"/>
    </row>
    <row r="1264" spans="5:13" x14ac:dyDescent="0.4">
      <c r="E1264" s="16"/>
      <c r="F1264" s="16"/>
      <c r="G1264" s="16"/>
      <c r="H1264" s="16"/>
      <c r="I1264" s="16"/>
      <c r="J1264" s="16"/>
      <c r="K1264" s="16"/>
      <c r="L1264" s="16"/>
      <c r="M1264" s="16"/>
    </row>
    <row r="1265" spans="5:13" x14ac:dyDescent="0.4">
      <c r="E1265" s="16"/>
      <c r="F1265" s="16"/>
      <c r="G1265" s="16"/>
      <c r="H1265" s="16"/>
      <c r="I1265" s="16"/>
      <c r="J1265" s="16"/>
      <c r="K1265" s="16"/>
      <c r="L1265" s="16"/>
      <c r="M1265" s="16"/>
    </row>
    <row r="1266" spans="5:13" x14ac:dyDescent="0.4">
      <c r="E1266" s="16"/>
      <c r="F1266" s="16"/>
      <c r="G1266" s="16"/>
      <c r="H1266" s="16"/>
      <c r="I1266" s="16"/>
      <c r="J1266" s="16"/>
      <c r="K1266" s="16"/>
      <c r="L1266" s="16"/>
      <c r="M1266" s="16"/>
    </row>
    <row r="1267" spans="5:13" x14ac:dyDescent="0.4">
      <c r="E1267" s="16"/>
      <c r="F1267" s="16"/>
      <c r="G1267" s="16"/>
      <c r="H1267" s="16"/>
      <c r="I1267" s="16"/>
      <c r="J1267" s="16"/>
      <c r="K1267" s="16"/>
      <c r="L1267" s="16"/>
      <c r="M1267" s="16"/>
    </row>
    <row r="1268" spans="5:13" x14ac:dyDescent="0.4">
      <c r="E1268" s="16"/>
      <c r="F1268" s="16"/>
      <c r="G1268" s="16"/>
      <c r="H1268" s="16"/>
      <c r="I1268" s="16"/>
      <c r="J1268" s="16"/>
      <c r="K1268" s="16"/>
      <c r="L1268" s="16"/>
      <c r="M1268" s="16"/>
    </row>
    <row r="1269" spans="5:13" x14ac:dyDescent="0.4">
      <c r="E1269" s="16"/>
      <c r="F1269" s="16"/>
      <c r="G1269" s="16"/>
      <c r="H1269" s="16"/>
      <c r="I1269" s="16"/>
      <c r="J1269" s="16"/>
      <c r="K1269" s="16"/>
      <c r="L1269" s="16"/>
      <c r="M1269" s="16"/>
    </row>
    <row r="1270" spans="5:13" x14ac:dyDescent="0.4">
      <c r="E1270" s="16"/>
      <c r="F1270" s="16"/>
      <c r="G1270" s="16"/>
      <c r="H1270" s="16"/>
      <c r="I1270" s="16"/>
      <c r="J1270" s="16"/>
      <c r="K1270" s="16"/>
      <c r="L1270" s="16"/>
      <c r="M1270" s="16"/>
    </row>
    <row r="1271" spans="5:13" x14ac:dyDescent="0.4">
      <c r="E1271" s="16"/>
      <c r="F1271" s="16"/>
      <c r="G1271" s="16"/>
      <c r="H1271" s="16"/>
      <c r="I1271" s="16"/>
      <c r="J1271" s="16"/>
      <c r="K1271" s="16"/>
      <c r="L1271" s="16"/>
      <c r="M1271" s="16"/>
    </row>
    <row r="1272" spans="5:13" x14ac:dyDescent="0.4">
      <c r="E1272" s="16"/>
      <c r="F1272" s="16"/>
      <c r="G1272" s="16"/>
      <c r="H1272" s="16"/>
      <c r="I1272" s="16"/>
      <c r="J1272" s="16"/>
      <c r="K1272" s="16"/>
      <c r="L1272" s="16"/>
      <c r="M1272" s="16"/>
    </row>
    <row r="1273" spans="5:13" x14ac:dyDescent="0.4">
      <c r="E1273" s="16"/>
      <c r="F1273" s="16"/>
      <c r="G1273" s="16"/>
      <c r="H1273" s="16"/>
      <c r="I1273" s="16"/>
      <c r="J1273" s="16"/>
      <c r="K1273" s="16"/>
      <c r="L1273" s="16"/>
      <c r="M1273" s="16"/>
    </row>
    <row r="1274" spans="5:13" x14ac:dyDescent="0.4">
      <c r="E1274" s="16"/>
      <c r="F1274" s="16"/>
      <c r="G1274" s="16"/>
      <c r="H1274" s="16"/>
      <c r="I1274" s="16"/>
      <c r="J1274" s="16"/>
      <c r="K1274" s="16"/>
      <c r="L1274" s="16"/>
      <c r="M1274" s="16"/>
    </row>
    <row r="1275" spans="5:13" x14ac:dyDescent="0.4">
      <c r="E1275" s="16"/>
      <c r="F1275" s="16"/>
      <c r="G1275" s="16"/>
      <c r="H1275" s="16"/>
      <c r="I1275" s="16"/>
      <c r="J1275" s="16"/>
      <c r="K1275" s="16"/>
      <c r="L1275" s="16"/>
      <c r="M1275" s="16"/>
    </row>
    <row r="1276" spans="5:13" x14ac:dyDescent="0.4">
      <c r="E1276" s="16"/>
      <c r="F1276" s="16"/>
      <c r="G1276" s="16"/>
      <c r="H1276" s="16"/>
      <c r="I1276" s="16"/>
      <c r="J1276" s="16"/>
      <c r="K1276" s="16"/>
      <c r="L1276" s="16"/>
      <c r="M1276" s="16"/>
    </row>
    <row r="1277" spans="5:13" x14ac:dyDescent="0.4">
      <c r="E1277" s="16"/>
      <c r="F1277" s="16"/>
      <c r="G1277" s="16"/>
      <c r="H1277" s="16"/>
      <c r="I1277" s="16"/>
      <c r="J1277" s="16"/>
      <c r="K1277" s="16"/>
      <c r="L1277" s="16"/>
      <c r="M1277" s="16"/>
    </row>
    <row r="1278" spans="5:13" x14ac:dyDescent="0.4">
      <c r="E1278" s="16"/>
      <c r="F1278" s="16"/>
      <c r="G1278" s="16"/>
      <c r="H1278" s="16"/>
      <c r="I1278" s="16"/>
      <c r="J1278" s="16"/>
      <c r="K1278" s="16"/>
      <c r="L1278" s="16"/>
      <c r="M1278" s="16"/>
    </row>
    <row r="1279" spans="5:13" x14ac:dyDescent="0.4">
      <c r="E1279" s="16"/>
      <c r="F1279" s="16"/>
      <c r="G1279" s="16"/>
      <c r="H1279" s="16"/>
      <c r="I1279" s="16"/>
      <c r="J1279" s="16"/>
      <c r="K1279" s="16"/>
      <c r="L1279" s="16"/>
      <c r="M1279" s="16"/>
    </row>
    <row r="1280" spans="5:13" x14ac:dyDescent="0.4">
      <c r="E1280" s="16"/>
      <c r="F1280" s="16"/>
      <c r="G1280" s="16"/>
      <c r="H1280" s="16"/>
      <c r="I1280" s="16"/>
      <c r="J1280" s="16"/>
      <c r="K1280" s="16"/>
      <c r="L1280" s="16"/>
      <c r="M1280" s="16"/>
    </row>
    <row r="1281" spans="5:13" x14ac:dyDescent="0.4">
      <c r="E1281" s="16"/>
      <c r="F1281" s="16"/>
      <c r="G1281" s="16"/>
      <c r="H1281" s="16"/>
      <c r="I1281" s="16"/>
      <c r="J1281" s="16"/>
      <c r="K1281" s="16"/>
      <c r="L1281" s="16"/>
      <c r="M1281" s="16"/>
    </row>
    <row r="1282" spans="5:13" x14ac:dyDescent="0.4">
      <c r="E1282" s="16"/>
      <c r="F1282" s="16"/>
      <c r="G1282" s="16"/>
      <c r="H1282" s="16"/>
      <c r="I1282" s="16"/>
      <c r="J1282" s="16"/>
      <c r="K1282" s="16"/>
      <c r="L1282" s="16"/>
      <c r="M1282" s="16"/>
    </row>
    <row r="1283" spans="5:13" x14ac:dyDescent="0.4">
      <c r="E1283" s="16"/>
      <c r="F1283" s="16"/>
      <c r="G1283" s="16"/>
      <c r="H1283" s="16"/>
      <c r="I1283" s="16"/>
      <c r="J1283" s="16"/>
      <c r="K1283" s="16"/>
      <c r="L1283" s="16"/>
      <c r="M1283" s="16"/>
    </row>
    <row r="1284" spans="5:13" x14ac:dyDescent="0.4">
      <c r="E1284" s="16"/>
      <c r="F1284" s="16"/>
      <c r="G1284" s="16"/>
      <c r="H1284" s="16"/>
      <c r="I1284" s="16"/>
      <c r="J1284" s="16"/>
      <c r="K1284" s="16"/>
      <c r="L1284" s="16"/>
      <c r="M1284" s="16"/>
    </row>
    <row r="1285" spans="5:13" x14ac:dyDescent="0.4">
      <c r="E1285" s="16"/>
      <c r="F1285" s="16"/>
      <c r="G1285" s="16"/>
      <c r="H1285" s="16"/>
      <c r="I1285" s="16"/>
      <c r="J1285" s="16"/>
      <c r="K1285" s="16"/>
      <c r="L1285" s="16"/>
      <c r="M1285" s="16"/>
    </row>
    <row r="1286" spans="5:13" x14ac:dyDescent="0.4">
      <c r="E1286" s="16"/>
      <c r="F1286" s="16"/>
      <c r="G1286" s="16"/>
      <c r="H1286" s="16"/>
      <c r="I1286" s="16"/>
      <c r="J1286" s="16"/>
      <c r="K1286" s="16"/>
      <c r="L1286" s="16"/>
      <c r="M1286" s="16"/>
    </row>
    <row r="1287" spans="5:13" x14ac:dyDescent="0.4">
      <c r="E1287" s="16"/>
      <c r="F1287" s="16"/>
      <c r="G1287" s="16"/>
      <c r="H1287" s="16"/>
      <c r="I1287" s="16"/>
      <c r="J1287" s="16"/>
      <c r="K1287" s="16"/>
      <c r="L1287" s="16"/>
      <c r="M1287" s="16"/>
    </row>
    <row r="1288" spans="5:13" x14ac:dyDescent="0.4">
      <c r="E1288" s="16"/>
      <c r="F1288" s="16"/>
      <c r="G1288" s="16"/>
      <c r="H1288" s="16"/>
      <c r="I1288" s="16"/>
      <c r="J1288" s="16"/>
      <c r="K1288" s="16"/>
      <c r="L1288" s="16"/>
      <c r="M1288" s="16"/>
    </row>
    <row r="1289" spans="5:13" x14ac:dyDescent="0.4">
      <c r="E1289" s="16"/>
      <c r="F1289" s="16"/>
      <c r="G1289" s="16"/>
      <c r="H1289" s="16"/>
      <c r="I1289" s="16"/>
      <c r="J1289" s="16"/>
      <c r="K1289" s="16"/>
      <c r="L1289" s="16"/>
      <c r="M1289" s="16"/>
    </row>
    <row r="1290" spans="5:13" x14ac:dyDescent="0.4">
      <c r="E1290" s="16"/>
      <c r="F1290" s="16"/>
      <c r="G1290" s="16"/>
      <c r="H1290" s="16"/>
      <c r="I1290" s="16"/>
      <c r="J1290" s="16"/>
      <c r="K1290" s="16"/>
      <c r="L1290" s="16"/>
      <c r="M1290" s="16"/>
    </row>
    <row r="1291" spans="5:13" x14ac:dyDescent="0.4">
      <c r="E1291" s="16"/>
      <c r="F1291" s="16"/>
      <c r="G1291" s="16"/>
      <c r="H1291" s="16"/>
      <c r="I1291" s="16"/>
      <c r="J1291" s="16"/>
      <c r="K1291" s="16"/>
      <c r="L1291" s="16"/>
      <c r="M1291" s="16"/>
    </row>
    <row r="1292" spans="5:13" x14ac:dyDescent="0.4">
      <c r="E1292" s="16"/>
      <c r="F1292" s="16"/>
      <c r="G1292" s="16"/>
      <c r="H1292" s="16"/>
      <c r="I1292" s="16"/>
      <c r="J1292" s="16"/>
      <c r="K1292" s="16"/>
      <c r="L1292" s="16"/>
      <c r="M1292" s="16"/>
    </row>
    <row r="1293" spans="5:13" x14ac:dyDescent="0.4">
      <c r="E1293" s="16"/>
      <c r="F1293" s="16"/>
      <c r="G1293" s="16"/>
      <c r="H1293" s="16"/>
      <c r="I1293" s="16"/>
      <c r="J1293" s="16"/>
      <c r="K1293" s="16"/>
      <c r="L1293" s="16"/>
      <c r="M1293" s="16"/>
    </row>
    <row r="1294" spans="5:13" x14ac:dyDescent="0.4">
      <c r="E1294" s="16"/>
      <c r="F1294" s="16"/>
      <c r="G1294" s="16"/>
      <c r="H1294" s="16"/>
      <c r="I1294" s="16"/>
      <c r="J1294" s="16"/>
      <c r="K1294" s="16"/>
      <c r="L1294" s="16"/>
      <c r="M1294" s="16"/>
    </row>
    <row r="1295" spans="5:13" x14ac:dyDescent="0.4">
      <c r="E1295" s="16"/>
      <c r="F1295" s="16"/>
      <c r="G1295" s="16"/>
      <c r="H1295" s="16"/>
      <c r="I1295" s="16"/>
      <c r="J1295" s="16"/>
      <c r="K1295" s="16"/>
      <c r="L1295" s="16"/>
      <c r="M1295" s="16"/>
    </row>
    <row r="1296" spans="5:13" x14ac:dyDescent="0.4">
      <c r="E1296" s="16"/>
      <c r="F1296" s="16"/>
      <c r="G1296" s="16"/>
      <c r="H1296" s="16"/>
      <c r="I1296" s="16"/>
      <c r="J1296" s="16"/>
      <c r="K1296" s="16"/>
      <c r="L1296" s="16"/>
      <c r="M1296" s="16"/>
    </row>
    <row r="1297" spans="5:13" x14ac:dyDescent="0.4">
      <c r="E1297" s="16"/>
      <c r="F1297" s="16"/>
      <c r="G1297" s="16"/>
      <c r="H1297" s="16"/>
      <c r="I1297" s="16"/>
      <c r="J1297" s="16"/>
      <c r="K1297" s="16"/>
      <c r="L1297" s="16"/>
      <c r="M1297" s="16"/>
    </row>
    <row r="1298" spans="5:13" x14ac:dyDescent="0.4">
      <c r="E1298" s="16"/>
      <c r="F1298" s="16"/>
      <c r="G1298" s="16"/>
      <c r="H1298" s="16"/>
      <c r="I1298" s="16"/>
      <c r="J1298" s="16"/>
      <c r="K1298" s="16"/>
      <c r="L1298" s="16"/>
      <c r="M1298" s="16"/>
    </row>
    <row r="1299" spans="5:13" x14ac:dyDescent="0.4">
      <c r="E1299" s="16"/>
      <c r="F1299" s="16"/>
      <c r="G1299" s="16"/>
      <c r="H1299" s="16"/>
      <c r="I1299" s="16"/>
      <c r="J1299" s="16"/>
      <c r="K1299" s="16"/>
      <c r="L1299" s="16"/>
      <c r="M1299" s="16"/>
    </row>
    <row r="1300" spans="5:13" x14ac:dyDescent="0.4">
      <c r="E1300" s="16"/>
      <c r="F1300" s="16"/>
      <c r="G1300" s="16"/>
      <c r="H1300" s="16"/>
      <c r="I1300" s="16"/>
      <c r="J1300" s="16"/>
      <c r="K1300" s="16"/>
      <c r="L1300" s="16"/>
      <c r="M1300" s="16"/>
    </row>
    <row r="1301" spans="5:13" x14ac:dyDescent="0.4">
      <c r="E1301" s="16"/>
      <c r="F1301" s="16"/>
      <c r="G1301" s="16"/>
      <c r="H1301" s="16"/>
      <c r="I1301" s="16"/>
      <c r="J1301" s="16"/>
      <c r="K1301" s="16"/>
      <c r="L1301" s="16"/>
      <c r="M1301" s="16"/>
    </row>
    <row r="1302" spans="5:13" x14ac:dyDescent="0.4">
      <c r="E1302" s="16"/>
      <c r="F1302" s="16"/>
      <c r="G1302" s="16"/>
      <c r="H1302" s="16"/>
      <c r="I1302" s="16"/>
      <c r="J1302" s="16"/>
      <c r="K1302" s="16"/>
      <c r="L1302" s="16"/>
      <c r="M1302" s="16"/>
    </row>
    <row r="1303" spans="5:13" x14ac:dyDescent="0.4">
      <c r="E1303" s="16"/>
      <c r="F1303" s="16"/>
      <c r="G1303" s="16"/>
      <c r="H1303" s="16"/>
      <c r="I1303" s="16"/>
      <c r="J1303" s="16"/>
      <c r="K1303" s="16"/>
      <c r="L1303" s="16"/>
      <c r="M1303" s="16"/>
    </row>
    <row r="1304" spans="5:13" x14ac:dyDescent="0.4">
      <c r="E1304" s="16"/>
      <c r="F1304" s="16"/>
      <c r="G1304" s="16"/>
      <c r="H1304" s="16"/>
      <c r="I1304" s="16"/>
      <c r="J1304" s="16"/>
      <c r="K1304" s="16"/>
      <c r="L1304" s="16"/>
      <c r="M1304" s="16"/>
    </row>
    <row r="1305" spans="5:13" x14ac:dyDescent="0.4">
      <c r="E1305" s="16"/>
      <c r="F1305" s="16"/>
      <c r="G1305" s="16"/>
      <c r="H1305" s="16"/>
      <c r="I1305" s="16"/>
      <c r="J1305" s="16"/>
      <c r="K1305" s="16"/>
      <c r="L1305" s="16"/>
      <c r="M1305" s="16"/>
    </row>
    <row r="1306" spans="5:13" x14ac:dyDescent="0.4">
      <c r="E1306" s="16"/>
      <c r="F1306" s="16"/>
      <c r="G1306" s="16"/>
      <c r="H1306" s="16"/>
      <c r="I1306" s="16"/>
      <c r="J1306" s="16"/>
      <c r="K1306" s="16"/>
      <c r="L1306" s="16"/>
      <c r="M1306" s="16"/>
    </row>
    <row r="1307" spans="5:13" x14ac:dyDescent="0.4">
      <c r="E1307" s="16"/>
      <c r="F1307" s="16"/>
      <c r="G1307" s="16"/>
      <c r="H1307" s="16"/>
      <c r="I1307" s="16"/>
      <c r="J1307" s="16"/>
      <c r="K1307" s="16"/>
      <c r="L1307" s="16"/>
      <c r="M1307" s="16"/>
    </row>
    <row r="1308" spans="5:13" x14ac:dyDescent="0.4">
      <c r="E1308" s="16"/>
      <c r="F1308" s="16"/>
      <c r="G1308" s="16"/>
      <c r="H1308" s="16"/>
      <c r="I1308" s="16"/>
      <c r="J1308" s="16"/>
      <c r="K1308" s="16"/>
      <c r="L1308" s="16"/>
      <c r="M1308" s="16"/>
    </row>
    <row r="1309" spans="5:13" x14ac:dyDescent="0.4">
      <c r="E1309" s="16"/>
      <c r="F1309" s="16"/>
      <c r="G1309" s="16"/>
      <c r="H1309" s="16"/>
      <c r="I1309" s="16"/>
      <c r="J1309" s="16"/>
      <c r="K1309" s="16"/>
      <c r="L1309" s="16"/>
      <c r="M1309" s="16"/>
    </row>
    <row r="1310" spans="5:13" x14ac:dyDescent="0.4">
      <c r="E1310" s="16"/>
      <c r="F1310" s="16"/>
      <c r="G1310" s="16"/>
      <c r="H1310" s="16"/>
      <c r="I1310" s="16"/>
      <c r="J1310" s="16"/>
      <c r="K1310" s="16"/>
      <c r="L1310" s="16"/>
      <c r="M1310" s="16"/>
    </row>
    <row r="1311" spans="5:13" x14ac:dyDescent="0.4">
      <c r="E1311" s="16"/>
      <c r="F1311" s="16"/>
      <c r="G1311" s="16"/>
      <c r="H1311" s="16"/>
      <c r="I1311" s="16"/>
      <c r="J1311" s="16"/>
      <c r="K1311" s="16"/>
      <c r="L1311" s="16"/>
      <c r="M1311" s="16"/>
    </row>
    <row r="1312" spans="5:13" x14ac:dyDescent="0.4">
      <c r="E1312" s="16"/>
      <c r="F1312" s="16"/>
      <c r="G1312" s="16"/>
      <c r="H1312" s="16"/>
      <c r="I1312" s="16"/>
      <c r="J1312" s="16"/>
      <c r="K1312" s="16"/>
      <c r="L1312" s="16"/>
      <c r="M1312" s="16"/>
    </row>
    <row r="1313" spans="5:13" x14ac:dyDescent="0.4">
      <c r="E1313" s="16"/>
      <c r="F1313" s="16"/>
      <c r="G1313" s="16"/>
      <c r="H1313" s="16"/>
      <c r="I1313" s="16"/>
      <c r="J1313" s="16"/>
      <c r="K1313" s="16"/>
      <c r="L1313" s="16"/>
      <c r="M1313" s="16"/>
    </row>
    <row r="1314" spans="5:13" x14ac:dyDescent="0.4">
      <c r="E1314" s="16"/>
      <c r="F1314" s="16"/>
      <c r="G1314" s="16"/>
      <c r="H1314" s="16"/>
      <c r="I1314" s="16"/>
      <c r="J1314" s="16"/>
      <c r="K1314" s="16"/>
      <c r="L1314" s="16"/>
      <c r="M1314" s="16"/>
    </row>
    <row r="1315" spans="5:13" x14ac:dyDescent="0.4">
      <c r="E1315" s="16"/>
      <c r="F1315" s="16"/>
      <c r="G1315" s="16"/>
      <c r="H1315" s="16"/>
      <c r="I1315" s="16"/>
      <c r="J1315" s="16"/>
      <c r="K1315" s="16"/>
      <c r="L1315" s="16"/>
      <c r="M1315" s="16"/>
    </row>
    <row r="1316" spans="5:13" x14ac:dyDescent="0.4">
      <c r="E1316" s="16"/>
      <c r="F1316" s="16"/>
      <c r="G1316" s="16"/>
      <c r="H1316" s="16"/>
      <c r="I1316" s="16"/>
      <c r="J1316" s="16"/>
      <c r="K1316" s="16"/>
      <c r="L1316" s="16"/>
      <c r="M1316" s="16"/>
    </row>
    <row r="1317" spans="5:13" x14ac:dyDescent="0.4">
      <c r="E1317" s="16"/>
      <c r="F1317" s="16"/>
      <c r="G1317" s="16"/>
      <c r="H1317" s="16"/>
      <c r="I1317" s="16"/>
      <c r="J1317" s="16"/>
      <c r="K1317" s="16"/>
      <c r="L1317" s="16"/>
      <c r="M1317" s="16"/>
    </row>
    <row r="1318" spans="5:13" x14ac:dyDescent="0.4">
      <c r="E1318" s="16"/>
      <c r="F1318" s="16"/>
      <c r="G1318" s="16"/>
      <c r="H1318" s="16"/>
      <c r="I1318" s="16"/>
      <c r="J1318" s="16"/>
      <c r="K1318" s="16"/>
      <c r="L1318" s="16"/>
      <c r="M1318" s="16"/>
    </row>
    <row r="1319" spans="5:13" x14ac:dyDescent="0.4">
      <c r="E1319" s="16"/>
      <c r="F1319" s="16"/>
      <c r="G1319" s="16"/>
      <c r="H1319" s="16"/>
      <c r="I1319" s="16"/>
      <c r="J1319" s="16"/>
      <c r="K1319" s="16"/>
      <c r="L1319" s="16"/>
      <c r="M1319" s="16"/>
    </row>
    <row r="1320" spans="5:13" x14ac:dyDescent="0.4">
      <c r="E1320" s="16"/>
      <c r="F1320" s="16"/>
      <c r="G1320" s="16"/>
      <c r="H1320" s="16"/>
      <c r="I1320" s="16"/>
      <c r="J1320" s="16"/>
      <c r="K1320" s="16"/>
      <c r="L1320" s="16"/>
      <c r="M1320" s="16"/>
    </row>
    <row r="1321" spans="5:13" x14ac:dyDescent="0.4">
      <c r="E1321" s="16"/>
      <c r="F1321" s="16"/>
      <c r="G1321" s="16"/>
      <c r="H1321" s="16"/>
      <c r="I1321" s="16"/>
      <c r="J1321" s="16"/>
      <c r="K1321" s="16"/>
      <c r="L1321" s="16"/>
      <c r="M1321" s="16"/>
    </row>
    <row r="1322" spans="5:13" x14ac:dyDescent="0.4">
      <c r="E1322" s="16"/>
      <c r="F1322" s="16"/>
      <c r="G1322" s="16"/>
      <c r="H1322" s="16"/>
      <c r="I1322" s="16"/>
      <c r="J1322" s="16"/>
      <c r="K1322" s="16"/>
      <c r="L1322" s="16"/>
      <c r="M1322" s="16"/>
    </row>
    <row r="1323" spans="5:13" x14ac:dyDescent="0.4">
      <c r="E1323" s="16"/>
      <c r="F1323" s="16"/>
      <c r="G1323" s="16"/>
      <c r="H1323" s="16"/>
      <c r="I1323" s="16"/>
      <c r="J1323" s="16"/>
      <c r="K1323" s="16"/>
      <c r="L1323" s="16"/>
      <c r="M1323" s="16"/>
    </row>
    <row r="1324" spans="5:13" x14ac:dyDescent="0.4">
      <c r="E1324" s="16"/>
      <c r="F1324" s="16"/>
      <c r="G1324" s="16"/>
      <c r="H1324" s="16"/>
      <c r="I1324" s="16"/>
      <c r="J1324" s="16"/>
      <c r="K1324" s="16"/>
      <c r="L1324" s="16"/>
      <c r="M1324" s="16"/>
    </row>
    <row r="1325" spans="5:13" x14ac:dyDescent="0.4">
      <c r="E1325" s="16"/>
      <c r="F1325" s="16"/>
      <c r="G1325" s="16"/>
      <c r="H1325" s="16"/>
      <c r="I1325" s="16"/>
      <c r="J1325" s="16"/>
      <c r="K1325" s="16"/>
      <c r="L1325" s="16"/>
      <c r="M1325" s="16"/>
    </row>
    <row r="1326" spans="5:13" x14ac:dyDescent="0.4">
      <c r="E1326" s="16"/>
      <c r="F1326" s="16"/>
      <c r="G1326" s="16"/>
      <c r="H1326" s="16"/>
      <c r="I1326" s="16"/>
      <c r="J1326" s="16"/>
      <c r="K1326" s="16"/>
      <c r="L1326" s="16"/>
      <c r="M1326" s="16"/>
    </row>
    <row r="1327" spans="5:13" x14ac:dyDescent="0.4">
      <c r="E1327" s="16"/>
      <c r="F1327" s="16"/>
      <c r="G1327" s="16"/>
      <c r="H1327" s="16"/>
      <c r="I1327" s="16"/>
      <c r="J1327" s="16"/>
      <c r="K1327" s="16"/>
      <c r="L1327" s="16"/>
      <c r="M1327" s="16"/>
    </row>
    <row r="1328" spans="5:13" x14ac:dyDescent="0.4">
      <c r="E1328" s="16"/>
      <c r="F1328" s="16"/>
      <c r="G1328" s="16"/>
      <c r="H1328" s="16"/>
      <c r="I1328" s="16"/>
      <c r="J1328" s="16"/>
      <c r="K1328" s="16"/>
      <c r="L1328" s="16"/>
      <c r="M1328" s="16"/>
    </row>
    <row r="1329" spans="5:13" x14ac:dyDescent="0.4">
      <c r="E1329" s="16"/>
      <c r="F1329" s="16"/>
      <c r="G1329" s="16"/>
      <c r="H1329" s="16"/>
      <c r="I1329" s="16"/>
      <c r="J1329" s="16"/>
      <c r="K1329" s="16"/>
      <c r="L1329" s="16"/>
      <c r="M1329" s="16"/>
    </row>
    <row r="1330" spans="5:13" x14ac:dyDescent="0.4">
      <c r="E1330" s="16"/>
      <c r="F1330" s="16"/>
      <c r="G1330" s="16"/>
      <c r="H1330" s="16"/>
      <c r="I1330" s="16"/>
      <c r="J1330" s="16"/>
      <c r="K1330" s="16"/>
      <c r="L1330" s="16"/>
      <c r="M1330" s="16"/>
    </row>
    <row r="1331" spans="5:13" x14ac:dyDescent="0.4">
      <c r="E1331" s="16"/>
      <c r="F1331" s="16"/>
      <c r="G1331" s="16"/>
      <c r="H1331" s="16"/>
      <c r="I1331" s="16"/>
      <c r="J1331" s="16"/>
      <c r="K1331" s="16"/>
      <c r="L1331" s="16"/>
      <c r="M1331" s="16"/>
    </row>
    <row r="1332" spans="5:13" x14ac:dyDescent="0.4">
      <c r="E1332" s="16"/>
      <c r="F1332" s="16"/>
      <c r="G1332" s="16"/>
      <c r="H1332" s="16"/>
      <c r="I1332" s="16"/>
      <c r="J1332" s="16"/>
      <c r="K1332" s="16"/>
      <c r="L1332" s="16"/>
      <c r="M1332" s="16"/>
    </row>
    <row r="1333" spans="5:13" x14ac:dyDescent="0.4">
      <c r="E1333" s="16"/>
      <c r="F1333" s="16"/>
      <c r="G1333" s="16"/>
      <c r="H1333" s="16"/>
      <c r="I1333" s="16"/>
      <c r="J1333" s="16"/>
      <c r="K1333" s="16"/>
      <c r="L1333" s="16"/>
      <c r="M1333" s="16"/>
    </row>
    <row r="1334" spans="5:13" x14ac:dyDescent="0.4">
      <c r="E1334" s="16"/>
      <c r="F1334" s="16"/>
      <c r="G1334" s="16"/>
      <c r="H1334" s="16"/>
      <c r="I1334" s="16"/>
      <c r="J1334" s="16"/>
      <c r="K1334" s="16"/>
      <c r="L1334" s="16"/>
      <c r="M1334" s="16"/>
    </row>
    <row r="1335" spans="5:13" x14ac:dyDescent="0.4">
      <c r="E1335" s="16"/>
      <c r="F1335" s="16"/>
      <c r="G1335" s="16"/>
      <c r="H1335" s="16"/>
      <c r="I1335" s="16"/>
      <c r="J1335" s="16"/>
      <c r="K1335" s="16"/>
      <c r="L1335" s="16"/>
      <c r="M1335" s="16"/>
    </row>
    <row r="1336" spans="5:13" x14ac:dyDescent="0.4">
      <c r="E1336" s="16"/>
      <c r="F1336" s="16"/>
      <c r="G1336" s="16"/>
      <c r="H1336" s="16"/>
      <c r="I1336" s="16"/>
      <c r="J1336" s="16"/>
      <c r="K1336" s="16"/>
      <c r="L1336" s="16"/>
      <c r="M1336" s="16"/>
    </row>
    <row r="1337" spans="5:13" x14ac:dyDescent="0.4">
      <c r="E1337" s="16"/>
      <c r="F1337" s="16"/>
      <c r="G1337" s="16"/>
      <c r="H1337" s="16"/>
      <c r="I1337" s="16"/>
      <c r="J1337" s="16"/>
      <c r="K1337" s="16"/>
      <c r="L1337" s="16"/>
      <c r="M1337" s="16"/>
    </row>
    <row r="1338" spans="5:13" x14ac:dyDescent="0.4">
      <c r="E1338" s="16"/>
      <c r="F1338" s="16"/>
      <c r="G1338" s="16"/>
      <c r="H1338" s="16"/>
      <c r="I1338" s="16"/>
      <c r="J1338" s="16"/>
      <c r="K1338" s="16"/>
      <c r="L1338" s="16"/>
      <c r="M1338" s="16"/>
    </row>
    <row r="1339" spans="5:13" x14ac:dyDescent="0.4">
      <c r="E1339" s="16"/>
      <c r="F1339" s="16"/>
      <c r="G1339" s="16"/>
      <c r="H1339" s="16"/>
      <c r="I1339" s="16"/>
      <c r="J1339" s="16"/>
      <c r="K1339" s="16"/>
      <c r="L1339" s="16"/>
      <c r="M1339" s="16"/>
    </row>
    <row r="1340" spans="5:13" x14ac:dyDescent="0.4">
      <c r="E1340" s="16"/>
      <c r="F1340" s="16"/>
      <c r="G1340" s="16"/>
      <c r="H1340" s="16"/>
      <c r="I1340" s="16"/>
      <c r="J1340" s="16"/>
      <c r="K1340" s="16"/>
      <c r="L1340" s="16"/>
      <c r="M1340" s="16"/>
    </row>
    <row r="1341" spans="5:13" x14ac:dyDescent="0.4">
      <c r="E1341" s="16"/>
      <c r="F1341" s="16"/>
      <c r="G1341" s="16"/>
      <c r="H1341" s="16"/>
      <c r="I1341" s="16"/>
      <c r="J1341" s="16"/>
      <c r="K1341" s="16"/>
      <c r="L1341" s="16"/>
      <c r="M1341" s="16"/>
    </row>
    <row r="1342" spans="5:13" x14ac:dyDescent="0.4">
      <c r="E1342" s="16"/>
      <c r="F1342" s="16"/>
      <c r="G1342" s="16"/>
      <c r="H1342" s="16"/>
      <c r="I1342" s="16"/>
      <c r="J1342" s="16"/>
      <c r="K1342" s="16"/>
      <c r="L1342" s="16"/>
      <c r="M1342" s="16"/>
    </row>
    <row r="1343" spans="5:13" x14ac:dyDescent="0.4">
      <c r="E1343" s="16"/>
      <c r="F1343" s="16"/>
      <c r="G1343" s="16"/>
      <c r="H1343" s="16"/>
      <c r="I1343" s="16"/>
      <c r="J1343" s="16"/>
      <c r="K1343" s="16"/>
      <c r="L1343" s="16"/>
      <c r="M1343" s="16"/>
    </row>
    <row r="1344" spans="5:13" x14ac:dyDescent="0.4">
      <c r="E1344" s="16"/>
      <c r="F1344" s="16"/>
      <c r="G1344" s="16"/>
      <c r="H1344" s="16"/>
      <c r="I1344" s="16"/>
      <c r="J1344" s="16"/>
      <c r="K1344" s="16"/>
      <c r="L1344" s="16"/>
      <c r="M1344" s="16"/>
    </row>
    <row r="1345" spans="5:13" x14ac:dyDescent="0.4">
      <c r="E1345" s="16"/>
      <c r="F1345" s="16"/>
      <c r="G1345" s="16"/>
      <c r="H1345" s="16"/>
      <c r="I1345" s="16"/>
      <c r="J1345" s="16"/>
      <c r="K1345" s="16"/>
      <c r="L1345" s="16"/>
      <c r="M1345" s="16"/>
    </row>
    <row r="1346" spans="5:13" x14ac:dyDescent="0.4">
      <c r="E1346" s="16"/>
      <c r="F1346" s="16"/>
      <c r="G1346" s="16"/>
      <c r="H1346" s="16"/>
      <c r="I1346" s="16"/>
      <c r="J1346" s="16"/>
      <c r="K1346" s="16"/>
      <c r="L1346" s="16"/>
      <c r="M1346" s="16"/>
    </row>
    <row r="1347" spans="5:13" x14ac:dyDescent="0.4">
      <c r="E1347" s="16"/>
      <c r="F1347" s="16"/>
      <c r="G1347" s="16"/>
      <c r="H1347" s="16"/>
      <c r="I1347" s="16"/>
      <c r="J1347" s="16"/>
      <c r="K1347" s="16"/>
      <c r="L1347" s="16"/>
      <c r="M1347" s="16"/>
    </row>
    <row r="1348" spans="5:13" x14ac:dyDescent="0.4">
      <c r="E1348" s="16"/>
      <c r="F1348" s="16"/>
      <c r="G1348" s="16"/>
      <c r="H1348" s="16"/>
      <c r="I1348" s="16"/>
      <c r="J1348" s="16"/>
      <c r="K1348" s="16"/>
      <c r="L1348" s="16"/>
      <c r="M1348" s="16"/>
    </row>
    <row r="1349" spans="5:13" x14ac:dyDescent="0.4">
      <c r="E1349" s="16"/>
      <c r="F1349" s="16"/>
      <c r="G1349" s="16"/>
      <c r="H1349" s="16"/>
      <c r="I1349" s="16"/>
      <c r="J1349" s="16"/>
      <c r="K1349" s="16"/>
      <c r="L1349" s="16"/>
      <c r="M1349" s="16"/>
    </row>
    <row r="1350" spans="5:13" x14ac:dyDescent="0.4">
      <c r="E1350" s="16"/>
      <c r="F1350" s="16"/>
      <c r="G1350" s="16"/>
      <c r="H1350" s="16"/>
      <c r="I1350" s="16"/>
      <c r="J1350" s="16"/>
      <c r="K1350" s="16"/>
      <c r="L1350" s="16"/>
      <c r="M1350" s="16"/>
    </row>
    <row r="1351" spans="5:13" x14ac:dyDescent="0.4">
      <c r="E1351" s="16"/>
      <c r="F1351" s="16"/>
      <c r="G1351" s="16"/>
      <c r="H1351" s="16"/>
      <c r="I1351" s="16"/>
      <c r="J1351" s="16"/>
      <c r="K1351" s="16"/>
      <c r="L1351" s="16"/>
      <c r="M1351" s="16"/>
    </row>
    <row r="1352" spans="5:13" x14ac:dyDescent="0.4">
      <c r="E1352" s="16"/>
      <c r="F1352" s="16"/>
      <c r="G1352" s="16"/>
      <c r="H1352" s="16"/>
      <c r="I1352" s="16"/>
      <c r="J1352" s="16"/>
      <c r="K1352" s="16"/>
      <c r="L1352" s="16"/>
      <c r="M1352" s="16"/>
    </row>
    <row r="1353" spans="5:13" x14ac:dyDescent="0.4">
      <c r="E1353" s="16"/>
      <c r="F1353" s="16"/>
      <c r="G1353" s="16"/>
      <c r="H1353" s="16"/>
      <c r="I1353" s="16"/>
      <c r="J1353" s="16"/>
      <c r="K1353" s="16"/>
      <c r="L1353" s="16"/>
      <c r="M1353" s="16"/>
    </row>
    <row r="1354" spans="5:13" x14ac:dyDescent="0.4">
      <c r="E1354" s="16"/>
      <c r="F1354" s="16"/>
      <c r="G1354" s="16"/>
      <c r="H1354" s="16"/>
      <c r="I1354" s="16"/>
      <c r="J1354" s="16"/>
      <c r="K1354" s="16"/>
      <c r="L1354" s="16"/>
      <c r="M1354" s="16"/>
    </row>
    <row r="1355" spans="5:13" x14ac:dyDescent="0.4">
      <c r="E1355" s="16"/>
      <c r="F1355" s="16"/>
      <c r="G1355" s="16"/>
      <c r="H1355" s="16"/>
      <c r="I1355" s="16"/>
      <c r="J1355" s="16"/>
      <c r="K1355" s="16"/>
      <c r="L1355" s="16"/>
      <c r="M1355" s="16"/>
    </row>
    <row r="1356" spans="5:13" x14ac:dyDescent="0.4">
      <c r="E1356" s="16"/>
      <c r="F1356" s="16"/>
      <c r="G1356" s="16"/>
      <c r="H1356" s="16"/>
      <c r="I1356" s="16"/>
      <c r="J1356" s="16"/>
      <c r="K1356" s="16"/>
      <c r="L1356" s="16"/>
      <c r="M1356" s="16"/>
    </row>
    <row r="1357" spans="5:13" x14ac:dyDescent="0.4">
      <c r="E1357" s="16"/>
      <c r="F1357" s="16"/>
      <c r="G1357" s="16"/>
      <c r="H1357" s="16"/>
      <c r="I1357" s="16"/>
      <c r="J1357" s="16"/>
      <c r="K1357" s="16"/>
      <c r="L1357" s="16"/>
      <c r="M1357" s="16"/>
    </row>
    <row r="1358" spans="5:13" x14ac:dyDescent="0.4">
      <c r="E1358" s="16"/>
      <c r="F1358" s="16"/>
      <c r="G1358" s="16"/>
      <c r="H1358" s="16"/>
      <c r="I1358" s="16"/>
      <c r="J1358" s="16"/>
      <c r="K1358" s="16"/>
      <c r="L1358" s="16"/>
      <c r="M1358" s="16"/>
    </row>
    <row r="1359" spans="5:13" x14ac:dyDescent="0.4">
      <c r="E1359" s="16"/>
      <c r="F1359" s="16"/>
      <c r="G1359" s="16"/>
      <c r="H1359" s="16"/>
      <c r="I1359" s="16"/>
      <c r="J1359" s="16"/>
      <c r="K1359" s="16"/>
      <c r="L1359" s="16"/>
      <c r="M1359" s="16"/>
    </row>
    <row r="1360" spans="5:13" x14ac:dyDescent="0.4">
      <c r="E1360" s="16"/>
      <c r="F1360" s="16"/>
      <c r="G1360" s="16"/>
      <c r="H1360" s="16"/>
      <c r="I1360" s="16"/>
      <c r="J1360" s="16"/>
      <c r="K1360" s="16"/>
      <c r="L1360" s="16"/>
      <c r="M1360" s="16"/>
    </row>
    <row r="1361" spans="5:13" x14ac:dyDescent="0.4">
      <c r="E1361" s="16"/>
      <c r="F1361" s="16"/>
      <c r="G1361" s="16"/>
      <c r="H1361" s="16"/>
      <c r="I1361" s="16"/>
      <c r="J1361" s="16"/>
      <c r="K1361" s="16"/>
      <c r="L1361" s="16"/>
      <c r="M1361" s="16"/>
    </row>
    <row r="1362" spans="5:13" x14ac:dyDescent="0.4">
      <c r="E1362" s="16"/>
      <c r="F1362" s="16"/>
      <c r="G1362" s="16"/>
      <c r="H1362" s="16"/>
      <c r="I1362" s="16"/>
      <c r="J1362" s="16"/>
      <c r="K1362" s="16"/>
      <c r="L1362" s="16"/>
      <c r="M1362" s="16"/>
    </row>
    <row r="1363" spans="5:13" x14ac:dyDescent="0.4">
      <c r="E1363" s="16"/>
      <c r="F1363" s="16"/>
      <c r="G1363" s="16"/>
      <c r="H1363" s="16"/>
      <c r="I1363" s="16"/>
      <c r="J1363" s="16"/>
      <c r="K1363" s="16"/>
      <c r="L1363" s="16"/>
      <c r="M1363" s="16"/>
    </row>
    <row r="1364" spans="5:13" x14ac:dyDescent="0.4">
      <c r="E1364" s="16"/>
      <c r="F1364" s="16"/>
      <c r="G1364" s="16"/>
      <c r="H1364" s="16"/>
      <c r="I1364" s="16"/>
      <c r="J1364" s="16"/>
      <c r="K1364" s="16"/>
      <c r="L1364" s="16"/>
      <c r="M1364" s="16"/>
    </row>
    <row r="1365" spans="5:13" x14ac:dyDescent="0.4">
      <c r="E1365" s="16"/>
      <c r="F1365" s="16"/>
      <c r="G1365" s="16"/>
      <c r="H1365" s="16"/>
      <c r="I1365" s="16"/>
      <c r="J1365" s="16"/>
      <c r="K1365" s="16"/>
      <c r="L1365" s="16"/>
      <c r="M1365" s="16"/>
    </row>
    <row r="1366" spans="5:13" x14ac:dyDescent="0.4">
      <c r="E1366" s="16"/>
      <c r="F1366" s="16"/>
      <c r="G1366" s="16"/>
      <c r="H1366" s="16"/>
      <c r="I1366" s="16"/>
      <c r="J1366" s="16"/>
      <c r="K1366" s="16"/>
      <c r="L1366" s="16"/>
      <c r="M1366" s="16"/>
    </row>
    <row r="1367" spans="5:13" x14ac:dyDescent="0.4">
      <c r="E1367" s="16"/>
      <c r="F1367" s="16"/>
      <c r="G1367" s="16"/>
      <c r="H1367" s="16"/>
      <c r="I1367" s="16"/>
      <c r="J1367" s="16"/>
      <c r="K1367" s="16"/>
      <c r="L1367" s="16"/>
      <c r="M1367" s="16"/>
    </row>
    <row r="1368" spans="5:13" x14ac:dyDescent="0.4">
      <c r="E1368" s="16"/>
      <c r="F1368" s="16"/>
      <c r="G1368" s="16"/>
      <c r="H1368" s="16"/>
      <c r="I1368" s="16"/>
      <c r="J1368" s="16"/>
      <c r="K1368" s="16"/>
      <c r="L1368" s="16"/>
      <c r="M1368" s="16"/>
    </row>
    <row r="1369" spans="5:13" x14ac:dyDescent="0.4">
      <c r="E1369" s="16"/>
      <c r="F1369" s="16"/>
      <c r="G1369" s="16"/>
      <c r="H1369" s="16"/>
      <c r="I1369" s="16"/>
      <c r="J1369" s="16"/>
      <c r="K1369" s="16"/>
      <c r="L1369" s="16"/>
      <c r="M1369" s="16"/>
    </row>
    <row r="1370" spans="5:13" x14ac:dyDescent="0.4">
      <c r="E1370" s="16"/>
      <c r="F1370" s="16"/>
      <c r="G1370" s="16"/>
      <c r="H1370" s="16"/>
      <c r="I1370" s="16"/>
      <c r="J1370" s="16"/>
      <c r="K1370" s="16"/>
      <c r="L1370" s="16"/>
      <c r="M1370" s="16"/>
    </row>
    <row r="1371" spans="5:13" x14ac:dyDescent="0.4">
      <c r="E1371" s="16"/>
      <c r="F1371" s="16"/>
      <c r="G1371" s="16"/>
      <c r="H1371" s="16"/>
      <c r="I1371" s="16"/>
      <c r="J1371" s="16"/>
      <c r="K1371" s="16"/>
      <c r="L1371" s="16"/>
      <c r="M1371" s="16"/>
    </row>
    <row r="1372" spans="5:13" x14ac:dyDescent="0.4">
      <c r="E1372" s="16"/>
      <c r="F1372" s="16"/>
      <c r="G1372" s="16"/>
      <c r="H1372" s="16"/>
      <c r="I1372" s="16"/>
      <c r="J1372" s="16"/>
      <c r="K1372" s="16"/>
      <c r="L1372" s="16"/>
      <c r="M1372" s="16"/>
    </row>
    <row r="1373" spans="5:13" x14ac:dyDescent="0.4">
      <c r="E1373" s="16"/>
      <c r="F1373" s="16"/>
      <c r="G1373" s="16"/>
      <c r="H1373" s="16"/>
      <c r="I1373" s="16"/>
      <c r="J1373" s="16"/>
      <c r="K1373" s="16"/>
      <c r="L1373" s="16"/>
      <c r="M1373" s="16"/>
    </row>
    <row r="1374" spans="5:13" x14ac:dyDescent="0.4">
      <c r="E1374" s="16"/>
      <c r="F1374" s="16"/>
      <c r="G1374" s="16"/>
      <c r="H1374" s="16"/>
      <c r="I1374" s="16"/>
      <c r="J1374" s="16"/>
      <c r="K1374" s="16"/>
      <c r="L1374" s="16"/>
      <c r="M1374" s="16"/>
    </row>
    <row r="1375" spans="5:13" x14ac:dyDescent="0.4">
      <c r="E1375" s="16"/>
      <c r="F1375" s="16"/>
      <c r="G1375" s="16"/>
      <c r="H1375" s="16"/>
      <c r="I1375" s="16"/>
      <c r="J1375" s="16"/>
      <c r="K1375" s="16"/>
      <c r="L1375" s="16"/>
      <c r="M1375" s="16"/>
    </row>
    <row r="1376" spans="5:13" x14ac:dyDescent="0.4">
      <c r="E1376" s="16"/>
      <c r="F1376" s="16"/>
      <c r="G1376" s="16"/>
      <c r="H1376" s="16"/>
      <c r="I1376" s="16"/>
      <c r="J1376" s="16"/>
      <c r="K1376" s="16"/>
      <c r="L1376" s="16"/>
      <c r="M1376" s="16"/>
    </row>
    <row r="1377" spans="5:13" x14ac:dyDescent="0.4">
      <c r="E1377" s="16"/>
      <c r="F1377" s="16"/>
      <c r="G1377" s="16"/>
      <c r="H1377" s="16"/>
      <c r="I1377" s="16"/>
      <c r="J1377" s="16"/>
      <c r="K1377" s="16"/>
      <c r="L1377" s="16"/>
      <c r="M1377" s="16"/>
    </row>
    <row r="1378" spans="5:13" x14ac:dyDescent="0.4">
      <c r="E1378" s="16"/>
      <c r="F1378" s="16"/>
      <c r="G1378" s="16"/>
      <c r="H1378" s="16"/>
      <c r="I1378" s="16"/>
      <c r="J1378" s="16"/>
      <c r="K1378" s="16"/>
      <c r="L1378" s="16"/>
      <c r="M1378" s="16"/>
    </row>
    <row r="1379" spans="5:13" x14ac:dyDescent="0.4">
      <c r="E1379" s="16"/>
      <c r="F1379" s="16"/>
      <c r="G1379" s="16"/>
      <c r="H1379" s="16"/>
      <c r="I1379" s="16"/>
      <c r="J1379" s="16"/>
      <c r="K1379" s="16"/>
      <c r="L1379" s="16"/>
      <c r="M1379" s="16"/>
    </row>
    <row r="1380" spans="5:13" x14ac:dyDescent="0.4">
      <c r="E1380" s="16"/>
      <c r="F1380" s="16"/>
      <c r="G1380" s="16"/>
      <c r="H1380" s="16"/>
      <c r="I1380" s="16"/>
      <c r="J1380" s="16"/>
      <c r="K1380" s="16"/>
      <c r="L1380" s="16"/>
      <c r="M1380" s="16"/>
    </row>
    <row r="1381" spans="5:13" x14ac:dyDescent="0.4">
      <c r="E1381" s="16"/>
      <c r="F1381" s="16"/>
      <c r="G1381" s="16"/>
      <c r="H1381" s="16"/>
      <c r="I1381" s="16"/>
      <c r="J1381" s="16"/>
      <c r="K1381" s="16"/>
      <c r="L1381" s="16"/>
      <c r="M1381" s="16"/>
    </row>
    <row r="1382" spans="5:13" x14ac:dyDescent="0.4">
      <c r="E1382" s="16"/>
      <c r="F1382" s="16"/>
      <c r="G1382" s="16"/>
      <c r="H1382" s="16"/>
      <c r="I1382" s="16"/>
      <c r="J1382" s="16"/>
      <c r="K1382" s="16"/>
      <c r="L1382" s="16"/>
      <c r="M1382" s="16"/>
    </row>
    <row r="1383" spans="5:13" x14ac:dyDescent="0.4">
      <c r="E1383" s="16"/>
      <c r="F1383" s="16"/>
      <c r="G1383" s="16"/>
      <c r="H1383" s="16"/>
      <c r="I1383" s="16"/>
      <c r="J1383" s="16"/>
      <c r="K1383" s="16"/>
      <c r="L1383" s="16"/>
      <c r="M1383" s="16"/>
    </row>
    <row r="1384" spans="5:13" x14ac:dyDescent="0.4">
      <c r="E1384" s="16"/>
      <c r="F1384" s="16"/>
      <c r="G1384" s="16"/>
      <c r="H1384" s="16"/>
      <c r="I1384" s="16"/>
      <c r="J1384" s="16"/>
      <c r="K1384" s="16"/>
      <c r="L1384" s="16"/>
      <c r="M1384" s="16"/>
    </row>
    <row r="1385" spans="5:13" x14ac:dyDescent="0.4">
      <c r="E1385" s="16"/>
      <c r="F1385" s="16"/>
      <c r="G1385" s="16"/>
      <c r="H1385" s="16"/>
      <c r="I1385" s="16"/>
      <c r="J1385" s="16"/>
      <c r="K1385" s="16"/>
      <c r="L1385" s="16"/>
      <c r="M1385" s="16"/>
    </row>
    <row r="1386" spans="5:13" x14ac:dyDescent="0.4">
      <c r="E1386" s="16"/>
      <c r="F1386" s="16"/>
      <c r="G1386" s="16"/>
      <c r="H1386" s="16"/>
      <c r="I1386" s="16"/>
      <c r="J1386" s="16"/>
      <c r="K1386" s="16"/>
      <c r="L1386" s="16"/>
      <c r="M1386" s="16"/>
    </row>
    <row r="1387" spans="5:13" x14ac:dyDescent="0.4">
      <c r="E1387" s="16"/>
      <c r="F1387" s="16"/>
      <c r="G1387" s="16"/>
      <c r="H1387" s="16"/>
      <c r="I1387" s="16"/>
      <c r="J1387" s="16"/>
      <c r="K1387" s="16"/>
      <c r="L1387" s="16"/>
      <c r="M1387" s="16"/>
    </row>
    <row r="1388" spans="5:13" x14ac:dyDescent="0.4">
      <c r="E1388" s="16"/>
      <c r="F1388" s="16"/>
      <c r="G1388" s="16"/>
      <c r="H1388" s="16"/>
      <c r="I1388" s="16"/>
      <c r="J1388" s="16"/>
      <c r="K1388" s="16"/>
      <c r="L1388" s="16"/>
      <c r="M1388" s="16"/>
    </row>
    <row r="1389" spans="5:13" x14ac:dyDescent="0.4">
      <c r="E1389" s="16"/>
      <c r="F1389" s="16"/>
      <c r="G1389" s="16"/>
      <c r="H1389" s="16"/>
      <c r="I1389" s="16"/>
      <c r="J1389" s="16"/>
      <c r="K1389" s="16"/>
      <c r="L1389" s="16"/>
      <c r="M1389" s="16"/>
    </row>
    <row r="1390" spans="5:13" x14ac:dyDescent="0.4">
      <c r="E1390" s="16"/>
      <c r="F1390" s="16"/>
      <c r="G1390" s="16"/>
      <c r="H1390" s="16"/>
      <c r="I1390" s="16"/>
      <c r="J1390" s="16"/>
      <c r="K1390" s="16"/>
      <c r="L1390" s="16"/>
      <c r="M1390" s="16"/>
    </row>
    <row r="1391" spans="5:13" x14ac:dyDescent="0.4">
      <c r="E1391" s="16"/>
      <c r="F1391" s="16"/>
      <c r="G1391" s="16"/>
      <c r="H1391" s="16"/>
      <c r="I1391" s="16"/>
      <c r="J1391" s="16"/>
      <c r="K1391" s="16"/>
      <c r="L1391" s="16"/>
      <c r="M1391" s="16"/>
    </row>
    <row r="1392" spans="5:13" x14ac:dyDescent="0.4">
      <c r="E1392" s="16"/>
      <c r="F1392" s="16"/>
      <c r="G1392" s="16"/>
      <c r="H1392" s="16"/>
      <c r="I1392" s="16"/>
      <c r="J1392" s="16"/>
      <c r="K1392" s="16"/>
      <c r="L1392" s="16"/>
      <c r="M1392" s="16"/>
    </row>
    <row r="1393" spans="5:13" x14ac:dyDescent="0.4">
      <c r="E1393" s="16"/>
      <c r="F1393" s="16"/>
      <c r="G1393" s="16"/>
      <c r="H1393" s="16"/>
      <c r="I1393" s="16"/>
      <c r="J1393" s="16"/>
      <c r="K1393" s="16"/>
      <c r="L1393" s="16"/>
      <c r="M1393" s="16"/>
    </row>
    <row r="1394" spans="5:13" x14ac:dyDescent="0.4">
      <c r="E1394" s="16"/>
      <c r="F1394" s="16"/>
      <c r="G1394" s="16"/>
      <c r="H1394" s="16"/>
      <c r="I1394" s="16"/>
      <c r="J1394" s="16"/>
      <c r="K1394" s="16"/>
      <c r="L1394" s="16"/>
      <c r="M1394" s="16"/>
    </row>
    <row r="1395" spans="5:13" x14ac:dyDescent="0.4">
      <c r="E1395" s="16"/>
      <c r="F1395" s="16"/>
      <c r="G1395" s="16"/>
      <c r="H1395" s="16"/>
      <c r="I1395" s="16"/>
      <c r="J1395" s="16"/>
      <c r="K1395" s="16"/>
      <c r="L1395" s="16"/>
      <c r="M1395" s="16"/>
    </row>
    <row r="1396" spans="5:13" x14ac:dyDescent="0.4">
      <c r="E1396" s="16"/>
      <c r="F1396" s="16"/>
      <c r="G1396" s="16"/>
      <c r="H1396" s="16"/>
      <c r="I1396" s="16"/>
      <c r="J1396" s="16"/>
      <c r="K1396" s="16"/>
      <c r="L1396" s="16"/>
      <c r="M1396" s="16"/>
    </row>
    <row r="1397" spans="5:13" x14ac:dyDescent="0.4">
      <c r="E1397" s="16"/>
      <c r="F1397" s="16"/>
      <c r="G1397" s="16"/>
      <c r="H1397" s="16"/>
      <c r="I1397" s="16"/>
      <c r="J1397" s="16"/>
      <c r="K1397" s="16"/>
      <c r="L1397" s="16"/>
      <c r="M1397" s="16"/>
    </row>
    <row r="1398" spans="5:13" x14ac:dyDescent="0.4">
      <c r="E1398" s="16"/>
      <c r="F1398" s="16"/>
      <c r="G1398" s="16"/>
      <c r="H1398" s="16"/>
      <c r="I1398" s="16"/>
      <c r="J1398" s="16"/>
      <c r="K1398" s="16"/>
      <c r="L1398" s="16"/>
      <c r="M1398" s="16"/>
    </row>
    <row r="1399" spans="5:13" x14ac:dyDescent="0.4">
      <c r="E1399" s="16"/>
      <c r="F1399" s="16"/>
      <c r="G1399" s="16"/>
      <c r="H1399" s="16"/>
      <c r="I1399" s="16"/>
      <c r="J1399" s="16"/>
      <c r="K1399" s="16"/>
      <c r="L1399" s="16"/>
      <c r="M1399" s="16"/>
    </row>
    <row r="1400" spans="5:13" x14ac:dyDescent="0.4">
      <c r="E1400" s="16"/>
      <c r="F1400" s="16"/>
      <c r="G1400" s="16"/>
      <c r="H1400" s="16"/>
      <c r="I1400" s="16"/>
      <c r="J1400" s="16"/>
      <c r="K1400" s="16"/>
      <c r="L1400" s="16"/>
      <c r="M1400" s="16"/>
    </row>
    <row r="1401" spans="5:13" x14ac:dyDescent="0.4">
      <c r="E1401" s="16"/>
      <c r="F1401" s="16"/>
      <c r="G1401" s="16"/>
      <c r="H1401" s="16"/>
      <c r="I1401" s="16"/>
      <c r="J1401" s="16"/>
      <c r="K1401" s="16"/>
      <c r="L1401" s="16"/>
      <c r="M1401" s="16"/>
    </row>
    <row r="1402" spans="5:13" x14ac:dyDescent="0.4">
      <c r="E1402" s="16"/>
      <c r="F1402" s="16"/>
      <c r="G1402" s="16"/>
      <c r="H1402" s="16"/>
      <c r="I1402" s="16"/>
      <c r="J1402" s="16"/>
      <c r="K1402" s="16"/>
      <c r="L1402" s="16"/>
      <c r="M1402" s="16"/>
    </row>
    <row r="1403" spans="5:13" x14ac:dyDescent="0.4">
      <c r="E1403" s="16"/>
      <c r="F1403" s="16"/>
      <c r="G1403" s="16"/>
      <c r="H1403" s="16"/>
      <c r="I1403" s="16"/>
      <c r="J1403" s="16"/>
      <c r="K1403" s="16"/>
      <c r="L1403" s="16"/>
      <c r="M1403" s="16"/>
    </row>
    <row r="1404" spans="5:13" x14ac:dyDescent="0.4">
      <c r="E1404" s="16"/>
      <c r="F1404" s="16"/>
      <c r="G1404" s="16"/>
      <c r="H1404" s="16"/>
      <c r="I1404" s="16"/>
      <c r="J1404" s="16"/>
      <c r="K1404" s="16"/>
      <c r="L1404" s="16"/>
      <c r="M1404" s="16"/>
    </row>
    <row r="1405" spans="5:13" x14ac:dyDescent="0.4">
      <c r="E1405" s="16"/>
      <c r="F1405" s="16"/>
      <c r="G1405" s="16"/>
      <c r="H1405" s="16"/>
      <c r="I1405" s="16"/>
      <c r="J1405" s="16"/>
      <c r="K1405" s="16"/>
      <c r="L1405" s="16"/>
      <c r="M1405" s="16"/>
    </row>
    <row r="1406" spans="5:13" x14ac:dyDescent="0.4">
      <c r="E1406" s="16"/>
      <c r="F1406" s="16"/>
      <c r="G1406" s="16"/>
      <c r="H1406" s="16"/>
      <c r="I1406" s="16"/>
      <c r="J1406" s="16"/>
      <c r="K1406" s="16"/>
      <c r="L1406" s="16"/>
      <c r="M1406" s="16"/>
    </row>
    <row r="1407" spans="5:13" x14ac:dyDescent="0.4">
      <c r="E1407" s="16"/>
      <c r="F1407" s="16"/>
      <c r="G1407" s="16"/>
      <c r="H1407" s="16"/>
      <c r="I1407" s="16"/>
      <c r="J1407" s="16"/>
      <c r="K1407" s="16"/>
      <c r="L1407" s="16"/>
      <c r="M1407" s="16"/>
    </row>
    <row r="1408" spans="5:13" x14ac:dyDescent="0.4">
      <c r="E1408" s="16"/>
      <c r="F1408" s="16"/>
      <c r="G1408" s="16"/>
      <c r="H1408" s="16"/>
      <c r="I1408" s="16"/>
      <c r="J1408" s="16"/>
      <c r="K1408" s="16"/>
      <c r="L1408" s="16"/>
      <c r="M1408" s="16"/>
    </row>
    <row r="1409" spans="5:13" x14ac:dyDescent="0.4">
      <c r="E1409" s="16"/>
      <c r="F1409" s="16"/>
      <c r="G1409" s="16"/>
      <c r="H1409" s="16"/>
      <c r="I1409" s="16"/>
      <c r="J1409" s="16"/>
      <c r="K1409" s="16"/>
      <c r="L1409" s="16"/>
      <c r="M1409" s="16"/>
    </row>
    <row r="1410" spans="5:13" x14ac:dyDescent="0.4">
      <c r="E1410" s="16"/>
      <c r="F1410" s="16"/>
      <c r="G1410" s="16"/>
      <c r="H1410" s="16"/>
      <c r="I1410" s="16"/>
      <c r="J1410" s="16"/>
      <c r="K1410" s="16"/>
      <c r="L1410" s="16"/>
      <c r="M1410" s="16"/>
    </row>
    <row r="1411" spans="5:13" x14ac:dyDescent="0.4">
      <c r="E1411" s="16"/>
      <c r="F1411" s="16"/>
      <c r="G1411" s="16"/>
      <c r="H1411" s="16"/>
      <c r="I1411" s="16"/>
      <c r="J1411" s="16"/>
      <c r="K1411" s="16"/>
      <c r="L1411" s="16"/>
      <c r="M1411" s="16"/>
    </row>
    <row r="1412" spans="5:13" x14ac:dyDescent="0.4">
      <c r="E1412" s="16"/>
      <c r="F1412" s="16"/>
      <c r="G1412" s="16"/>
      <c r="H1412" s="16"/>
      <c r="I1412" s="16"/>
      <c r="J1412" s="16"/>
      <c r="K1412" s="16"/>
      <c r="L1412" s="16"/>
      <c r="M1412" s="16"/>
    </row>
    <row r="1413" spans="5:13" x14ac:dyDescent="0.4">
      <c r="E1413" s="16"/>
      <c r="F1413" s="16"/>
      <c r="G1413" s="16"/>
      <c r="H1413" s="16"/>
      <c r="I1413" s="16"/>
      <c r="J1413" s="16"/>
      <c r="K1413" s="16"/>
      <c r="L1413" s="16"/>
      <c r="M1413" s="16"/>
    </row>
    <row r="1414" spans="5:13" x14ac:dyDescent="0.4">
      <c r="E1414" s="16"/>
      <c r="F1414" s="16"/>
      <c r="G1414" s="16"/>
      <c r="H1414" s="16"/>
      <c r="I1414" s="16"/>
      <c r="J1414" s="16"/>
      <c r="K1414" s="16"/>
      <c r="L1414" s="16"/>
      <c r="M1414" s="16"/>
    </row>
    <row r="1415" spans="5:13" x14ac:dyDescent="0.4">
      <c r="E1415" s="16"/>
      <c r="F1415" s="16"/>
      <c r="G1415" s="16"/>
      <c r="H1415" s="16"/>
      <c r="I1415" s="16"/>
      <c r="J1415" s="16"/>
      <c r="K1415" s="16"/>
      <c r="L1415" s="16"/>
      <c r="M1415" s="16"/>
    </row>
    <row r="1416" spans="5:13" x14ac:dyDescent="0.4">
      <c r="E1416" s="16"/>
      <c r="F1416" s="16"/>
      <c r="G1416" s="16"/>
      <c r="H1416" s="16"/>
      <c r="I1416" s="16"/>
      <c r="J1416" s="16"/>
      <c r="K1416" s="16"/>
      <c r="L1416" s="16"/>
      <c r="M1416" s="16"/>
    </row>
    <row r="1417" spans="5:13" x14ac:dyDescent="0.4">
      <c r="E1417" s="16"/>
      <c r="F1417" s="16"/>
      <c r="G1417" s="16"/>
      <c r="H1417" s="16"/>
      <c r="I1417" s="16"/>
      <c r="J1417" s="16"/>
      <c r="K1417" s="16"/>
      <c r="L1417" s="16"/>
      <c r="M1417" s="16"/>
    </row>
    <row r="1418" spans="5:13" x14ac:dyDescent="0.4">
      <c r="E1418" s="16"/>
      <c r="F1418" s="16"/>
      <c r="G1418" s="16"/>
      <c r="H1418" s="16"/>
      <c r="I1418" s="16"/>
      <c r="J1418" s="16"/>
      <c r="K1418" s="16"/>
      <c r="L1418" s="16"/>
      <c r="M1418" s="16"/>
    </row>
    <row r="1419" spans="5:13" x14ac:dyDescent="0.4">
      <c r="E1419" s="16"/>
      <c r="F1419" s="16"/>
      <c r="G1419" s="16"/>
      <c r="H1419" s="16"/>
      <c r="I1419" s="16"/>
      <c r="J1419" s="16"/>
      <c r="K1419" s="16"/>
      <c r="L1419" s="16"/>
      <c r="M1419" s="16"/>
    </row>
    <row r="1420" spans="5:13" x14ac:dyDescent="0.4">
      <c r="E1420" s="16"/>
      <c r="F1420" s="16"/>
      <c r="G1420" s="16"/>
      <c r="H1420" s="16"/>
      <c r="I1420" s="16"/>
      <c r="J1420" s="16"/>
      <c r="K1420" s="16"/>
      <c r="L1420" s="16"/>
      <c r="M1420" s="16"/>
    </row>
    <row r="1421" spans="5:13" x14ac:dyDescent="0.4">
      <c r="E1421" s="16"/>
      <c r="F1421" s="16"/>
      <c r="G1421" s="16"/>
      <c r="H1421" s="16"/>
      <c r="I1421" s="16"/>
      <c r="J1421" s="16"/>
      <c r="K1421" s="16"/>
      <c r="L1421" s="16"/>
      <c r="M1421" s="16"/>
    </row>
    <row r="1422" spans="5:13" x14ac:dyDescent="0.4">
      <c r="E1422" s="16"/>
      <c r="F1422" s="16"/>
      <c r="G1422" s="16"/>
      <c r="H1422" s="16"/>
      <c r="I1422" s="16"/>
      <c r="J1422" s="16"/>
      <c r="K1422" s="16"/>
      <c r="L1422" s="16"/>
      <c r="M1422" s="16"/>
    </row>
    <row r="1423" spans="5:13" x14ac:dyDescent="0.4">
      <c r="E1423" s="16"/>
      <c r="F1423" s="16"/>
      <c r="G1423" s="16"/>
      <c r="H1423" s="16"/>
      <c r="I1423" s="16"/>
      <c r="J1423" s="16"/>
      <c r="K1423" s="16"/>
      <c r="L1423" s="16"/>
      <c r="M1423" s="16"/>
    </row>
    <row r="1424" spans="5:13" x14ac:dyDescent="0.4">
      <c r="E1424" s="16"/>
      <c r="F1424" s="16"/>
      <c r="G1424" s="16"/>
      <c r="H1424" s="16"/>
      <c r="I1424" s="16"/>
      <c r="J1424" s="16"/>
      <c r="K1424" s="16"/>
      <c r="L1424" s="16"/>
      <c r="M1424" s="16"/>
    </row>
    <row r="1425" spans="5:13" x14ac:dyDescent="0.4">
      <c r="E1425" s="16"/>
      <c r="F1425" s="16"/>
      <c r="G1425" s="16"/>
      <c r="H1425" s="16"/>
      <c r="I1425" s="16"/>
      <c r="J1425" s="16"/>
      <c r="K1425" s="16"/>
      <c r="L1425" s="16"/>
      <c r="M1425" s="16"/>
    </row>
    <row r="1426" spans="5:13" x14ac:dyDescent="0.4">
      <c r="E1426" s="16"/>
      <c r="F1426" s="16"/>
      <c r="G1426" s="16"/>
      <c r="H1426" s="16"/>
      <c r="I1426" s="16"/>
      <c r="J1426" s="16"/>
      <c r="K1426" s="16"/>
      <c r="L1426" s="16"/>
      <c r="M1426" s="16"/>
    </row>
    <row r="1427" spans="5:13" x14ac:dyDescent="0.4">
      <c r="E1427" s="16"/>
      <c r="F1427" s="16"/>
      <c r="G1427" s="16"/>
      <c r="H1427" s="16"/>
      <c r="I1427" s="16"/>
      <c r="J1427" s="16"/>
      <c r="K1427" s="16"/>
      <c r="L1427" s="16"/>
      <c r="M1427" s="16"/>
    </row>
    <row r="1428" spans="5:13" x14ac:dyDescent="0.4">
      <c r="E1428" s="16"/>
      <c r="F1428" s="16"/>
      <c r="G1428" s="16"/>
      <c r="H1428" s="16"/>
      <c r="I1428" s="16"/>
      <c r="J1428" s="16"/>
      <c r="K1428" s="16"/>
      <c r="L1428" s="16"/>
      <c r="M1428" s="16"/>
    </row>
    <row r="1429" spans="5:13" x14ac:dyDescent="0.4">
      <c r="E1429" s="16"/>
      <c r="F1429" s="16"/>
      <c r="G1429" s="16"/>
      <c r="H1429" s="16"/>
      <c r="I1429" s="16"/>
      <c r="J1429" s="16"/>
      <c r="K1429" s="16"/>
      <c r="L1429" s="16"/>
      <c r="M1429" s="16"/>
    </row>
    <row r="1430" spans="5:13" x14ac:dyDescent="0.4">
      <c r="E1430" s="16"/>
      <c r="F1430" s="16"/>
      <c r="G1430" s="16"/>
      <c r="H1430" s="16"/>
      <c r="I1430" s="16"/>
      <c r="J1430" s="16"/>
      <c r="K1430" s="16"/>
      <c r="L1430" s="16"/>
      <c r="M1430" s="16"/>
    </row>
    <row r="1431" spans="5:13" x14ac:dyDescent="0.4">
      <c r="E1431" s="16"/>
      <c r="F1431" s="16"/>
      <c r="G1431" s="16"/>
      <c r="H1431" s="16"/>
      <c r="I1431" s="16"/>
      <c r="J1431" s="16"/>
      <c r="K1431" s="16"/>
      <c r="L1431" s="16"/>
      <c r="M1431" s="16"/>
    </row>
    <row r="1432" spans="5:13" x14ac:dyDescent="0.4">
      <c r="E1432" s="16"/>
      <c r="F1432" s="16"/>
      <c r="G1432" s="16"/>
      <c r="H1432" s="16"/>
      <c r="I1432" s="16"/>
      <c r="J1432" s="16"/>
      <c r="K1432" s="16"/>
      <c r="L1432" s="16"/>
      <c r="M1432" s="16"/>
    </row>
    <row r="1433" spans="5:13" x14ac:dyDescent="0.4">
      <c r="E1433" s="16"/>
      <c r="F1433" s="16"/>
      <c r="G1433" s="16"/>
      <c r="H1433" s="16"/>
      <c r="I1433" s="16"/>
      <c r="J1433" s="16"/>
      <c r="K1433" s="16"/>
      <c r="L1433" s="16"/>
      <c r="M1433" s="16"/>
    </row>
    <row r="1434" spans="5:13" x14ac:dyDescent="0.4">
      <c r="E1434" s="16"/>
      <c r="F1434" s="16"/>
      <c r="G1434" s="16"/>
      <c r="H1434" s="16"/>
      <c r="I1434" s="16"/>
      <c r="J1434" s="16"/>
      <c r="K1434" s="16"/>
      <c r="L1434" s="16"/>
      <c r="M1434" s="16"/>
    </row>
    <row r="1435" spans="5:13" x14ac:dyDescent="0.4">
      <c r="E1435" s="16"/>
      <c r="F1435" s="16"/>
      <c r="G1435" s="16"/>
      <c r="H1435" s="16"/>
      <c r="I1435" s="16"/>
      <c r="J1435" s="16"/>
      <c r="K1435" s="16"/>
      <c r="L1435" s="16"/>
      <c r="M1435" s="16"/>
    </row>
    <row r="1436" spans="5:13" x14ac:dyDescent="0.4">
      <c r="E1436" s="16"/>
      <c r="F1436" s="16"/>
      <c r="G1436" s="16"/>
      <c r="H1436" s="16"/>
      <c r="I1436" s="16"/>
      <c r="J1436" s="16"/>
      <c r="K1436" s="16"/>
      <c r="L1436" s="16"/>
      <c r="M1436" s="16"/>
    </row>
    <row r="1437" spans="5:13" x14ac:dyDescent="0.4">
      <c r="E1437" s="16"/>
      <c r="F1437" s="16"/>
      <c r="G1437" s="16"/>
      <c r="H1437" s="16"/>
      <c r="I1437" s="16"/>
      <c r="J1437" s="16"/>
      <c r="K1437" s="16"/>
      <c r="L1437" s="16"/>
      <c r="M1437" s="16"/>
    </row>
    <row r="1438" spans="5:13" x14ac:dyDescent="0.4">
      <c r="E1438" s="16"/>
      <c r="F1438" s="16"/>
      <c r="G1438" s="16"/>
      <c r="H1438" s="16"/>
      <c r="I1438" s="16"/>
      <c r="J1438" s="16"/>
      <c r="K1438" s="16"/>
      <c r="L1438" s="16"/>
      <c r="M1438" s="16"/>
    </row>
    <row r="1439" spans="5:13" x14ac:dyDescent="0.4">
      <c r="E1439" s="16"/>
      <c r="F1439" s="16"/>
      <c r="G1439" s="16"/>
      <c r="H1439" s="16"/>
      <c r="I1439" s="16"/>
      <c r="J1439" s="16"/>
      <c r="K1439" s="16"/>
      <c r="L1439" s="16"/>
      <c r="M1439" s="16"/>
    </row>
    <row r="1440" spans="5:13" x14ac:dyDescent="0.4">
      <c r="E1440" s="16"/>
      <c r="F1440" s="16"/>
      <c r="G1440" s="16"/>
      <c r="H1440" s="16"/>
      <c r="I1440" s="16"/>
      <c r="J1440" s="16"/>
      <c r="K1440" s="16"/>
      <c r="L1440" s="16"/>
      <c r="M1440" s="16"/>
    </row>
    <row r="1441" spans="5:13" x14ac:dyDescent="0.4">
      <c r="E1441" s="16"/>
      <c r="F1441" s="16"/>
      <c r="G1441" s="16"/>
      <c r="H1441" s="16"/>
      <c r="I1441" s="16"/>
      <c r="J1441" s="16"/>
      <c r="K1441" s="16"/>
      <c r="L1441" s="16"/>
      <c r="M1441" s="16"/>
    </row>
    <row r="1442" spans="5:13" x14ac:dyDescent="0.4">
      <c r="E1442" s="16"/>
      <c r="F1442" s="16"/>
      <c r="G1442" s="16"/>
      <c r="H1442" s="16"/>
      <c r="I1442" s="16"/>
      <c r="J1442" s="16"/>
      <c r="K1442" s="16"/>
      <c r="L1442" s="16"/>
      <c r="M1442" s="16"/>
    </row>
    <row r="1443" spans="5:13" x14ac:dyDescent="0.4">
      <c r="E1443" s="16"/>
      <c r="F1443" s="16"/>
      <c r="G1443" s="16"/>
      <c r="H1443" s="16"/>
      <c r="I1443" s="16"/>
      <c r="J1443" s="16"/>
      <c r="K1443" s="16"/>
      <c r="L1443" s="16"/>
      <c r="M1443" s="16"/>
    </row>
    <row r="1444" spans="5:13" x14ac:dyDescent="0.4">
      <c r="E1444" s="16"/>
      <c r="F1444" s="16"/>
      <c r="G1444" s="16"/>
      <c r="H1444" s="16"/>
      <c r="I1444" s="16"/>
      <c r="J1444" s="16"/>
      <c r="K1444" s="16"/>
      <c r="L1444" s="16"/>
      <c r="M1444" s="16"/>
    </row>
    <row r="1445" spans="5:13" x14ac:dyDescent="0.4">
      <c r="E1445" s="16"/>
      <c r="F1445" s="16"/>
      <c r="G1445" s="16"/>
      <c r="H1445" s="16"/>
      <c r="I1445" s="16"/>
      <c r="J1445" s="16"/>
      <c r="K1445" s="16"/>
      <c r="L1445" s="16"/>
      <c r="M1445" s="16"/>
    </row>
    <row r="1446" spans="5:13" x14ac:dyDescent="0.4">
      <c r="E1446" s="16"/>
      <c r="F1446" s="16"/>
      <c r="G1446" s="16"/>
      <c r="H1446" s="16"/>
      <c r="I1446" s="16"/>
      <c r="J1446" s="16"/>
      <c r="K1446" s="16"/>
      <c r="L1446" s="16"/>
      <c r="M1446" s="16"/>
    </row>
    <row r="1447" spans="5:13" x14ac:dyDescent="0.4">
      <c r="E1447" s="16"/>
      <c r="F1447" s="16"/>
      <c r="G1447" s="16"/>
      <c r="H1447" s="16"/>
      <c r="I1447" s="16"/>
      <c r="J1447" s="16"/>
      <c r="K1447" s="16"/>
      <c r="L1447" s="16"/>
      <c r="M1447" s="16"/>
    </row>
    <row r="1448" spans="5:13" x14ac:dyDescent="0.4">
      <c r="E1448" s="16"/>
      <c r="F1448" s="16"/>
      <c r="G1448" s="16"/>
      <c r="H1448" s="16"/>
      <c r="I1448" s="16"/>
      <c r="J1448" s="16"/>
      <c r="K1448" s="16"/>
      <c r="L1448" s="16"/>
      <c r="M1448" s="16"/>
    </row>
    <row r="1449" spans="5:13" x14ac:dyDescent="0.4">
      <c r="E1449" s="16"/>
      <c r="F1449" s="16"/>
      <c r="G1449" s="16"/>
      <c r="H1449" s="16"/>
      <c r="I1449" s="16"/>
      <c r="J1449" s="16"/>
      <c r="K1449" s="16"/>
      <c r="L1449" s="16"/>
      <c r="M1449" s="16"/>
    </row>
    <row r="1450" spans="5:13" x14ac:dyDescent="0.4">
      <c r="E1450" s="16"/>
      <c r="F1450" s="16"/>
      <c r="G1450" s="16"/>
      <c r="H1450" s="16"/>
      <c r="I1450" s="16"/>
      <c r="J1450" s="16"/>
      <c r="K1450" s="16"/>
      <c r="L1450" s="16"/>
      <c r="M1450" s="16"/>
    </row>
    <row r="1451" spans="5:13" x14ac:dyDescent="0.4">
      <c r="E1451" s="16"/>
      <c r="F1451" s="16"/>
      <c r="G1451" s="16"/>
      <c r="H1451" s="16"/>
      <c r="I1451" s="16"/>
      <c r="J1451" s="16"/>
      <c r="K1451" s="16"/>
      <c r="L1451" s="16"/>
      <c r="M1451" s="16"/>
    </row>
    <row r="1452" spans="5:13" x14ac:dyDescent="0.4">
      <c r="E1452" s="16"/>
      <c r="F1452" s="16"/>
      <c r="G1452" s="16"/>
      <c r="H1452" s="16"/>
      <c r="I1452" s="16"/>
      <c r="J1452" s="16"/>
      <c r="K1452" s="16"/>
      <c r="L1452" s="16"/>
      <c r="M1452" s="16"/>
    </row>
    <row r="1453" spans="5:13" x14ac:dyDescent="0.4">
      <c r="E1453" s="16"/>
      <c r="F1453" s="16"/>
      <c r="G1453" s="16"/>
      <c r="H1453" s="16"/>
      <c r="I1453" s="16"/>
      <c r="J1453" s="16"/>
      <c r="K1453" s="16"/>
      <c r="L1453" s="16"/>
      <c r="M1453" s="16"/>
    </row>
    <row r="1454" spans="5:13" x14ac:dyDescent="0.4">
      <c r="E1454" s="16"/>
      <c r="F1454" s="16"/>
      <c r="G1454" s="16"/>
      <c r="H1454" s="16"/>
      <c r="I1454" s="16"/>
      <c r="J1454" s="16"/>
      <c r="K1454" s="16"/>
      <c r="L1454" s="16"/>
      <c r="M1454" s="16"/>
    </row>
    <row r="1455" spans="5:13" x14ac:dyDescent="0.4">
      <c r="E1455" s="16"/>
      <c r="F1455" s="16"/>
      <c r="G1455" s="16"/>
      <c r="H1455" s="16"/>
      <c r="I1455" s="16"/>
      <c r="J1455" s="16"/>
      <c r="K1455" s="16"/>
      <c r="L1455" s="16"/>
      <c r="M1455" s="16"/>
    </row>
    <row r="1456" spans="5:13" x14ac:dyDescent="0.4">
      <c r="E1456" s="16"/>
      <c r="F1456" s="16"/>
      <c r="G1456" s="16"/>
      <c r="H1456" s="16"/>
      <c r="I1456" s="16"/>
      <c r="J1456" s="16"/>
      <c r="K1456" s="16"/>
      <c r="L1456" s="16"/>
      <c r="M1456" s="16"/>
    </row>
    <row r="1457" spans="5:13" x14ac:dyDescent="0.4">
      <c r="E1457" s="16"/>
      <c r="F1457" s="16"/>
      <c r="G1457" s="16"/>
      <c r="H1457" s="16"/>
      <c r="I1457" s="16"/>
      <c r="J1457" s="16"/>
      <c r="K1457" s="16"/>
      <c r="L1457" s="16"/>
      <c r="M1457" s="16"/>
    </row>
    <row r="1458" spans="5:13" x14ac:dyDescent="0.4">
      <c r="E1458" s="16"/>
      <c r="F1458" s="16"/>
      <c r="G1458" s="16"/>
      <c r="H1458" s="16"/>
      <c r="I1458" s="16"/>
      <c r="J1458" s="16"/>
      <c r="K1458" s="16"/>
      <c r="L1458" s="16"/>
      <c r="M1458" s="16"/>
    </row>
    <row r="1459" spans="5:13" x14ac:dyDescent="0.4">
      <c r="E1459" s="16"/>
      <c r="F1459" s="16"/>
      <c r="G1459" s="16"/>
      <c r="H1459" s="16"/>
      <c r="I1459" s="16"/>
      <c r="J1459" s="16"/>
      <c r="K1459" s="16"/>
      <c r="L1459" s="16"/>
      <c r="M1459" s="16"/>
    </row>
    <row r="1460" spans="5:13" x14ac:dyDescent="0.4">
      <c r="E1460" s="16"/>
      <c r="F1460" s="16"/>
      <c r="G1460" s="16"/>
      <c r="H1460" s="16"/>
      <c r="I1460" s="16"/>
      <c r="J1460" s="16"/>
      <c r="K1460" s="16"/>
      <c r="L1460" s="16"/>
      <c r="M1460" s="16"/>
    </row>
    <row r="1461" spans="5:13" x14ac:dyDescent="0.4">
      <c r="E1461" s="16"/>
      <c r="F1461" s="16"/>
      <c r="G1461" s="16"/>
      <c r="H1461" s="16"/>
      <c r="I1461" s="16"/>
      <c r="J1461" s="16"/>
      <c r="K1461" s="16"/>
      <c r="L1461" s="16"/>
      <c r="M1461" s="16"/>
    </row>
    <row r="1462" spans="5:13" x14ac:dyDescent="0.4">
      <c r="E1462" s="16"/>
      <c r="F1462" s="16"/>
      <c r="G1462" s="16"/>
      <c r="H1462" s="16"/>
      <c r="I1462" s="16"/>
      <c r="J1462" s="16"/>
      <c r="K1462" s="16"/>
      <c r="L1462" s="16"/>
      <c r="M1462" s="16"/>
    </row>
    <row r="1463" spans="5:13" x14ac:dyDescent="0.4">
      <c r="E1463" s="16"/>
      <c r="F1463" s="16"/>
      <c r="G1463" s="16"/>
      <c r="H1463" s="16"/>
      <c r="I1463" s="16"/>
      <c r="J1463" s="16"/>
      <c r="K1463" s="16"/>
      <c r="L1463" s="16"/>
      <c r="M1463" s="16"/>
    </row>
    <row r="1464" spans="5:13" x14ac:dyDescent="0.4">
      <c r="E1464" s="16"/>
      <c r="F1464" s="16"/>
      <c r="G1464" s="16"/>
      <c r="H1464" s="16"/>
      <c r="I1464" s="16"/>
      <c r="J1464" s="16"/>
      <c r="K1464" s="16"/>
      <c r="L1464" s="16"/>
      <c r="M1464" s="16"/>
    </row>
    <row r="1465" spans="5:13" x14ac:dyDescent="0.4">
      <c r="E1465" s="16"/>
      <c r="F1465" s="16"/>
      <c r="G1465" s="16"/>
      <c r="H1465" s="16"/>
      <c r="I1465" s="16"/>
      <c r="J1465" s="16"/>
      <c r="K1465" s="16"/>
      <c r="L1465" s="16"/>
      <c r="M1465" s="16"/>
    </row>
    <row r="1466" spans="5:13" x14ac:dyDescent="0.4">
      <c r="E1466" s="16"/>
      <c r="F1466" s="16"/>
      <c r="G1466" s="16"/>
      <c r="H1466" s="16"/>
      <c r="I1466" s="16"/>
      <c r="J1466" s="16"/>
      <c r="K1466" s="16"/>
      <c r="L1466" s="16"/>
      <c r="M1466" s="16"/>
    </row>
    <row r="1467" spans="5:13" x14ac:dyDescent="0.4">
      <c r="E1467" s="16"/>
      <c r="F1467" s="16"/>
      <c r="G1467" s="16"/>
      <c r="H1467" s="16"/>
      <c r="I1467" s="16"/>
      <c r="J1467" s="16"/>
      <c r="K1467" s="16"/>
      <c r="L1467" s="16"/>
      <c r="M1467" s="16"/>
    </row>
    <row r="1468" spans="5:13" x14ac:dyDescent="0.4">
      <c r="E1468" s="16"/>
      <c r="F1468" s="16"/>
      <c r="G1468" s="16"/>
      <c r="H1468" s="16"/>
      <c r="I1468" s="16"/>
      <c r="J1468" s="16"/>
      <c r="K1468" s="16"/>
      <c r="L1468" s="16"/>
      <c r="M1468" s="16"/>
    </row>
    <row r="1469" spans="5:13" x14ac:dyDescent="0.4">
      <c r="E1469" s="16"/>
      <c r="F1469" s="16"/>
      <c r="G1469" s="16"/>
      <c r="H1469" s="16"/>
      <c r="I1469" s="16"/>
      <c r="J1469" s="16"/>
      <c r="K1469" s="16"/>
      <c r="L1469" s="16"/>
      <c r="M1469" s="16"/>
    </row>
    <row r="1470" spans="5:13" x14ac:dyDescent="0.4">
      <c r="E1470" s="16"/>
      <c r="F1470" s="16"/>
      <c r="G1470" s="16"/>
      <c r="H1470" s="16"/>
      <c r="I1470" s="16"/>
      <c r="J1470" s="16"/>
      <c r="K1470" s="16"/>
      <c r="L1470" s="16"/>
      <c r="M1470" s="16"/>
    </row>
    <row r="1471" spans="5:13" x14ac:dyDescent="0.4">
      <c r="E1471" s="16"/>
      <c r="F1471" s="16"/>
      <c r="G1471" s="16"/>
      <c r="H1471" s="16"/>
      <c r="I1471" s="16"/>
      <c r="J1471" s="16"/>
      <c r="K1471" s="16"/>
      <c r="L1471" s="16"/>
      <c r="M1471" s="16"/>
    </row>
    <row r="1472" spans="5:13" x14ac:dyDescent="0.4">
      <c r="E1472" s="16"/>
      <c r="F1472" s="16"/>
      <c r="G1472" s="16"/>
      <c r="H1472" s="16"/>
      <c r="I1472" s="16"/>
      <c r="J1472" s="16"/>
      <c r="K1472" s="16"/>
      <c r="L1472" s="16"/>
      <c r="M1472" s="16"/>
    </row>
    <row r="1473" spans="5:13" x14ac:dyDescent="0.4">
      <c r="E1473" s="16"/>
      <c r="F1473" s="16"/>
      <c r="G1473" s="16"/>
      <c r="H1473" s="16"/>
      <c r="I1473" s="16"/>
      <c r="J1473" s="16"/>
      <c r="K1473" s="16"/>
      <c r="L1473" s="16"/>
      <c r="M1473" s="16"/>
    </row>
    <row r="1474" spans="5:13" x14ac:dyDescent="0.4">
      <c r="E1474" s="16"/>
      <c r="F1474" s="16"/>
      <c r="G1474" s="16"/>
      <c r="H1474" s="16"/>
      <c r="I1474" s="16"/>
      <c r="J1474" s="16"/>
      <c r="K1474" s="16"/>
      <c r="L1474" s="16"/>
      <c r="M1474" s="16"/>
    </row>
    <row r="1475" spans="5:13" x14ac:dyDescent="0.4">
      <c r="E1475" s="16"/>
      <c r="F1475" s="16"/>
      <c r="G1475" s="16"/>
      <c r="H1475" s="16"/>
      <c r="I1475" s="16"/>
      <c r="J1475" s="16"/>
      <c r="K1475" s="16"/>
      <c r="L1475" s="16"/>
      <c r="M1475" s="16"/>
    </row>
    <row r="1476" spans="5:13" x14ac:dyDescent="0.4">
      <c r="E1476" s="16"/>
      <c r="F1476" s="16"/>
      <c r="G1476" s="16"/>
      <c r="H1476" s="16"/>
      <c r="I1476" s="16"/>
      <c r="J1476" s="16"/>
      <c r="K1476" s="16"/>
      <c r="L1476" s="16"/>
      <c r="M1476" s="16"/>
    </row>
    <row r="1477" spans="5:13" x14ac:dyDescent="0.4">
      <c r="E1477" s="16"/>
      <c r="F1477" s="16"/>
      <c r="G1477" s="16"/>
      <c r="H1477" s="16"/>
      <c r="I1477" s="16"/>
      <c r="J1477" s="16"/>
      <c r="K1477" s="16"/>
      <c r="L1477" s="16"/>
      <c r="M1477" s="16"/>
    </row>
    <row r="1478" spans="5:13" x14ac:dyDescent="0.4">
      <c r="E1478" s="16"/>
      <c r="F1478" s="16"/>
      <c r="G1478" s="16"/>
      <c r="H1478" s="16"/>
      <c r="I1478" s="16"/>
      <c r="J1478" s="16"/>
      <c r="K1478" s="16"/>
      <c r="L1478" s="16"/>
      <c r="M1478" s="16"/>
    </row>
    <row r="1479" spans="5:13" x14ac:dyDescent="0.4">
      <c r="E1479" s="16"/>
      <c r="F1479" s="16"/>
      <c r="G1479" s="16"/>
      <c r="H1479" s="16"/>
      <c r="I1479" s="16"/>
      <c r="J1479" s="16"/>
      <c r="K1479" s="16"/>
      <c r="L1479" s="16"/>
      <c r="M1479" s="16"/>
    </row>
    <row r="1480" spans="5:13" x14ac:dyDescent="0.4">
      <c r="E1480" s="16"/>
      <c r="F1480" s="16"/>
      <c r="G1480" s="16"/>
      <c r="H1480" s="16"/>
      <c r="I1480" s="16"/>
      <c r="J1480" s="16"/>
      <c r="K1480" s="16"/>
      <c r="L1480" s="16"/>
      <c r="M1480" s="16"/>
    </row>
    <row r="1481" spans="5:13" x14ac:dyDescent="0.4">
      <c r="E1481" s="16"/>
      <c r="F1481" s="16"/>
      <c r="G1481" s="16"/>
      <c r="H1481" s="16"/>
      <c r="I1481" s="16"/>
      <c r="J1481" s="16"/>
      <c r="K1481" s="16"/>
      <c r="L1481" s="16"/>
      <c r="M1481" s="16"/>
    </row>
    <row r="1482" spans="5:13" x14ac:dyDescent="0.4">
      <c r="E1482" s="16"/>
      <c r="F1482" s="16"/>
      <c r="G1482" s="16"/>
      <c r="H1482" s="16"/>
      <c r="I1482" s="16"/>
      <c r="J1482" s="16"/>
      <c r="K1482" s="16"/>
      <c r="L1482" s="16"/>
      <c r="M1482" s="16"/>
    </row>
    <row r="1483" spans="5:13" x14ac:dyDescent="0.4">
      <c r="E1483" s="16"/>
      <c r="F1483" s="16"/>
      <c r="G1483" s="16"/>
      <c r="H1483" s="16"/>
      <c r="I1483" s="16"/>
      <c r="J1483" s="16"/>
      <c r="K1483" s="16"/>
      <c r="L1483" s="16"/>
      <c r="M1483" s="16"/>
    </row>
    <row r="1484" spans="5:13" x14ac:dyDescent="0.4">
      <c r="E1484" s="16"/>
      <c r="F1484" s="16"/>
      <c r="G1484" s="16"/>
      <c r="H1484" s="16"/>
      <c r="I1484" s="16"/>
      <c r="J1484" s="16"/>
      <c r="K1484" s="16"/>
      <c r="L1484" s="16"/>
      <c r="M1484" s="16"/>
    </row>
    <row r="1485" spans="5:13" x14ac:dyDescent="0.4">
      <c r="E1485" s="16"/>
      <c r="F1485" s="16"/>
      <c r="G1485" s="16"/>
      <c r="H1485" s="16"/>
      <c r="I1485" s="16"/>
      <c r="J1485" s="16"/>
      <c r="K1485" s="16"/>
      <c r="L1485" s="16"/>
      <c r="M1485" s="16"/>
    </row>
    <row r="1486" spans="5:13" x14ac:dyDescent="0.4">
      <c r="E1486" s="16"/>
      <c r="F1486" s="16"/>
      <c r="G1486" s="16"/>
      <c r="H1486" s="16"/>
      <c r="I1486" s="16"/>
      <c r="J1486" s="16"/>
      <c r="K1486" s="16"/>
      <c r="L1486" s="16"/>
      <c r="M1486" s="16"/>
    </row>
    <row r="1487" spans="5:13" x14ac:dyDescent="0.4">
      <c r="E1487" s="16"/>
      <c r="F1487" s="16"/>
      <c r="G1487" s="16"/>
      <c r="H1487" s="16"/>
      <c r="I1487" s="16"/>
      <c r="J1487" s="16"/>
      <c r="K1487" s="16"/>
      <c r="L1487" s="16"/>
      <c r="M1487" s="16"/>
    </row>
    <row r="1488" spans="5:13" x14ac:dyDescent="0.4">
      <c r="E1488" s="16"/>
      <c r="F1488" s="16"/>
      <c r="G1488" s="16"/>
      <c r="H1488" s="16"/>
      <c r="I1488" s="16"/>
      <c r="J1488" s="16"/>
      <c r="K1488" s="16"/>
      <c r="L1488" s="16"/>
      <c r="M1488" s="16"/>
    </row>
    <row r="1489" spans="5:13" x14ac:dyDescent="0.4">
      <c r="E1489" s="16"/>
      <c r="F1489" s="16"/>
      <c r="G1489" s="16"/>
      <c r="H1489" s="16"/>
      <c r="I1489" s="16"/>
      <c r="J1489" s="16"/>
      <c r="K1489" s="16"/>
      <c r="L1489" s="16"/>
      <c r="M1489" s="16"/>
    </row>
    <row r="1490" spans="5:13" x14ac:dyDescent="0.4">
      <c r="E1490" s="16"/>
      <c r="F1490" s="16"/>
      <c r="G1490" s="16"/>
      <c r="H1490" s="16"/>
      <c r="I1490" s="16"/>
      <c r="J1490" s="16"/>
      <c r="K1490" s="16"/>
      <c r="L1490" s="16"/>
      <c r="M1490" s="16"/>
    </row>
    <row r="1491" spans="5:13" x14ac:dyDescent="0.4">
      <c r="E1491" s="16"/>
      <c r="F1491" s="16"/>
      <c r="G1491" s="16"/>
      <c r="H1491" s="16"/>
      <c r="I1491" s="16"/>
      <c r="J1491" s="16"/>
      <c r="K1491" s="16"/>
      <c r="L1491" s="16"/>
      <c r="M1491" s="16"/>
    </row>
    <row r="1492" spans="5:13" x14ac:dyDescent="0.4">
      <c r="E1492" s="16"/>
      <c r="F1492" s="16"/>
      <c r="G1492" s="16"/>
      <c r="H1492" s="16"/>
      <c r="I1492" s="16"/>
      <c r="J1492" s="16"/>
      <c r="K1492" s="16"/>
      <c r="L1492" s="16"/>
      <c r="M1492" s="16"/>
    </row>
    <row r="1493" spans="5:13" x14ac:dyDescent="0.4">
      <c r="E1493" s="16"/>
      <c r="F1493" s="16"/>
      <c r="G1493" s="16"/>
      <c r="H1493" s="16"/>
      <c r="I1493" s="16"/>
      <c r="J1493" s="16"/>
      <c r="K1493" s="16"/>
      <c r="L1493" s="16"/>
      <c r="M1493" s="16"/>
    </row>
    <row r="1494" spans="5:13" x14ac:dyDescent="0.4">
      <c r="E1494" s="16"/>
      <c r="F1494" s="16"/>
      <c r="G1494" s="16"/>
      <c r="H1494" s="16"/>
      <c r="I1494" s="16"/>
      <c r="J1494" s="16"/>
      <c r="K1494" s="16"/>
      <c r="L1494" s="16"/>
      <c r="M1494" s="16"/>
    </row>
    <row r="1495" spans="5:13" x14ac:dyDescent="0.4">
      <c r="E1495" s="16"/>
      <c r="F1495" s="16"/>
      <c r="G1495" s="16"/>
      <c r="H1495" s="16"/>
      <c r="I1495" s="16"/>
      <c r="J1495" s="16"/>
      <c r="K1495" s="16"/>
      <c r="L1495" s="16"/>
      <c r="M1495" s="16"/>
    </row>
    <row r="1496" spans="5:13" x14ac:dyDescent="0.4">
      <c r="E1496" s="16"/>
      <c r="F1496" s="16"/>
      <c r="G1496" s="16"/>
      <c r="H1496" s="16"/>
      <c r="I1496" s="16"/>
      <c r="J1496" s="16"/>
      <c r="K1496" s="16"/>
      <c r="L1496" s="16"/>
      <c r="M1496" s="16"/>
    </row>
    <row r="1497" spans="5:13" x14ac:dyDescent="0.4">
      <c r="E1497" s="16"/>
      <c r="F1497" s="16"/>
      <c r="G1497" s="16"/>
      <c r="H1497" s="16"/>
      <c r="I1497" s="16"/>
      <c r="J1497" s="16"/>
      <c r="K1497" s="16"/>
      <c r="L1497" s="16"/>
      <c r="M1497" s="16"/>
    </row>
    <row r="1498" spans="5:13" x14ac:dyDescent="0.4">
      <c r="E1498" s="16"/>
      <c r="F1498" s="16"/>
      <c r="G1498" s="16"/>
      <c r="H1498" s="16"/>
      <c r="I1498" s="16"/>
      <c r="J1498" s="16"/>
      <c r="K1498" s="16"/>
      <c r="L1498" s="16"/>
      <c r="M1498" s="16"/>
    </row>
    <row r="1499" spans="5:13" x14ac:dyDescent="0.4">
      <c r="E1499" s="16"/>
      <c r="F1499" s="16"/>
      <c r="G1499" s="16"/>
      <c r="H1499" s="16"/>
      <c r="I1499" s="16"/>
      <c r="J1499" s="16"/>
      <c r="K1499" s="16"/>
      <c r="L1499" s="16"/>
      <c r="M1499" s="16"/>
    </row>
    <row r="1500" spans="5:13" x14ac:dyDescent="0.4">
      <c r="E1500" s="16"/>
      <c r="F1500" s="16"/>
      <c r="G1500" s="16"/>
      <c r="H1500" s="16"/>
      <c r="I1500" s="16"/>
      <c r="J1500" s="16"/>
      <c r="K1500" s="16"/>
      <c r="L1500" s="16"/>
      <c r="M1500" s="16"/>
    </row>
    <row r="1501" spans="5:13" x14ac:dyDescent="0.4">
      <c r="E1501" s="16"/>
      <c r="F1501" s="16"/>
      <c r="G1501" s="16"/>
      <c r="H1501" s="16"/>
      <c r="I1501" s="16"/>
      <c r="J1501" s="16"/>
      <c r="K1501" s="16"/>
      <c r="L1501" s="16"/>
      <c r="M1501" s="16"/>
    </row>
    <row r="1502" spans="5:13" x14ac:dyDescent="0.4">
      <c r="E1502" s="16"/>
      <c r="F1502" s="16"/>
      <c r="G1502" s="16"/>
      <c r="H1502" s="16"/>
      <c r="I1502" s="16"/>
      <c r="J1502" s="16"/>
      <c r="K1502" s="16"/>
      <c r="L1502" s="16"/>
      <c r="M1502" s="16"/>
    </row>
    <row r="1503" spans="5:13" x14ac:dyDescent="0.4">
      <c r="E1503" s="16"/>
      <c r="F1503" s="16"/>
      <c r="G1503" s="16"/>
      <c r="H1503" s="16"/>
      <c r="I1503" s="16"/>
      <c r="J1503" s="16"/>
      <c r="K1503" s="16"/>
      <c r="L1503" s="16"/>
      <c r="M1503" s="16"/>
    </row>
    <row r="1504" spans="5:13" x14ac:dyDescent="0.4">
      <c r="E1504" s="16"/>
      <c r="F1504" s="16"/>
      <c r="G1504" s="16"/>
      <c r="H1504" s="16"/>
      <c r="I1504" s="16"/>
      <c r="J1504" s="16"/>
      <c r="K1504" s="16"/>
      <c r="L1504" s="16"/>
      <c r="M1504" s="16"/>
    </row>
    <row r="1505" spans="5:13" x14ac:dyDescent="0.4">
      <c r="E1505" s="16"/>
      <c r="F1505" s="16"/>
      <c r="G1505" s="16"/>
      <c r="H1505" s="16"/>
      <c r="I1505" s="16"/>
      <c r="J1505" s="16"/>
      <c r="K1505" s="16"/>
      <c r="L1505" s="16"/>
      <c r="M1505" s="16"/>
    </row>
    <row r="1506" spans="5:13" x14ac:dyDescent="0.4">
      <c r="E1506" s="16"/>
      <c r="F1506" s="16"/>
      <c r="G1506" s="16"/>
      <c r="H1506" s="16"/>
      <c r="I1506" s="16"/>
      <c r="J1506" s="16"/>
      <c r="K1506" s="16"/>
      <c r="L1506" s="16"/>
      <c r="M1506" s="16"/>
    </row>
    <row r="1507" spans="5:13" x14ac:dyDescent="0.4">
      <c r="E1507" s="16"/>
      <c r="F1507" s="16"/>
      <c r="G1507" s="16"/>
      <c r="H1507" s="16"/>
      <c r="I1507" s="16"/>
      <c r="J1507" s="16"/>
      <c r="K1507" s="16"/>
      <c r="L1507" s="16"/>
      <c r="M1507" s="16"/>
    </row>
    <row r="1508" spans="5:13" x14ac:dyDescent="0.4">
      <c r="E1508" s="16"/>
      <c r="F1508" s="16"/>
      <c r="G1508" s="16"/>
      <c r="H1508" s="16"/>
      <c r="I1508" s="16"/>
      <c r="J1508" s="16"/>
      <c r="K1508" s="16"/>
      <c r="L1508" s="16"/>
      <c r="M1508" s="16"/>
    </row>
    <row r="1509" spans="5:13" x14ac:dyDescent="0.4">
      <c r="E1509" s="16"/>
      <c r="F1509" s="16"/>
      <c r="G1509" s="16"/>
      <c r="H1509" s="16"/>
      <c r="I1509" s="16"/>
      <c r="J1509" s="16"/>
      <c r="K1509" s="16"/>
      <c r="L1509" s="16"/>
      <c r="M1509" s="16"/>
    </row>
    <row r="1510" spans="5:13" x14ac:dyDescent="0.4">
      <c r="E1510" s="16"/>
      <c r="F1510" s="16"/>
      <c r="G1510" s="16"/>
      <c r="H1510" s="16"/>
      <c r="I1510" s="16"/>
      <c r="J1510" s="16"/>
      <c r="K1510" s="16"/>
      <c r="L1510" s="16"/>
      <c r="M1510" s="16"/>
    </row>
    <row r="1511" spans="5:13" x14ac:dyDescent="0.4">
      <c r="E1511" s="16"/>
      <c r="F1511" s="16"/>
      <c r="G1511" s="16"/>
      <c r="H1511" s="16"/>
      <c r="I1511" s="16"/>
      <c r="J1511" s="16"/>
      <c r="K1511" s="16"/>
      <c r="L1511" s="16"/>
      <c r="M1511" s="16"/>
    </row>
    <row r="1512" spans="5:13" x14ac:dyDescent="0.4">
      <c r="E1512" s="16"/>
      <c r="F1512" s="16"/>
      <c r="G1512" s="16"/>
      <c r="H1512" s="16"/>
      <c r="I1512" s="16"/>
      <c r="J1512" s="16"/>
      <c r="K1512" s="16"/>
      <c r="L1512" s="16"/>
      <c r="M1512" s="16"/>
    </row>
    <row r="1513" spans="5:13" x14ac:dyDescent="0.4">
      <c r="E1513" s="16"/>
      <c r="F1513" s="16"/>
      <c r="G1513" s="16"/>
      <c r="H1513" s="16"/>
      <c r="I1513" s="16"/>
      <c r="J1513" s="16"/>
      <c r="K1513" s="16"/>
      <c r="L1513" s="16"/>
      <c r="M1513" s="16"/>
    </row>
    <row r="1514" spans="5:13" x14ac:dyDescent="0.4">
      <c r="E1514" s="16"/>
      <c r="F1514" s="16"/>
      <c r="G1514" s="16"/>
      <c r="H1514" s="16"/>
      <c r="I1514" s="16"/>
      <c r="J1514" s="16"/>
      <c r="K1514" s="16"/>
      <c r="L1514" s="16"/>
      <c r="M1514" s="16"/>
    </row>
    <row r="1515" spans="5:13" x14ac:dyDescent="0.4">
      <c r="E1515" s="16"/>
      <c r="F1515" s="16"/>
      <c r="G1515" s="16"/>
      <c r="H1515" s="16"/>
      <c r="I1515" s="16"/>
      <c r="J1515" s="16"/>
      <c r="K1515" s="16"/>
      <c r="L1515" s="16"/>
      <c r="M1515" s="16"/>
    </row>
    <row r="1516" spans="5:13" x14ac:dyDescent="0.4">
      <c r="E1516" s="16"/>
      <c r="F1516" s="16"/>
      <c r="G1516" s="16"/>
      <c r="H1516" s="16"/>
      <c r="I1516" s="16"/>
      <c r="J1516" s="16"/>
      <c r="K1516" s="16"/>
      <c r="L1516" s="16"/>
      <c r="M1516" s="16"/>
    </row>
    <row r="1517" spans="5:13" x14ac:dyDescent="0.4">
      <c r="E1517" s="16"/>
      <c r="F1517" s="16"/>
      <c r="G1517" s="16"/>
      <c r="H1517" s="16"/>
      <c r="I1517" s="16"/>
      <c r="J1517" s="16"/>
      <c r="K1517" s="16"/>
      <c r="L1517" s="16"/>
      <c r="M1517" s="16"/>
    </row>
    <row r="1518" spans="5:13" x14ac:dyDescent="0.4">
      <c r="E1518" s="16"/>
      <c r="F1518" s="16"/>
      <c r="G1518" s="16"/>
      <c r="H1518" s="16"/>
      <c r="I1518" s="16"/>
      <c r="J1518" s="16"/>
      <c r="K1518" s="16"/>
      <c r="L1518" s="16"/>
      <c r="M1518" s="16"/>
    </row>
    <row r="1519" spans="5:13" x14ac:dyDescent="0.4">
      <c r="E1519" s="16"/>
      <c r="F1519" s="16"/>
      <c r="G1519" s="16"/>
      <c r="H1519" s="16"/>
      <c r="I1519" s="16"/>
      <c r="J1519" s="16"/>
      <c r="K1519" s="16"/>
      <c r="L1519" s="16"/>
      <c r="M1519" s="16"/>
    </row>
    <row r="1520" spans="5:13" x14ac:dyDescent="0.4">
      <c r="E1520" s="16"/>
      <c r="F1520" s="16"/>
      <c r="G1520" s="16"/>
      <c r="H1520" s="16"/>
      <c r="I1520" s="16"/>
      <c r="J1520" s="16"/>
      <c r="K1520" s="16"/>
      <c r="L1520" s="16"/>
      <c r="M1520" s="16"/>
    </row>
    <row r="1521" spans="5:13" x14ac:dyDescent="0.4">
      <c r="E1521" s="16"/>
      <c r="F1521" s="16"/>
      <c r="G1521" s="16"/>
      <c r="H1521" s="16"/>
      <c r="I1521" s="16"/>
      <c r="J1521" s="16"/>
      <c r="K1521" s="16"/>
      <c r="L1521" s="16"/>
      <c r="M1521" s="16"/>
    </row>
    <row r="1522" spans="5:13" x14ac:dyDescent="0.4">
      <c r="E1522" s="16"/>
      <c r="F1522" s="16"/>
      <c r="G1522" s="16"/>
      <c r="H1522" s="16"/>
      <c r="I1522" s="16"/>
      <c r="J1522" s="16"/>
      <c r="K1522" s="16"/>
      <c r="L1522" s="16"/>
      <c r="M1522" s="16"/>
    </row>
    <row r="1523" spans="5:13" x14ac:dyDescent="0.4">
      <c r="E1523" s="16"/>
      <c r="F1523" s="16"/>
      <c r="G1523" s="16"/>
      <c r="H1523" s="16"/>
      <c r="I1523" s="16"/>
      <c r="J1523" s="16"/>
      <c r="K1523" s="16"/>
      <c r="L1523" s="16"/>
      <c r="M1523" s="16"/>
    </row>
    <row r="1524" spans="5:13" x14ac:dyDescent="0.4">
      <c r="E1524" s="16"/>
      <c r="F1524" s="16"/>
      <c r="G1524" s="16"/>
      <c r="H1524" s="16"/>
      <c r="I1524" s="16"/>
      <c r="J1524" s="16"/>
      <c r="K1524" s="16"/>
      <c r="L1524" s="16"/>
      <c r="M1524" s="16"/>
    </row>
    <row r="1525" spans="5:13" x14ac:dyDescent="0.4">
      <c r="E1525" s="16"/>
      <c r="F1525" s="16"/>
      <c r="G1525" s="16"/>
      <c r="H1525" s="16"/>
      <c r="I1525" s="16"/>
      <c r="J1525" s="16"/>
      <c r="K1525" s="16"/>
      <c r="L1525" s="16"/>
      <c r="M1525" s="16"/>
    </row>
    <row r="1526" spans="5:13" x14ac:dyDescent="0.4">
      <c r="E1526" s="16"/>
      <c r="F1526" s="16"/>
      <c r="G1526" s="16"/>
      <c r="H1526" s="16"/>
      <c r="I1526" s="16"/>
      <c r="J1526" s="16"/>
      <c r="K1526" s="16"/>
      <c r="L1526" s="16"/>
      <c r="M1526" s="16"/>
    </row>
    <row r="1527" spans="5:13" x14ac:dyDescent="0.4">
      <c r="E1527" s="16"/>
      <c r="F1527" s="16"/>
      <c r="G1527" s="16"/>
      <c r="H1527" s="16"/>
      <c r="I1527" s="16"/>
      <c r="J1527" s="16"/>
      <c r="K1527" s="16"/>
      <c r="L1527" s="16"/>
      <c r="M1527" s="16"/>
    </row>
    <row r="1528" spans="5:13" x14ac:dyDescent="0.4">
      <c r="E1528" s="16"/>
      <c r="F1528" s="16"/>
      <c r="G1528" s="16"/>
      <c r="H1528" s="16"/>
      <c r="I1528" s="16"/>
      <c r="J1528" s="16"/>
      <c r="K1528" s="16"/>
      <c r="L1528" s="16"/>
      <c r="M1528" s="16"/>
    </row>
    <row r="1529" spans="5:13" x14ac:dyDescent="0.4">
      <c r="E1529" s="16"/>
      <c r="F1529" s="16"/>
      <c r="G1529" s="16"/>
      <c r="H1529" s="16"/>
      <c r="I1529" s="16"/>
      <c r="J1529" s="16"/>
      <c r="K1529" s="16"/>
      <c r="L1529" s="16"/>
      <c r="M1529" s="16"/>
    </row>
    <row r="1530" spans="5:13" x14ac:dyDescent="0.4">
      <c r="E1530" s="16"/>
      <c r="F1530" s="16"/>
      <c r="G1530" s="16"/>
      <c r="H1530" s="16"/>
      <c r="I1530" s="16"/>
      <c r="J1530" s="16"/>
      <c r="K1530" s="16"/>
      <c r="L1530" s="16"/>
      <c r="M1530" s="16"/>
    </row>
    <row r="1531" spans="5:13" x14ac:dyDescent="0.4">
      <c r="E1531" s="16"/>
      <c r="F1531" s="16"/>
      <c r="G1531" s="16"/>
      <c r="H1531" s="16"/>
      <c r="I1531" s="16"/>
      <c r="J1531" s="16"/>
      <c r="K1531" s="16"/>
      <c r="L1531" s="16"/>
      <c r="M1531" s="16"/>
    </row>
    <row r="1532" spans="5:13" x14ac:dyDescent="0.4">
      <c r="E1532" s="16"/>
      <c r="F1532" s="16"/>
      <c r="G1532" s="16"/>
      <c r="H1532" s="16"/>
      <c r="I1532" s="16"/>
      <c r="J1532" s="16"/>
      <c r="K1532" s="16"/>
      <c r="L1532" s="16"/>
      <c r="M1532" s="16"/>
    </row>
    <row r="1533" spans="5:13" x14ac:dyDescent="0.4">
      <c r="E1533" s="16"/>
      <c r="F1533" s="16"/>
      <c r="G1533" s="16"/>
      <c r="H1533" s="16"/>
      <c r="I1533" s="16"/>
      <c r="J1533" s="16"/>
      <c r="K1533" s="16"/>
      <c r="L1533" s="16"/>
      <c r="M1533" s="16"/>
    </row>
    <row r="1534" spans="5:13" x14ac:dyDescent="0.4">
      <c r="E1534" s="16"/>
      <c r="F1534" s="16"/>
      <c r="G1534" s="16"/>
      <c r="H1534" s="16"/>
      <c r="I1534" s="16"/>
      <c r="J1534" s="16"/>
      <c r="K1534" s="16"/>
      <c r="L1534" s="16"/>
      <c r="M1534" s="16"/>
    </row>
    <row r="1535" spans="5:13" x14ac:dyDescent="0.4">
      <c r="E1535" s="16"/>
      <c r="F1535" s="16"/>
      <c r="G1535" s="16"/>
      <c r="H1535" s="16"/>
      <c r="I1535" s="16"/>
      <c r="J1535" s="16"/>
      <c r="K1535" s="16"/>
      <c r="L1535" s="16"/>
      <c r="M1535" s="16"/>
    </row>
    <row r="1536" spans="5:13" x14ac:dyDescent="0.4">
      <c r="E1536" s="16"/>
      <c r="F1536" s="16"/>
      <c r="G1536" s="16"/>
      <c r="H1536" s="16"/>
      <c r="I1536" s="16"/>
      <c r="J1536" s="16"/>
      <c r="K1536" s="16"/>
      <c r="L1536" s="16"/>
      <c r="M1536" s="16"/>
    </row>
    <row r="1537" spans="5:13" x14ac:dyDescent="0.4">
      <c r="E1537" s="16"/>
      <c r="F1537" s="16"/>
      <c r="G1537" s="16"/>
      <c r="H1537" s="16"/>
      <c r="I1537" s="16"/>
      <c r="J1537" s="16"/>
      <c r="K1537" s="16"/>
      <c r="L1537" s="16"/>
      <c r="M1537" s="16"/>
    </row>
    <row r="1538" spans="5:13" x14ac:dyDescent="0.4">
      <c r="E1538" s="16"/>
      <c r="F1538" s="16"/>
      <c r="G1538" s="16"/>
      <c r="H1538" s="16"/>
      <c r="I1538" s="16"/>
      <c r="J1538" s="16"/>
      <c r="K1538" s="16"/>
      <c r="L1538" s="16"/>
      <c r="M1538" s="16"/>
    </row>
    <row r="1539" spans="5:13" x14ac:dyDescent="0.4">
      <c r="E1539" s="16"/>
      <c r="F1539" s="16"/>
      <c r="G1539" s="16"/>
      <c r="H1539" s="16"/>
      <c r="I1539" s="16"/>
      <c r="J1539" s="16"/>
      <c r="K1539" s="16"/>
      <c r="L1539" s="16"/>
      <c r="M1539" s="16"/>
    </row>
  </sheetData>
  <mergeCells count="1">
    <mergeCell ref="D36:O37"/>
  </mergeCells>
  <conditionalFormatting sqref="J39:J338">
    <cfRule type="cellIs" dxfId="4161" priority="5" operator="equal">
      <formula>"Out of Stock"</formula>
    </cfRule>
    <cfRule type="cellIs" dxfId="4160" priority="6" operator="equal">
      <formula>"Low Stock"</formula>
    </cfRule>
    <cfRule type="cellIs" dxfId="4159" priority="7" operator="equal">
      <formula>"In Stock"</formula>
    </cfRule>
  </conditionalFormatting>
  <conditionalFormatting pivot="1" sqref="K39:K201">
    <cfRule type="dataBar" priority="4">
      <dataBar>
        <cfvo type="num" val="0"/>
        <cfvo type="max"/>
        <color rgb="FF22C55E"/>
      </dataBar>
      <extLst>
        <ext xmlns:x14="http://schemas.microsoft.com/office/spreadsheetml/2009/9/main" uri="{B025F937-C7B1-47D3-B67F-A62EFF666E3E}">
          <x14:id>{DF63F1E8-2C58-438D-9F42-A9F0F4550010}</x14:id>
        </ext>
      </extLst>
    </cfRule>
  </conditionalFormatting>
  <conditionalFormatting pivot="1" sqref="L39:L201">
    <cfRule type="dataBar" priority="3">
      <dataBar>
        <cfvo type="min"/>
        <cfvo type="max"/>
        <color rgb="FF10B981"/>
      </dataBar>
      <extLst>
        <ext xmlns:x14="http://schemas.microsoft.com/office/spreadsheetml/2009/9/main" uri="{B025F937-C7B1-47D3-B67F-A62EFF666E3E}">
          <x14:id>{AE972AC2-48E9-4633-971D-DEDF01138DC9}</x14:id>
        </ext>
      </extLst>
    </cfRule>
  </conditionalFormatting>
  <conditionalFormatting pivot="1" sqref="M39:M201">
    <cfRule type="dataBar" priority="2">
      <dataBar>
        <cfvo type="min"/>
        <cfvo type="max"/>
        <color rgb="FF10B981"/>
      </dataBar>
      <extLst>
        <ext xmlns:x14="http://schemas.microsoft.com/office/spreadsheetml/2009/9/main" uri="{B025F937-C7B1-47D3-B67F-A62EFF666E3E}">
          <x14:id>{8AB21A89-5F6D-465D-BAA2-FDA9A713CB88}</x14:id>
        </ext>
      </extLst>
    </cfRule>
  </conditionalFormatting>
  <conditionalFormatting pivot="1" sqref="N39:N201">
    <cfRule type="dataBar" priority="1">
      <dataBar>
        <cfvo type="min"/>
        <cfvo type="max"/>
        <color rgb="FF8B5CF6"/>
      </dataBar>
      <extLst>
        <ext xmlns:x14="http://schemas.microsoft.com/office/spreadsheetml/2009/9/main" uri="{B025F937-C7B1-47D3-B67F-A62EFF666E3E}">
          <x14:id>{C5AF340E-323C-4B15-ACF0-947E9192CE95}</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DF63F1E8-2C58-438D-9F42-A9F0F4550010}">
            <x14:dataBar minLength="0" maxLength="100" border="1" gradient="0">
              <x14:cfvo type="num">
                <xm:f>0</xm:f>
              </x14:cfvo>
              <x14:cfvo type="autoMax"/>
              <x14:borderColor rgb="FF15803D"/>
              <x14:negativeFillColor rgb="FFFF0000"/>
              <x14:axisColor rgb="FF000000"/>
            </x14:dataBar>
          </x14:cfRule>
          <xm:sqref>K39:K201</xm:sqref>
        </x14:conditionalFormatting>
        <x14:conditionalFormatting xmlns:xm="http://schemas.microsoft.com/office/excel/2006/main" pivot="1">
          <x14:cfRule type="dataBar" id="{AE972AC2-48E9-4633-971D-DEDF01138DC9}">
            <x14:dataBar minLength="0" maxLength="100" border="1" gradient="0">
              <x14:cfvo type="autoMin"/>
              <x14:cfvo type="autoMax"/>
              <x14:borderColor rgb="FF10B981"/>
              <x14:negativeFillColor rgb="FFFF0000"/>
              <x14:axisColor rgb="FF000000"/>
            </x14:dataBar>
          </x14:cfRule>
          <xm:sqref>L39:L201</xm:sqref>
        </x14:conditionalFormatting>
        <x14:conditionalFormatting xmlns:xm="http://schemas.microsoft.com/office/excel/2006/main" pivot="1">
          <x14:cfRule type="dataBar" id="{8AB21A89-5F6D-465D-BAA2-FDA9A713CB88}">
            <x14:dataBar minLength="0" maxLength="100" border="1" gradient="0">
              <x14:cfvo type="autoMin"/>
              <x14:cfvo type="autoMax"/>
              <x14:borderColor rgb="FF10B981"/>
              <x14:negativeFillColor rgb="FFFF0000"/>
              <x14:axisColor rgb="FF000000"/>
            </x14:dataBar>
          </x14:cfRule>
          <xm:sqref>M39:M201</xm:sqref>
        </x14:conditionalFormatting>
        <x14:conditionalFormatting xmlns:xm="http://schemas.microsoft.com/office/excel/2006/main" pivot="1">
          <x14:cfRule type="dataBar" id="{C5AF340E-323C-4B15-ACF0-947E9192CE95}">
            <x14:dataBar minLength="0" maxLength="100" border="1" gradient="0">
              <x14:cfvo type="autoMin"/>
              <x14:cfvo type="autoMax"/>
              <x14:borderColor rgb="FF8B5CF6"/>
              <x14:negativeFillColor rgb="FFFF0000"/>
              <x14:axisColor rgb="FF000000"/>
            </x14:dataBar>
          </x14:cfRule>
          <xm:sqref>N39:N201</xm:sqref>
        </x14:conditionalFormatting>
      </x14:conditionalFormattings>
    </ex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Inventory data</vt:lpstr>
      <vt:lpstr>KPI formulas</vt:lpstr>
      <vt:lpstr>Pivot tables</vt:lpstr>
      <vt:lpstr>Inventory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pratik dey</cp:lastModifiedBy>
  <dcterms:created xsi:type="dcterms:W3CDTF">2026-06-18T04:46:08Z</dcterms:created>
  <dcterms:modified xsi:type="dcterms:W3CDTF">2026-10-22T13:31:48Z</dcterms:modified>
</cp:coreProperties>
</file>