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prati\Downloads\"/>
    </mc:Choice>
  </mc:AlternateContent>
  <xr:revisionPtr revIDLastSave="0" documentId="8_{2BCADF74-980A-4CAB-B909-E41BDD815719}" xr6:coauthVersionLast="47" xr6:coauthVersionMax="47" xr10:uidLastSave="{00000000-0000-0000-0000-000000000000}"/>
  <bookViews>
    <workbookView xWindow="-108" yWindow="-108" windowWidth="23256" windowHeight="12456" activeTab="4" xr2:uid="{00000000-000D-0000-FFFF-FFFF00000000}"/>
  </bookViews>
  <sheets>
    <sheet name="Amazon_Orders" sheetId="1" r:id="rId1"/>
    <sheet name="KPI formulas" sheetId="3" r:id="rId2"/>
    <sheet name="Pivot tables" sheetId="5" r:id="rId3"/>
    <sheet name="Detail1" sheetId="6" r:id="rId4"/>
    <sheet name="Dashboard" sheetId="4" r:id="rId5"/>
    <sheet name="Sheet1" sheetId="7" r:id="rId6"/>
  </sheets>
  <definedNames>
    <definedName name="NativeTimeline_Order_Date">#N/A</definedName>
    <definedName name="Slicer_Category">#N/A</definedName>
    <definedName name="Slicer_Customer_State">#N/A</definedName>
    <definedName name="Slicer_Fulfillment_Type">#N/A</definedName>
    <definedName name="Slicer_Order_Status">#N/A</definedName>
  </definedNames>
  <calcPr calcId="191029" iterateDelta="1E-4"/>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0" i="4" l="1"/>
  <c r="B70" i="4" a="1"/>
  <c r="C70" i="4" a="1"/>
  <c r="D70" i="4" a="1"/>
  <c r="E70" i="4" a="1"/>
  <c r="F70" i="4" a="1"/>
  <c r="G70" i="4" a="1"/>
  <c r="H70" i="4" a="1"/>
  <c r="I70" i="4" a="1"/>
  <c r="J70" i="4" a="1"/>
  <c r="N132" i="4" s="1"/>
  <c r="K70" i="4" a="1"/>
  <c r="L70" i="4" a="1"/>
  <c r="M70" i="4" a="1"/>
  <c r="N70" i="4"/>
  <c r="O70" i="4"/>
  <c r="P70" i="4"/>
  <c r="Q70" i="4"/>
  <c r="A71" i="4"/>
  <c r="B71" i="4" a="1"/>
  <c r="C71" i="4" a="1"/>
  <c r="D71" i="4" a="1"/>
  <c r="E71" i="4" a="1"/>
  <c r="F71" i="4" a="1"/>
  <c r="G71" i="4" a="1"/>
  <c r="H71" i="4" a="1"/>
  <c r="I71" i="4" a="1"/>
  <c r="J71" i="4" a="1"/>
  <c r="N133" i="4" s="1"/>
  <c r="K71" i="4" a="1"/>
  <c r="L71" i="4" a="1"/>
  <c r="M71" i="4" a="1"/>
  <c r="N71" i="4"/>
  <c r="O71" i="4"/>
  <c r="P71" i="4"/>
  <c r="Q71" i="4"/>
  <c r="A72" i="4"/>
  <c r="B72" i="4" a="1"/>
  <c r="C72" i="4" a="1"/>
  <c r="D72" i="4" a="1"/>
  <c r="E72" i="4" a="1"/>
  <c r="F72" i="4" a="1"/>
  <c r="G72" i="4" a="1"/>
  <c r="H72" i="4" a="1"/>
  <c r="I72" i="4" a="1"/>
  <c r="J72" i="4" a="1"/>
  <c r="N134" i="4" s="1"/>
  <c r="K72" i="4" a="1"/>
  <c r="L72" i="4" a="1"/>
  <c r="M72" i="4" a="1"/>
  <c r="N72" i="4"/>
  <c r="O72" i="4"/>
  <c r="P72" i="4"/>
  <c r="Q72" i="4"/>
  <c r="A73" i="4"/>
  <c r="B73" i="4" a="1"/>
  <c r="C73" i="4" a="1"/>
  <c r="D73" i="4" a="1"/>
  <c r="E73" i="4" a="1"/>
  <c r="F73" i="4" a="1"/>
  <c r="G73" i="4" a="1"/>
  <c r="H73" i="4" a="1"/>
  <c r="I73" i="4" a="1"/>
  <c r="J73" i="4" a="1"/>
  <c r="N135" i="4" s="1"/>
  <c r="K73" i="4" a="1"/>
  <c r="L73" i="4" a="1"/>
  <c r="M73" i="4" a="1"/>
  <c r="N73" i="4"/>
  <c r="O73" i="4"/>
  <c r="P73" i="4"/>
  <c r="Q73" i="4"/>
  <c r="A74" i="4"/>
  <c r="B74" i="4" a="1"/>
  <c r="C74" i="4" a="1"/>
  <c r="D74" i="4" a="1"/>
  <c r="E74" i="4" a="1"/>
  <c r="F74" i="4" a="1"/>
  <c r="G74" i="4" a="1"/>
  <c r="H74" i="4" a="1"/>
  <c r="I74" i="4" a="1"/>
  <c r="J74" i="4" a="1"/>
  <c r="N136" i="4" s="1"/>
  <c r="K74" i="4" a="1"/>
  <c r="L74" i="4" a="1"/>
  <c r="M74" i="4" a="1"/>
  <c r="N74" i="4"/>
  <c r="O74" i="4"/>
  <c r="P74" i="4"/>
  <c r="Q74" i="4"/>
  <c r="A75" i="4"/>
  <c r="B75" i="4" a="1"/>
  <c r="C75" i="4" a="1"/>
  <c r="D75" i="4" a="1"/>
  <c r="E75" i="4" a="1"/>
  <c r="F75" i="4" a="1"/>
  <c r="G75" i="4" a="1"/>
  <c r="H75" i="4" a="1"/>
  <c r="I75" i="4" a="1"/>
  <c r="J75" i="4" a="1"/>
  <c r="N137" i="4" s="1"/>
  <c r="K75" i="4" a="1"/>
  <c r="L75" i="4" a="1"/>
  <c r="M75" i="4" a="1"/>
  <c r="N75" i="4"/>
  <c r="O75" i="4"/>
  <c r="P75" i="4"/>
  <c r="Q75" i="4"/>
  <c r="A76" i="4"/>
  <c r="B76" i="4" a="1"/>
  <c r="C76" i="4" a="1"/>
  <c r="D76" i="4" a="1"/>
  <c r="E76" i="4" a="1"/>
  <c r="F76" i="4" a="1"/>
  <c r="G76" i="4" a="1"/>
  <c r="H76" i="4" a="1"/>
  <c r="I76" i="4" a="1"/>
  <c r="J76" i="4" a="1"/>
  <c r="N138" i="4" s="1"/>
  <c r="K76" i="4" a="1"/>
  <c r="L76" i="4" a="1"/>
  <c r="M76" i="4" a="1"/>
  <c r="N76" i="4"/>
  <c r="O76" i="4"/>
  <c r="P76" i="4"/>
  <c r="Q76" i="4"/>
  <c r="A77" i="4"/>
  <c r="B77" i="4" a="1"/>
  <c r="C77" i="4" a="1"/>
  <c r="D77" i="4" a="1"/>
  <c r="E77" i="4" a="1"/>
  <c r="F77" i="4" a="1"/>
  <c r="G77" i="4" a="1"/>
  <c r="H77" i="4" a="1"/>
  <c r="I77" i="4" a="1"/>
  <c r="J77" i="4" a="1"/>
  <c r="N139" i="4" s="1"/>
  <c r="K77" i="4" a="1"/>
  <c r="L77" i="4" a="1"/>
  <c r="M77" i="4" a="1"/>
  <c r="N77" i="4"/>
  <c r="O77" i="4"/>
  <c r="P77" i="4"/>
  <c r="Q77" i="4"/>
  <c r="A78" i="4"/>
  <c r="B78" i="4" a="1"/>
  <c r="C78" i="4" a="1"/>
  <c r="D78" i="4" a="1"/>
  <c r="E78" i="4" a="1"/>
  <c r="F78" i="4" a="1"/>
  <c r="G78" i="4" a="1"/>
  <c r="H78" i="4" a="1"/>
  <c r="I78" i="4" a="1"/>
  <c r="J78" i="4" a="1"/>
  <c r="N140" i="4" s="1"/>
  <c r="K78" i="4" a="1"/>
  <c r="L78" i="4" a="1"/>
  <c r="M78" i="4" a="1"/>
  <c r="N78" i="4"/>
  <c r="O78" i="4"/>
  <c r="P78" i="4"/>
  <c r="Q78" i="4"/>
  <c r="A79" i="4"/>
  <c r="B79" i="4" a="1"/>
  <c r="C79" i="4" a="1"/>
  <c r="D79" i="4" a="1"/>
  <c r="E79" i="4" a="1"/>
  <c r="F79" i="4" a="1"/>
  <c r="G79" i="4" a="1"/>
  <c r="H79" i="4" a="1"/>
  <c r="I79" i="4" a="1"/>
  <c r="J79" i="4" a="1"/>
  <c r="N141" i="4" s="1"/>
  <c r="K79" i="4" a="1"/>
  <c r="L79" i="4" a="1"/>
  <c r="M79" i="4" a="1"/>
  <c r="N79" i="4"/>
  <c r="O79" i="4"/>
  <c r="P79" i="4"/>
  <c r="Q79" i="4"/>
  <c r="A80" i="4"/>
  <c r="B80" i="4" a="1"/>
  <c r="C80" i="4" a="1"/>
  <c r="D80" i="4" a="1"/>
  <c r="E80" i="4" a="1"/>
  <c r="F80" i="4" a="1"/>
  <c r="G80" i="4" a="1"/>
  <c r="H80" i="4" a="1"/>
  <c r="I80" i="4" a="1"/>
  <c r="J80" i="4" a="1"/>
  <c r="N142" i="4" s="1"/>
  <c r="K80" i="4" a="1"/>
  <c r="L80" i="4" a="1"/>
  <c r="M80" i="4" a="1"/>
  <c r="N80" i="4"/>
  <c r="O80" i="4"/>
  <c r="P80" i="4"/>
  <c r="Q80" i="4"/>
  <c r="A81" i="4"/>
  <c r="B81" i="4" a="1"/>
  <c r="C81" i="4" a="1"/>
  <c r="D81" i="4" a="1"/>
  <c r="E81" i="4" a="1"/>
  <c r="F81" i="4" a="1"/>
  <c r="G81" i="4" a="1"/>
  <c r="H81" i="4" a="1"/>
  <c r="I81" i="4" a="1"/>
  <c r="J81" i="4" a="1"/>
  <c r="N143" i="4" s="1"/>
  <c r="K81" i="4" a="1"/>
  <c r="L81" i="4" a="1"/>
  <c r="M81" i="4" a="1"/>
  <c r="N81" i="4"/>
  <c r="O81" i="4"/>
  <c r="P81" i="4"/>
  <c r="Q81" i="4"/>
  <c r="A82" i="4"/>
  <c r="B82" i="4" a="1"/>
  <c r="C82" i="4" a="1"/>
  <c r="D82" i="4" a="1"/>
  <c r="E82" i="4" a="1"/>
  <c r="F82" i="4" a="1"/>
  <c r="G82" i="4" a="1"/>
  <c r="H82" i="4" a="1"/>
  <c r="I82" i="4" a="1"/>
  <c r="J82" i="4" a="1"/>
  <c r="N144" i="4" s="1"/>
  <c r="K82" i="4" a="1"/>
  <c r="L82" i="4" a="1"/>
  <c r="M82" i="4" a="1"/>
  <c r="N82" i="4"/>
  <c r="O82" i="4"/>
  <c r="P82" i="4"/>
  <c r="Q82" i="4"/>
  <c r="A83" i="4"/>
  <c r="B83" i="4" a="1"/>
  <c r="C83" i="4" a="1"/>
  <c r="D83" i="4" a="1"/>
  <c r="E83" i="4" a="1"/>
  <c r="F83" i="4" a="1"/>
  <c r="G83" i="4" a="1"/>
  <c r="H83" i="4" a="1"/>
  <c r="I83" i="4" a="1"/>
  <c r="J83" i="4" a="1"/>
  <c r="N145" i="4" s="1"/>
  <c r="K83" i="4" a="1"/>
  <c r="L83" i="4" a="1"/>
  <c r="M83" i="4" a="1"/>
  <c r="N83" i="4"/>
  <c r="O83" i="4"/>
  <c r="P83" i="4"/>
  <c r="Q83" i="4"/>
  <c r="A84" i="4"/>
  <c r="B84" i="4" a="1"/>
  <c r="C84" i="4" a="1"/>
  <c r="D84" i="4" a="1"/>
  <c r="E84" i="4" a="1"/>
  <c r="F84" i="4" a="1"/>
  <c r="G84" i="4" a="1"/>
  <c r="H84" i="4" a="1"/>
  <c r="I84" i="4" a="1"/>
  <c r="J84" i="4" a="1"/>
  <c r="N146" i="4" s="1"/>
  <c r="K84" i="4" a="1"/>
  <c r="L84" i="4" a="1"/>
  <c r="M84" i="4" a="1"/>
  <c r="N84" i="4"/>
  <c r="O84" i="4"/>
  <c r="P84" i="4"/>
  <c r="Q84" i="4"/>
  <c r="A85" i="4"/>
  <c r="B85" i="4" a="1"/>
  <c r="C85" i="4" a="1"/>
  <c r="D85" i="4" a="1"/>
  <c r="E85" i="4" a="1"/>
  <c r="F85" i="4" a="1"/>
  <c r="G85" i="4" a="1"/>
  <c r="H85" i="4" a="1"/>
  <c r="I85" i="4" a="1"/>
  <c r="J85" i="4" a="1"/>
  <c r="N147" i="4" s="1"/>
  <c r="K85" i="4" a="1"/>
  <c r="L85" i="4" a="1"/>
  <c r="M85" i="4" a="1"/>
  <c r="N85" i="4"/>
  <c r="O85" i="4"/>
  <c r="P85" i="4"/>
  <c r="Q85" i="4"/>
  <c r="A86" i="4"/>
  <c r="B86" i="4" a="1"/>
  <c r="C86" i="4" a="1"/>
  <c r="D86" i="4" a="1"/>
  <c r="E86" i="4" a="1"/>
  <c r="F86" i="4" a="1"/>
  <c r="G86" i="4" a="1"/>
  <c r="H86" i="4" a="1"/>
  <c r="I86" i="4" a="1"/>
  <c r="J86" i="4" a="1"/>
  <c r="N148" i="4" s="1"/>
  <c r="K86" i="4" a="1"/>
  <c r="L86" i="4" a="1"/>
  <c r="M86" i="4" a="1"/>
  <c r="N86" i="4"/>
  <c r="O86" i="4"/>
  <c r="P86" i="4"/>
  <c r="Q86" i="4"/>
  <c r="A87" i="4"/>
  <c r="B87" i="4" a="1"/>
  <c r="C87" i="4" a="1"/>
  <c r="D87" i="4" a="1"/>
  <c r="E87" i="4" a="1"/>
  <c r="F87" i="4" a="1"/>
  <c r="G87" i="4" a="1"/>
  <c r="H87" i="4" a="1"/>
  <c r="I87" i="4" a="1"/>
  <c r="J87" i="4" a="1"/>
  <c r="N149" i="4" s="1"/>
  <c r="K87" i="4" a="1"/>
  <c r="L87" i="4" a="1"/>
  <c r="M87" i="4" a="1"/>
  <c r="N87" i="4"/>
  <c r="O87" i="4"/>
  <c r="P87" i="4"/>
  <c r="Q87" i="4"/>
  <c r="A88" i="4"/>
  <c r="B88" i="4" a="1"/>
  <c r="C88" i="4" a="1"/>
  <c r="D88" i="4" a="1"/>
  <c r="E88" i="4" a="1"/>
  <c r="F88" i="4" a="1"/>
  <c r="G88" i="4" a="1"/>
  <c r="H88" i="4" a="1"/>
  <c r="I88" i="4" a="1"/>
  <c r="J88" i="4" a="1"/>
  <c r="N150" i="4" s="1"/>
  <c r="K88" i="4" a="1"/>
  <c r="L88" i="4" a="1"/>
  <c r="M88" i="4" a="1"/>
  <c r="N88" i="4"/>
  <c r="O88" i="4"/>
  <c r="P88" i="4"/>
  <c r="Q88" i="4"/>
  <c r="A89" i="4"/>
  <c r="B89" i="4" a="1"/>
  <c r="C89" i="4" a="1"/>
  <c r="D89" i="4" a="1"/>
  <c r="E89" i="4" a="1"/>
  <c r="F89" i="4" a="1"/>
  <c r="G89" i="4" a="1"/>
  <c r="H89" i="4" a="1"/>
  <c r="I89" i="4" a="1"/>
  <c r="J89" i="4" a="1"/>
  <c r="N151" i="4" s="1"/>
  <c r="K89" i="4" a="1"/>
  <c r="L89" i="4" a="1"/>
  <c r="M89" i="4" a="1"/>
  <c r="N89" i="4"/>
  <c r="O89" i="4"/>
  <c r="P89" i="4"/>
  <c r="Q89" i="4"/>
  <c r="A90" i="4"/>
  <c r="B90" i="4" a="1"/>
  <c r="C90" i="4" a="1"/>
  <c r="D90" i="4" a="1"/>
  <c r="E90" i="4" a="1"/>
  <c r="F90" i="4" a="1"/>
  <c r="G90" i="4" a="1"/>
  <c r="H90" i="4" a="1"/>
  <c r="I90" i="4" a="1"/>
  <c r="J90" i="4" a="1"/>
  <c r="N152" i="4" s="1"/>
  <c r="K90" i="4" a="1"/>
  <c r="L90" i="4" a="1"/>
  <c r="M90" i="4" a="1"/>
  <c r="N90" i="4"/>
  <c r="O90" i="4"/>
  <c r="P90" i="4"/>
  <c r="Q90" i="4"/>
  <c r="A91" i="4"/>
  <c r="B91" i="4" a="1"/>
  <c r="C91" i="4" a="1"/>
  <c r="D91" i="4" a="1"/>
  <c r="E91" i="4" a="1"/>
  <c r="F91" i="4" a="1"/>
  <c r="G91" i="4" a="1"/>
  <c r="H91" i="4" a="1"/>
  <c r="I91" i="4" a="1"/>
  <c r="J91" i="4" a="1"/>
  <c r="N153" i="4" s="1"/>
  <c r="K91" i="4" a="1"/>
  <c r="L91" i="4" a="1"/>
  <c r="M91" i="4" a="1"/>
  <c r="N91" i="4"/>
  <c r="O91" i="4"/>
  <c r="P91" i="4"/>
  <c r="Q91" i="4"/>
  <c r="A92" i="4"/>
  <c r="B92" i="4" a="1"/>
  <c r="C92" i="4" a="1"/>
  <c r="D92" i="4" a="1"/>
  <c r="E92" i="4" a="1"/>
  <c r="F92" i="4" a="1"/>
  <c r="G92" i="4" a="1"/>
  <c r="H92" i="4" a="1"/>
  <c r="I92" i="4" a="1"/>
  <c r="J92" i="4" a="1"/>
  <c r="N154" i="4" s="1"/>
  <c r="K92" i="4" a="1"/>
  <c r="L92" i="4" a="1"/>
  <c r="M92" i="4" a="1"/>
  <c r="N92" i="4"/>
  <c r="O92" i="4"/>
  <c r="P92" i="4"/>
  <c r="Q92" i="4"/>
  <c r="A93" i="4"/>
  <c r="B93" i="4" a="1"/>
  <c r="C93" i="4" a="1"/>
  <c r="D93" i="4" a="1"/>
  <c r="E93" i="4" a="1"/>
  <c r="F93" i="4" a="1"/>
  <c r="G93" i="4" a="1"/>
  <c r="H93" i="4" a="1"/>
  <c r="I93" i="4" a="1"/>
  <c r="J93" i="4" a="1"/>
  <c r="N155" i="4" s="1"/>
  <c r="K93" i="4" a="1"/>
  <c r="L93" i="4" a="1"/>
  <c r="M93" i="4" a="1"/>
  <c r="N93" i="4"/>
  <c r="O93" i="4"/>
  <c r="P93" i="4"/>
  <c r="Q93" i="4"/>
  <c r="A94" i="4"/>
  <c r="B94" i="4" a="1"/>
  <c r="C94" i="4" a="1"/>
  <c r="D94" i="4" a="1"/>
  <c r="E94" i="4" a="1"/>
  <c r="F94" i="4" a="1"/>
  <c r="G94" i="4" a="1"/>
  <c r="H94" i="4" a="1"/>
  <c r="I94" i="4" a="1"/>
  <c r="J94" i="4" a="1"/>
  <c r="N156" i="4" s="1"/>
  <c r="K94" i="4" a="1"/>
  <c r="L94" i="4" a="1"/>
  <c r="M94" i="4" a="1"/>
  <c r="N94" i="4"/>
  <c r="O94" i="4"/>
  <c r="P94" i="4"/>
  <c r="Q94" i="4"/>
  <c r="A95" i="4"/>
  <c r="B95" i="4" a="1"/>
  <c r="C95" i="4" a="1"/>
  <c r="D95" i="4" a="1"/>
  <c r="E95" i="4" a="1"/>
  <c r="F95" i="4" a="1"/>
  <c r="G95" i="4" a="1"/>
  <c r="H95" i="4" a="1"/>
  <c r="I95" i="4" a="1"/>
  <c r="J95" i="4" a="1"/>
  <c r="N157" i="4" s="1"/>
  <c r="K95" i="4" a="1"/>
  <c r="L95" i="4" a="1"/>
  <c r="M95" i="4" a="1"/>
  <c r="N95" i="4"/>
  <c r="O95" i="4"/>
  <c r="P95" i="4"/>
  <c r="Q95" i="4"/>
  <c r="A96" i="4"/>
  <c r="B96" i="4" a="1"/>
  <c r="C96" i="4" a="1"/>
  <c r="D96" i="4" a="1"/>
  <c r="E96" i="4" a="1"/>
  <c r="F96" i="4" a="1"/>
  <c r="G96" i="4" a="1"/>
  <c r="H96" i="4" a="1"/>
  <c r="I96" i="4" a="1"/>
  <c r="J96" i="4" a="1"/>
  <c r="N158" i="4" s="1"/>
  <c r="K96" i="4" a="1"/>
  <c r="L96" i="4" a="1"/>
  <c r="M96" i="4" a="1"/>
  <c r="N96" i="4"/>
  <c r="O96" i="4"/>
  <c r="P96" i="4"/>
  <c r="Q96" i="4"/>
  <c r="A97" i="4"/>
  <c r="B97" i="4" a="1"/>
  <c r="C97" i="4" a="1"/>
  <c r="D97" i="4" a="1"/>
  <c r="E97" i="4" a="1"/>
  <c r="F97" i="4" a="1"/>
  <c r="G97" i="4" a="1"/>
  <c r="H97" i="4" a="1"/>
  <c r="I97" i="4" a="1"/>
  <c r="J97" i="4" a="1"/>
  <c r="N159" i="4" s="1"/>
  <c r="K97" i="4" a="1"/>
  <c r="L97" i="4" a="1"/>
  <c r="M97" i="4" a="1"/>
  <c r="N97" i="4"/>
  <c r="O97" i="4"/>
  <c r="P97" i="4"/>
  <c r="Q97" i="4"/>
  <c r="A98" i="4"/>
  <c r="B98" i="4" a="1"/>
  <c r="C98" i="4" a="1"/>
  <c r="D98" i="4" a="1"/>
  <c r="E98" i="4" a="1"/>
  <c r="F98" i="4" a="1"/>
  <c r="G98" i="4" a="1"/>
  <c r="H98" i="4" a="1"/>
  <c r="I98" i="4" a="1"/>
  <c r="J98" i="4" a="1"/>
  <c r="N160" i="4" s="1"/>
  <c r="K98" i="4" a="1"/>
  <c r="L98" i="4" a="1"/>
  <c r="M98" i="4" a="1"/>
  <c r="N98" i="4"/>
  <c r="O98" i="4"/>
  <c r="P98" i="4"/>
  <c r="Q98" i="4"/>
  <c r="A99" i="4"/>
  <c r="B99" i="4" a="1"/>
  <c r="C99" i="4" a="1"/>
  <c r="D99" i="4" a="1"/>
  <c r="E99" i="4" a="1"/>
  <c r="F99" i="4" a="1"/>
  <c r="G99" i="4" a="1"/>
  <c r="H99" i="4" a="1"/>
  <c r="I99" i="4" a="1"/>
  <c r="J99" i="4" a="1"/>
  <c r="N161" i="4" s="1"/>
  <c r="K99" i="4" a="1"/>
  <c r="L99" i="4" a="1"/>
  <c r="M99" i="4" a="1"/>
  <c r="N99" i="4"/>
  <c r="O99" i="4"/>
  <c r="P99" i="4"/>
  <c r="Q99" i="4"/>
  <c r="A100" i="4"/>
  <c r="B100" i="4" a="1"/>
  <c r="C100" i="4" a="1"/>
  <c r="D100" i="4" a="1"/>
  <c r="E100" i="4" a="1"/>
  <c r="F100" i="4" a="1"/>
  <c r="G100" i="4" a="1"/>
  <c r="H100" i="4" a="1"/>
  <c r="I100" i="4" a="1"/>
  <c r="J100" i="4" a="1"/>
  <c r="N162" i="4" s="1"/>
  <c r="K100" i="4" a="1"/>
  <c r="L100" i="4" a="1"/>
  <c r="M100" i="4" a="1"/>
  <c r="N100" i="4"/>
  <c r="O100" i="4"/>
  <c r="P100"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J101" i="4" a="1"/>
  <c r="N163" i="4" s="1"/>
  <c r="J102" i="4" a="1"/>
  <c r="N164" i="4" s="1"/>
  <c r="J103" i="4" a="1"/>
  <c r="N165" i="4" s="1"/>
  <c r="J104" i="4" a="1"/>
  <c r="N166" i="4" s="1"/>
  <c r="J105" i="4" a="1"/>
  <c r="N167" i="4" s="1"/>
  <c r="J106" i="4" a="1"/>
  <c r="N168" i="4" s="1"/>
  <c r="J107" i="4" a="1"/>
  <c r="N169" i="4" s="1"/>
  <c r="J108" i="4" a="1"/>
  <c r="N170" i="4" s="1"/>
  <c r="J109" i="4" a="1"/>
  <c r="N171" i="4" s="1"/>
  <c r="J110" i="4" a="1"/>
  <c r="N172" i="4" s="1"/>
  <c r="J111" i="4" a="1"/>
  <c r="N173" i="4" s="1"/>
  <c r="J112" i="4" a="1"/>
  <c r="N174" i="4" s="1"/>
  <c r="J113" i="4" a="1"/>
  <c r="N175" i="4" s="1"/>
  <c r="J114" i="4" a="1"/>
  <c r="N176" i="4" s="1"/>
  <c r="J115" i="4" a="1"/>
  <c r="N177" i="4" s="1"/>
  <c r="J116" i="4" a="1"/>
  <c r="N178" i="4" s="1"/>
  <c r="J117" i="4" a="1"/>
  <c r="N179" i="4" s="1"/>
  <c r="J118" i="4" a="1"/>
  <c r="N180" i="4" s="1"/>
  <c r="J119" i="4" a="1"/>
  <c r="N181" i="4" s="1"/>
  <c r="J120" i="4" a="1"/>
  <c r="N182" i="4" s="1"/>
  <c r="J121" i="4" a="1"/>
  <c r="N183" i="4" s="1"/>
  <c r="J122" i="4" a="1"/>
  <c r="N184" i="4" s="1"/>
  <c r="J123" i="4" a="1"/>
  <c r="N185" i="4" s="1"/>
  <c r="J124" i="4" a="1"/>
  <c r="N186" i="4" s="1"/>
  <c r="J125" i="4" a="1"/>
  <c r="N187" i="4" s="1"/>
  <c r="J126" i="4" a="1"/>
  <c r="N188" i="4" s="1"/>
  <c r="J127" i="4" a="1"/>
  <c r="N189" i="4" s="1"/>
  <c r="J128" i="4" a="1"/>
  <c r="N190" i="4" s="1"/>
  <c r="J129" i="4" a="1"/>
  <c r="N191" i="4" s="1"/>
  <c r="J130" i="4" a="1"/>
  <c r="N192" i="4" s="1"/>
  <c r="J131" i="4" a="1"/>
  <c r="N193" i="4" s="1"/>
  <c r="J132" i="4" a="1"/>
  <c r="N194" i="4" s="1"/>
  <c r="J133" i="4" a="1"/>
  <c r="N195" i="4" s="1"/>
  <c r="J134" i="4" a="1"/>
  <c r="N196" i="4" s="1"/>
  <c r="J135" i="4" a="1"/>
  <c r="N197" i="4" s="1"/>
  <c r="J136" i="4" a="1"/>
  <c r="N198" i="4" s="1"/>
  <c r="J137" i="4" a="1"/>
  <c r="N199" i="4" s="1"/>
  <c r="J138" i="4" a="1"/>
  <c r="N200" i="4" s="1"/>
  <c r="J139" i="4" a="1"/>
  <c r="N201" i="4" s="1"/>
  <c r="J140" i="4" a="1"/>
  <c r="N202" i="4" s="1"/>
  <c r="J141" i="4" a="1"/>
  <c r="N203" i="4" s="1"/>
  <c r="J142" i="4" a="1"/>
  <c r="N204" i="4" s="1"/>
  <c r="J143" i="4" a="1"/>
  <c r="N205" i="4" s="1"/>
  <c r="J144" i="4" a="1"/>
  <c r="N206" i="4" s="1"/>
  <c r="J145" i="4" a="1"/>
  <c r="N207" i="4" s="1"/>
  <c r="J146" i="4" a="1"/>
  <c r="N208" i="4" s="1"/>
  <c r="J147" i="4" a="1"/>
  <c r="N209" i="4" s="1"/>
  <c r="J148" i="4" a="1"/>
  <c r="N210" i="4" s="1"/>
  <c r="J149" i="4" a="1"/>
  <c r="N211" i="4" s="1"/>
  <c r="J150" i="4" a="1"/>
  <c r="N212" i="4" s="1"/>
  <c r="J151" i="4" a="1"/>
  <c r="N213" i="4" s="1"/>
  <c r="J152" i="4" a="1"/>
  <c r="N214" i="4" s="1"/>
  <c r="J153" i="4" a="1"/>
  <c r="N215" i="4" s="1"/>
  <c r="J154" i="4" a="1"/>
  <c r="N216" i="4" s="1"/>
  <c r="J155" i="4" a="1"/>
  <c r="N217" i="4" s="1"/>
  <c r="J156" i="4" a="1"/>
  <c r="N218" i="4" s="1"/>
  <c r="J157" i="4" a="1"/>
  <c r="N219" i="4" s="1"/>
  <c r="J158" i="4" a="1"/>
  <c r="N220" i="4" s="1"/>
  <c r="J159" i="4" a="1"/>
  <c r="N221" i="4" s="1"/>
  <c r="J160" i="4" a="1"/>
  <c r="N222" i="4" s="1"/>
  <c r="J161" i="4" a="1"/>
  <c r="N223" i="4" s="1"/>
  <c r="J162" i="4" a="1"/>
  <c r="N224" i="4" s="1"/>
  <c r="J163" i="4" a="1"/>
  <c r="N225" i="4" s="1"/>
  <c r="J164" i="4" a="1"/>
  <c r="N226" i="4" s="1"/>
  <c r="J165" i="4" a="1"/>
  <c r="N227" i="4" s="1"/>
  <c r="J166" i="4" a="1"/>
  <c r="N228" i="4" s="1"/>
  <c r="J167" i="4" a="1"/>
  <c r="N229" i="4" s="1"/>
  <c r="J168" i="4" a="1"/>
  <c r="N230" i="4" s="1"/>
  <c r="J169" i="4" a="1"/>
  <c r="N231" i="4" s="1"/>
  <c r="J170" i="4" a="1"/>
  <c r="N232" i="4" s="1"/>
  <c r="J171" i="4" a="1"/>
  <c r="N233" i="4" s="1"/>
  <c r="J172" i="4" a="1"/>
  <c r="N234" i="4" s="1"/>
  <c r="J173" i="4" a="1"/>
  <c r="N235" i="4" s="1"/>
  <c r="J174" i="4" a="1"/>
  <c r="N236" i="4" s="1"/>
  <c r="J175" i="4" a="1"/>
  <c r="N237" i="4" s="1"/>
  <c r="J176" i="4" a="1"/>
  <c r="N238" i="4" s="1"/>
  <c r="J177" i="4" a="1"/>
  <c r="N239" i="4" s="1"/>
  <c r="J178" i="4" a="1"/>
  <c r="N240" i="4" s="1"/>
  <c r="J179" i="4" a="1"/>
  <c r="N241" i="4" s="1"/>
  <c r="J180" i="4" a="1"/>
  <c r="N242" i="4" s="1"/>
  <c r="J181" i="4" a="1"/>
  <c r="N243" i="4" s="1"/>
  <c r="J182" i="4" a="1"/>
  <c r="N244" i="4" s="1"/>
  <c r="J183" i="4" a="1"/>
  <c r="N245" i="4" s="1"/>
  <c r="J184" i="4" a="1"/>
  <c r="N246" i="4" s="1"/>
  <c r="J185" i="4" a="1"/>
  <c r="N247" i="4" s="1"/>
  <c r="J186" i="4" a="1"/>
  <c r="N248" i="4" s="1"/>
  <c r="J187" i="4" a="1"/>
  <c r="N249" i="4" s="1"/>
  <c r="J188" i="4" a="1"/>
  <c r="N250" i="4" s="1"/>
  <c r="J189" i="4" a="1"/>
  <c r="N251" i="4" s="1"/>
  <c r="J190" i="4" a="1"/>
  <c r="N252" i="4" s="1"/>
  <c r="J191" i="4" a="1"/>
  <c r="N253" i="4" s="1"/>
  <c r="J192" i="4" a="1"/>
  <c r="N254" i="4" s="1"/>
  <c r="J193" i="4" a="1"/>
  <c r="N255" i="4" s="1"/>
  <c r="J194" i="4" a="1"/>
  <c r="N256" i="4" s="1"/>
  <c r="J195" i="4" a="1"/>
  <c r="N257" i="4" s="1"/>
  <c r="J196" i="4" a="1"/>
  <c r="N258" i="4" s="1"/>
  <c r="J197" i="4" a="1"/>
  <c r="N259" i="4" s="1"/>
  <c r="J198" i="4" a="1"/>
  <c r="N260" i="4" s="1"/>
  <c r="J199" i="4" a="1"/>
  <c r="N261" i="4" s="1"/>
  <c r="J200" i="4" a="1"/>
  <c r="N262" i="4" s="1"/>
  <c r="J201" i="4" a="1"/>
  <c r="N263" i="4" s="1"/>
  <c r="J202" i="4" a="1"/>
  <c r="N264" i="4" s="1"/>
  <c r="J203" i="4" a="1"/>
  <c r="N265" i="4" s="1"/>
  <c r="J204" i="4" a="1"/>
  <c r="N266" i="4" s="1"/>
  <c r="J205" i="4" a="1"/>
  <c r="N267" i="4" s="1"/>
  <c r="J206" i="4" a="1"/>
  <c r="N268" i="4" s="1"/>
  <c r="J207" i="4" a="1"/>
  <c r="N269" i="4" s="1"/>
  <c r="J208" i="4" a="1"/>
  <c r="N270" i="4" s="1"/>
  <c r="J209" i="4" a="1"/>
  <c r="N271" i="4" s="1"/>
  <c r="J210" i="4" a="1"/>
  <c r="N272" i="4" s="1"/>
  <c r="J211" i="4" a="1"/>
  <c r="N273" i="4" s="1"/>
  <c r="J212" i="4" a="1"/>
  <c r="N274" i="4" s="1"/>
  <c r="J213" i="4" a="1"/>
  <c r="N275" i="4" s="1"/>
  <c r="J214" i="4" a="1"/>
  <c r="N276" i="4" s="1"/>
  <c r="J215" i="4" a="1"/>
  <c r="N277" i="4" s="1"/>
  <c r="J216" i="4" a="1"/>
  <c r="N278" i="4" s="1"/>
  <c r="J217" i="4" a="1"/>
  <c r="N279" i="4" s="1"/>
  <c r="J218" i="4" a="1"/>
  <c r="N280" i="4" s="1"/>
  <c r="J219" i="4" a="1"/>
  <c r="N281" i="4" s="1"/>
  <c r="J220" i="4" a="1"/>
  <c r="N282" i="4" s="1"/>
  <c r="J221" i="4" a="1"/>
  <c r="N283" i="4" s="1"/>
  <c r="J222" i="4" a="1"/>
  <c r="N284" i="4" s="1"/>
  <c r="J223" i="4" a="1"/>
  <c r="N285" i="4" s="1"/>
  <c r="J224" i="4" a="1"/>
  <c r="N286" i="4" s="1"/>
  <c r="J225" i="4" a="1"/>
  <c r="N287" i="4" s="1"/>
  <c r="J226" i="4" a="1"/>
  <c r="N288" i="4" s="1"/>
  <c r="J227" i="4" a="1"/>
  <c r="N289" i="4" s="1"/>
  <c r="J228" i="4" a="1"/>
  <c r="N290" i="4" s="1"/>
  <c r="J229" i="4" a="1"/>
  <c r="N291" i="4" s="1"/>
  <c r="J230" i="4" a="1"/>
  <c r="N292" i="4" s="1"/>
  <c r="J231" i="4" a="1"/>
  <c r="N293" i="4" s="1"/>
  <c r="J232" i="4" a="1"/>
  <c r="N294" i="4" s="1"/>
  <c r="J233" i="4" a="1"/>
  <c r="N295" i="4" s="1"/>
  <c r="J234" i="4" a="1"/>
  <c r="N296" i="4" s="1"/>
  <c r="J235" i="4" a="1"/>
  <c r="N297" i="4" s="1"/>
  <c r="J236" i="4" a="1"/>
  <c r="N298" i="4" s="1"/>
  <c r="J237" i="4" a="1"/>
  <c r="N299" i="4" s="1"/>
  <c r="J238" i="4" a="1"/>
  <c r="N300" i="4" s="1"/>
  <c r="J239" i="4" a="1"/>
  <c r="N301" i="4" s="1"/>
  <c r="J240" i="4" a="1"/>
  <c r="J241" i="4" a="1"/>
  <c r="J242" i="4" a="1"/>
  <c r="J243" i="4" a="1"/>
  <c r="J244" i="4" a="1"/>
  <c r="J245" i="4" a="1"/>
  <c r="J246" i="4" a="1"/>
  <c r="J247" i="4" a="1"/>
  <c r="J248" i="4" a="1"/>
  <c r="J249" i="4" a="1"/>
  <c r="J250" i="4" a="1"/>
  <c r="J251" i="4" a="1"/>
  <c r="J252" i="4" a="1"/>
  <c r="J253" i="4" a="1"/>
  <c r="J254" i="4" a="1"/>
  <c r="J255" i="4" a="1"/>
  <c r="J256" i="4" a="1"/>
  <c r="J257" i="4" a="1"/>
  <c r="J258" i="4" a="1"/>
  <c r="J259" i="4" a="1"/>
  <c r="J260" i="4" a="1"/>
  <c r="J261" i="4" a="1"/>
  <c r="J262" i="4" a="1"/>
  <c r="J263" i="4" a="1"/>
  <c r="J264" i="4" a="1"/>
  <c r="J265" i="4" a="1"/>
  <c r="J266" i="4" a="1"/>
  <c r="J267" i="4" a="1"/>
  <c r="J268" i="4" a="1"/>
  <c r="J269" i="4" a="1"/>
  <c r="J270" i="4" a="1"/>
  <c r="J271" i="4" a="1"/>
  <c r="J272" i="4" a="1"/>
  <c r="J273" i="4" a="1"/>
  <c r="J274" i="4" a="1"/>
  <c r="J275" i="4" a="1"/>
  <c r="J276" i="4" a="1"/>
  <c r="J277" i="4" a="1"/>
  <c r="J278" i="4" a="1"/>
  <c r="J279" i="4" a="1"/>
  <c r="J280" i="4" a="1"/>
  <c r="J281" i="4" a="1"/>
  <c r="J282" i="4" a="1"/>
  <c r="J283" i="4" a="1"/>
  <c r="J284" i="4" a="1"/>
  <c r="J285" i="4" a="1"/>
  <c r="J286" i="4" a="1"/>
  <c r="J287" i="4" a="1"/>
  <c r="J288" i="4" a="1"/>
  <c r="J289" i="4" a="1"/>
  <c r="J290" i="4" a="1"/>
  <c r="J291" i="4" a="1"/>
  <c r="J292" i="4" a="1"/>
  <c r="J293" i="4" a="1"/>
  <c r="J294" i="4" a="1"/>
  <c r="J295" i="4" a="1"/>
  <c r="J296" i="4" a="1"/>
  <c r="J297" i="4" a="1"/>
  <c r="J298" i="4" a="1"/>
  <c r="J299" i="4" a="1"/>
  <c r="J300" i="4" a="1"/>
  <c r="J301" i="4" a="1"/>
  <c r="M101" i="4" a="1"/>
  <c r="M102" i="4" a="1"/>
  <c r="M103" i="4" a="1"/>
  <c r="M104" i="4" a="1"/>
  <c r="M105" i="4" a="1"/>
  <c r="M106" i="4" a="1"/>
  <c r="M107" i="4" a="1"/>
  <c r="M108" i="4" a="1"/>
  <c r="M109" i="4" a="1"/>
  <c r="M110" i="4" a="1"/>
  <c r="M111" i="4" a="1"/>
  <c r="M112" i="4" a="1"/>
  <c r="M113" i="4" a="1"/>
  <c r="M114" i="4" a="1"/>
  <c r="M115" i="4" a="1"/>
  <c r="M116" i="4" a="1"/>
  <c r="M117" i="4" a="1"/>
  <c r="M118" i="4" a="1"/>
  <c r="M119" i="4" a="1"/>
  <c r="M120" i="4" a="1"/>
  <c r="M121" i="4" a="1"/>
  <c r="M122" i="4" a="1"/>
  <c r="M123" i="4" a="1"/>
  <c r="M124" i="4" a="1"/>
  <c r="M125" i="4" a="1"/>
  <c r="M126" i="4" a="1"/>
  <c r="M127" i="4" a="1"/>
  <c r="M128" i="4" a="1"/>
  <c r="M129" i="4" a="1"/>
  <c r="M130" i="4" a="1"/>
  <c r="M131" i="4" a="1"/>
  <c r="M132" i="4" a="1"/>
  <c r="M133" i="4" a="1"/>
  <c r="M134" i="4" a="1"/>
  <c r="M135" i="4" a="1"/>
  <c r="M136" i="4" a="1"/>
  <c r="M137" i="4" a="1"/>
  <c r="M138" i="4" a="1"/>
  <c r="M139" i="4" a="1"/>
  <c r="M140" i="4" a="1"/>
  <c r="M141" i="4" a="1"/>
  <c r="M142" i="4" a="1"/>
  <c r="M143" i="4" a="1"/>
  <c r="M144" i="4" a="1"/>
  <c r="M145" i="4" a="1"/>
  <c r="M146" i="4" a="1"/>
  <c r="M147" i="4" a="1"/>
  <c r="M148" i="4" a="1"/>
  <c r="M149" i="4" a="1"/>
  <c r="M150" i="4" a="1"/>
  <c r="M151" i="4" a="1"/>
  <c r="M152" i="4" a="1"/>
  <c r="M153" i="4" a="1"/>
  <c r="M154" i="4" a="1"/>
  <c r="M155" i="4" a="1"/>
  <c r="M156" i="4" a="1"/>
  <c r="M157" i="4" a="1"/>
  <c r="M158" i="4" a="1"/>
  <c r="M159" i="4" a="1"/>
  <c r="M160" i="4" a="1"/>
  <c r="M161" i="4" a="1"/>
  <c r="M162" i="4" a="1"/>
  <c r="M163" i="4" a="1"/>
  <c r="M164" i="4" a="1"/>
  <c r="M165" i="4" a="1"/>
  <c r="M166" i="4" a="1"/>
  <c r="M167" i="4" a="1"/>
  <c r="M168" i="4" a="1"/>
  <c r="M169" i="4" a="1"/>
  <c r="M170" i="4" a="1"/>
  <c r="M171" i="4" a="1"/>
  <c r="M172" i="4" a="1"/>
  <c r="M173" i="4" a="1"/>
  <c r="M174" i="4" a="1"/>
  <c r="M175" i="4" a="1"/>
  <c r="M176" i="4" a="1"/>
  <c r="M177" i="4" a="1"/>
  <c r="M178" i="4" a="1"/>
  <c r="M179" i="4" a="1"/>
  <c r="M180" i="4" a="1"/>
  <c r="M181" i="4" a="1"/>
  <c r="M182" i="4" a="1"/>
  <c r="M183" i="4" a="1"/>
  <c r="M184" i="4" a="1"/>
  <c r="M185" i="4" a="1"/>
  <c r="M186" i="4" a="1"/>
  <c r="M187" i="4" a="1"/>
  <c r="M188" i="4" a="1"/>
  <c r="M189" i="4" a="1"/>
  <c r="M190" i="4" a="1"/>
  <c r="M191" i="4" a="1"/>
  <c r="M192" i="4" a="1"/>
  <c r="M193" i="4" a="1"/>
  <c r="M194" i="4" a="1"/>
  <c r="M195" i="4" a="1"/>
  <c r="M196" i="4" a="1"/>
  <c r="M197" i="4" a="1"/>
  <c r="M198" i="4" a="1"/>
  <c r="M199" i="4" a="1"/>
  <c r="M200" i="4" a="1"/>
  <c r="M201" i="4" a="1"/>
  <c r="M202" i="4" a="1"/>
  <c r="M203" i="4" a="1"/>
  <c r="M204" i="4" a="1"/>
  <c r="M205" i="4" a="1"/>
  <c r="M206" i="4" a="1"/>
  <c r="M207" i="4" a="1"/>
  <c r="M208" i="4" a="1"/>
  <c r="M209" i="4" a="1"/>
  <c r="M210" i="4" a="1"/>
  <c r="M211" i="4" a="1"/>
  <c r="M212" i="4" a="1"/>
  <c r="M213" i="4" a="1"/>
  <c r="M214" i="4" a="1"/>
  <c r="M215" i="4" a="1"/>
  <c r="M216" i="4" a="1"/>
  <c r="M217" i="4" a="1"/>
  <c r="M218" i="4" a="1"/>
  <c r="M219" i="4" a="1"/>
  <c r="M220" i="4" a="1"/>
  <c r="M221" i="4" a="1"/>
  <c r="M222" i="4" a="1"/>
  <c r="M223" i="4" a="1"/>
  <c r="M224" i="4" a="1"/>
  <c r="M225" i="4" a="1"/>
  <c r="M226" i="4" a="1"/>
  <c r="M227" i="4" a="1"/>
  <c r="M228" i="4" a="1"/>
  <c r="M229" i="4" a="1"/>
  <c r="M230" i="4" a="1"/>
  <c r="M231" i="4" a="1"/>
  <c r="M232" i="4" a="1"/>
  <c r="M233" i="4" a="1"/>
  <c r="M234" i="4" a="1"/>
  <c r="M235" i="4" a="1"/>
  <c r="M236" i="4" a="1"/>
  <c r="M237" i="4" a="1"/>
  <c r="M238" i="4" a="1"/>
  <c r="M239" i="4" a="1"/>
  <c r="M240" i="4" a="1"/>
  <c r="M241" i="4" a="1"/>
  <c r="M242" i="4" a="1"/>
  <c r="M243" i="4" a="1"/>
  <c r="M244" i="4" a="1"/>
  <c r="M245" i="4" a="1"/>
  <c r="M246" i="4" a="1"/>
  <c r="M247" i="4" a="1"/>
  <c r="M248" i="4" a="1"/>
  <c r="M249" i="4" a="1"/>
  <c r="M250" i="4" a="1"/>
  <c r="M251" i="4" a="1"/>
  <c r="M252" i="4" a="1"/>
  <c r="M253" i="4" a="1"/>
  <c r="M254" i="4" a="1"/>
  <c r="M255" i="4" a="1"/>
  <c r="M256" i="4" a="1"/>
  <c r="M257" i="4" a="1"/>
  <c r="M258" i="4" a="1"/>
  <c r="M259" i="4" a="1"/>
  <c r="M260" i="4" a="1"/>
  <c r="M261" i="4" a="1"/>
  <c r="M262" i="4" a="1"/>
  <c r="M263" i="4" a="1"/>
  <c r="M264" i="4" a="1"/>
  <c r="M265" i="4" a="1"/>
  <c r="M266" i="4" a="1"/>
  <c r="M267" i="4" a="1"/>
  <c r="M268" i="4" a="1"/>
  <c r="M269" i="4" a="1"/>
  <c r="M270" i="4" a="1"/>
  <c r="M271" i="4" a="1"/>
  <c r="M272" i="4" a="1"/>
  <c r="M273" i="4" a="1"/>
  <c r="M274" i="4" a="1"/>
  <c r="M275" i="4" a="1"/>
  <c r="M276" i="4" a="1"/>
  <c r="M277" i="4" a="1"/>
  <c r="M278" i="4" a="1"/>
  <c r="M279" i="4" a="1"/>
  <c r="M280" i="4" a="1"/>
  <c r="M281" i="4" a="1"/>
  <c r="M282" i="4" a="1"/>
  <c r="M283" i="4" a="1"/>
  <c r="M284" i="4" a="1"/>
  <c r="M285" i="4" a="1"/>
  <c r="M286" i="4" a="1"/>
  <c r="M287" i="4" a="1"/>
  <c r="M288" i="4" a="1"/>
  <c r="M289" i="4" a="1"/>
  <c r="M290" i="4" a="1"/>
  <c r="M291" i="4" a="1"/>
  <c r="M292" i="4" a="1"/>
  <c r="M293" i="4" a="1"/>
  <c r="M294" i="4" a="1"/>
  <c r="M295" i="4" a="1"/>
  <c r="M296" i="4" a="1"/>
  <c r="M297" i="4" a="1"/>
  <c r="M298" i="4" a="1"/>
  <c r="M299" i="4" a="1"/>
  <c r="M300" i="4" a="1"/>
  <c r="M301" i="4" a="1"/>
  <c r="A166" i="4"/>
  <c r="B166" i="4" a="1"/>
  <c r="C166" i="4" a="1"/>
  <c r="D166" i="4" a="1"/>
  <c r="E166" i="4" a="1"/>
  <c r="F166" i="4" a="1"/>
  <c r="G166" i="4" a="1"/>
  <c r="H166" i="4" a="1"/>
  <c r="I166" i="4" a="1"/>
  <c r="K166" i="4" a="1"/>
  <c r="L166" i="4" a="1"/>
  <c r="A167" i="4"/>
  <c r="B167" i="4" a="1"/>
  <c r="C167" i="4" a="1"/>
  <c r="D167" i="4" a="1"/>
  <c r="E167" i="4" a="1"/>
  <c r="F167" i="4" a="1"/>
  <c r="G167" i="4" a="1"/>
  <c r="H167" i="4" a="1"/>
  <c r="I167" i="4" a="1"/>
  <c r="K167" i="4" a="1"/>
  <c r="L167" i="4" a="1"/>
  <c r="A168" i="4"/>
  <c r="B168" i="4" a="1"/>
  <c r="C168" i="4" a="1"/>
  <c r="D168" i="4" a="1"/>
  <c r="E168" i="4" a="1"/>
  <c r="F168" i="4" a="1"/>
  <c r="G168" i="4" a="1"/>
  <c r="H168" i="4" a="1"/>
  <c r="I168" i="4" a="1"/>
  <c r="K168" i="4" a="1"/>
  <c r="L168" i="4" a="1"/>
  <c r="A169" i="4"/>
  <c r="B169" i="4" a="1"/>
  <c r="C169" i="4" a="1"/>
  <c r="D169" i="4" a="1"/>
  <c r="E169" i="4" a="1"/>
  <c r="F169" i="4" a="1"/>
  <c r="G169" i="4" a="1"/>
  <c r="H169" i="4" a="1"/>
  <c r="I169" i="4" a="1"/>
  <c r="K169" i="4" a="1"/>
  <c r="L169" i="4" a="1"/>
  <c r="A170" i="4"/>
  <c r="B170" i="4" a="1"/>
  <c r="C170" i="4" a="1"/>
  <c r="D170" i="4" a="1"/>
  <c r="E170" i="4" a="1"/>
  <c r="F170" i="4" a="1"/>
  <c r="G170" i="4" a="1"/>
  <c r="H170" i="4" a="1"/>
  <c r="I170" i="4" a="1"/>
  <c r="K170" i="4" a="1"/>
  <c r="L170" i="4" a="1"/>
  <c r="A171" i="4"/>
  <c r="B171" i="4" a="1"/>
  <c r="C171" i="4" a="1"/>
  <c r="D171" i="4" a="1"/>
  <c r="E171" i="4" a="1"/>
  <c r="F171" i="4" a="1"/>
  <c r="G171" i="4" a="1"/>
  <c r="H171" i="4" a="1"/>
  <c r="I171" i="4" a="1"/>
  <c r="K171" i="4" a="1"/>
  <c r="L171" i="4" a="1"/>
  <c r="A172" i="4"/>
  <c r="B172" i="4" a="1"/>
  <c r="C172" i="4" a="1"/>
  <c r="D172" i="4" a="1"/>
  <c r="E172" i="4" a="1"/>
  <c r="F172" i="4" a="1"/>
  <c r="G172" i="4" a="1"/>
  <c r="H172" i="4" a="1"/>
  <c r="I172" i="4" a="1"/>
  <c r="K172" i="4" a="1"/>
  <c r="L172" i="4" a="1"/>
  <c r="A173" i="4"/>
  <c r="B173" i="4" a="1"/>
  <c r="C173" i="4" a="1"/>
  <c r="D173" i="4" a="1"/>
  <c r="E173" i="4" a="1"/>
  <c r="F173" i="4" a="1"/>
  <c r="G173" i="4" a="1"/>
  <c r="H173" i="4" a="1"/>
  <c r="I173" i="4" a="1"/>
  <c r="K173" i="4" a="1"/>
  <c r="L173" i="4" a="1"/>
  <c r="A174" i="4"/>
  <c r="B174" i="4" a="1"/>
  <c r="C174" i="4" a="1"/>
  <c r="D174" i="4" a="1"/>
  <c r="E174" i="4" a="1"/>
  <c r="F174" i="4" a="1"/>
  <c r="G174" i="4" a="1"/>
  <c r="H174" i="4" a="1"/>
  <c r="I174" i="4" a="1"/>
  <c r="K174" i="4" a="1"/>
  <c r="L174" i="4" a="1"/>
  <c r="A175" i="4"/>
  <c r="B175" i="4" a="1"/>
  <c r="C175" i="4" a="1"/>
  <c r="D175" i="4" a="1"/>
  <c r="E175" i="4" a="1"/>
  <c r="F175" i="4" a="1"/>
  <c r="G175" i="4" a="1"/>
  <c r="H175" i="4" a="1"/>
  <c r="I175" i="4" a="1"/>
  <c r="K175" i="4" a="1"/>
  <c r="L175" i="4" a="1"/>
  <c r="A176" i="4"/>
  <c r="B176" i="4" a="1"/>
  <c r="C176" i="4" a="1"/>
  <c r="D176" i="4" a="1"/>
  <c r="E176" i="4" a="1"/>
  <c r="F176" i="4" a="1"/>
  <c r="G176" i="4" a="1"/>
  <c r="H176" i="4" a="1"/>
  <c r="I176" i="4" a="1"/>
  <c r="K176" i="4" a="1"/>
  <c r="L176" i="4" a="1"/>
  <c r="A177" i="4"/>
  <c r="B177" i="4" a="1"/>
  <c r="C177" i="4" a="1"/>
  <c r="D177" i="4" a="1"/>
  <c r="E177" i="4" a="1"/>
  <c r="F177" i="4" a="1"/>
  <c r="G177" i="4" a="1"/>
  <c r="H177" i="4" a="1"/>
  <c r="I177" i="4" a="1"/>
  <c r="K177" i="4" a="1"/>
  <c r="L177" i="4" a="1"/>
  <c r="A178" i="4"/>
  <c r="B178" i="4" a="1"/>
  <c r="C178" i="4" a="1"/>
  <c r="D178" i="4" a="1"/>
  <c r="E178" i="4" a="1"/>
  <c r="F178" i="4" a="1"/>
  <c r="G178" i="4" a="1"/>
  <c r="H178" i="4" a="1"/>
  <c r="I178" i="4" a="1"/>
  <c r="K178" i="4" a="1"/>
  <c r="L178" i="4" a="1"/>
  <c r="A179" i="4"/>
  <c r="B179" i="4" a="1"/>
  <c r="C179" i="4" a="1"/>
  <c r="D179" i="4" a="1"/>
  <c r="E179" i="4" a="1"/>
  <c r="F179" i="4" a="1"/>
  <c r="G179" i="4" a="1"/>
  <c r="H179" i="4" a="1"/>
  <c r="I179" i="4" a="1"/>
  <c r="K179" i="4" a="1"/>
  <c r="L179" i="4" a="1"/>
  <c r="A180" i="4"/>
  <c r="B180" i="4" a="1"/>
  <c r="C180" i="4" a="1"/>
  <c r="D180" i="4" a="1"/>
  <c r="E180" i="4" a="1"/>
  <c r="F180" i="4" a="1"/>
  <c r="G180" i="4" a="1"/>
  <c r="H180" i="4" a="1"/>
  <c r="I180" i="4" a="1"/>
  <c r="K180" i="4" a="1"/>
  <c r="L180" i="4" a="1"/>
  <c r="A181" i="4"/>
  <c r="B181" i="4" a="1"/>
  <c r="C181" i="4" a="1"/>
  <c r="D181" i="4" a="1"/>
  <c r="E181" i="4" a="1"/>
  <c r="F181" i="4" a="1"/>
  <c r="G181" i="4" a="1"/>
  <c r="H181" i="4" a="1"/>
  <c r="I181" i="4" a="1"/>
  <c r="K181" i="4" a="1"/>
  <c r="L181" i="4" a="1"/>
  <c r="A182" i="4"/>
  <c r="B182" i="4" a="1"/>
  <c r="C182" i="4" a="1"/>
  <c r="D182" i="4" a="1"/>
  <c r="E182" i="4" a="1"/>
  <c r="F182" i="4" a="1"/>
  <c r="G182" i="4" a="1"/>
  <c r="H182" i="4" a="1"/>
  <c r="I182" i="4" a="1"/>
  <c r="K182" i="4" a="1"/>
  <c r="L182" i="4" a="1"/>
  <c r="A183" i="4"/>
  <c r="B183" i="4" a="1"/>
  <c r="C183" i="4" a="1"/>
  <c r="D183" i="4" a="1"/>
  <c r="E183" i="4" a="1"/>
  <c r="F183" i="4" a="1"/>
  <c r="G183" i="4" a="1"/>
  <c r="H183" i="4" a="1"/>
  <c r="I183" i="4" a="1"/>
  <c r="K183" i="4" a="1"/>
  <c r="L183" i="4" a="1"/>
  <c r="A184" i="4"/>
  <c r="B184" i="4" a="1"/>
  <c r="C184" i="4" a="1"/>
  <c r="D184" i="4" a="1"/>
  <c r="E184" i="4" a="1"/>
  <c r="F184" i="4" a="1"/>
  <c r="G184" i="4" a="1"/>
  <c r="H184" i="4" a="1"/>
  <c r="I184" i="4" a="1"/>
  <c r="K184" i="4" a="1"/>
  <c r="L184" i="4" a="1"/>
  <c r="A185" i="4"/>
  <c r="B185" i="4" a="1"/>
  <c r="C185" i="4" a="1"/>
  <c r="D185" i="4" a="1"/>
  <c r="E185" i="4" a="1"/>
  <c r="F185" i="4" a="1"/>
  <c r="G185" i="4" a="1"/>
  <c r="H185" i="4" a="1"/>
  <c r="I185" i="4" a="1"/>
  <c r="K185" i="4" a="1"/>
  <c r="L185" i="4" a="1"/>
  <c r="A186" i="4"/>
  <c r="B186" i="4" a="1"/>
  <c r="C186" i="4" a="1"/>
  <c r="D186" i="4" a="1"/>
  <c r="E186" i="4" a="1"/>
  <c r="F186" i="4" a="1"/>
  <c r="G186" i="4" a="1"/>
  <c r="H186" i="4" a="1"/>
  <c r="I186" i="4" a="1"/>
  <c r="K186" i="4" a="1"/>
  <c r="L186" i="4" a="1"/>
  <c r="A187" i="4"/>
  <c r="B187" i="4" a="1"/>
  <c r="C187" i="4" a="1"/>
  <c r="D187" i="4" a="1"/>
  <c r="E187" i="4" a="1"/>
  <c r="F187" i="4" a="1"/>
  <c r="G187" i="4" a="1"/>
  <c r="H187" i="4" a="1"/>
  <c r="I187" i="4" a="1"/>
  <c r="K187" i="4" a="1"/>
  <c r="L187" i="4" a="1"/>
  <c r="A188" i="4"/>
  <c r="B188" i="4" a="1"/>
  <c r="C188" i="4" a="1"/>
  <c r="D188" i="4" a="1"/>
  <c r="E188" i="4" a="1"/>
  <c r="F188" i="4" a="1"/>
  <c r="G188" i="4" a="1"/>
  <c r="H188" i="4" a="1"/>
  <c r="I188" i="4" a="1"/>
  <c r="K188" i="4" a="1"/>
  <c r="L188" i="4" a="1"/>
  <c r="A189" i="4"/>
  <c r="B189" i="4" a="1"/>
  <c r="C189" i="4" a="1"/>
  <c r="D189" i="4" a="1"/>
  <c r="E189" i="4" a="1"/>
  <c r="F189" i="4" a="1"/>
  <c r="G189" i="4" a="1"/>
  <c r="H189" i="4" a="1"/>
  <c r="I189" i="4" a="1"/>
  <c r="K189" i="4" a="1"/>
  <c r="L189" i="4" a="1"/>
  <c r="A190" i="4"/>
  <c r="B190" i="4" a="1"/>
  <c r="C190" i="4" a="1"/>
  <c r="D190" i="4" a="1"/>
  <c r="E190" i="4" a="1"/>
  <c r="F190" i="4" a="1"/>
  <c r="G190" i="4" a="1"/>
  <c r="H190" i="4" a="1"/>
  <c r="I190" i="4" a="1"/>
  <c r="K190" i="4" a="1"/>
  <c r="L190" i="4" a="1"/>
  <c r="A191" i="4"/>
  <c r="B191" i="4" a="1"/>
  <c r="C191" i="4" a="1"/>
  <c r="D191" i="4" a="1"/>
  <c r="E191" i="4" a="1"/>
  <c r="F191" i="4" a="1"/>
  <c r="G191" i="4" a="1"/>
  <c r="H191" i="4" a="1"/>
  <c r="I191" i="4" a="1"/>
  <c r="K191" i="4" a="1"/>
  <c r="L191" i="4" a="1"/>
  <c r="A192" i="4"/>
  <c r="B192" i="4" a="1"/>
  <c r="C192" i="4" a="1"/>
  <c r="D192" i="4" a="1"/>
  <c r="E192" i="4" a="1"/>
  <c r="F192" i="4" a="1"/>
  <c r="G192" i="4" a="1"/>
  <c r="H192" i="4" a="1"/>
  <c r="I192" i="4" a="1"/>
  <c r="K192" i="4" a="1"/>
  <c r="L192" i="4" a="1"/>
  <c r="A193" i="4"/>
  <c r="B193" i="4" a="1"/>
  <c r="C193" i="4" a="1"/>
  <c r="D193" i="4" a="1"/>
  <c r="E193" i="4" a="1"/>
  <c r="F193" i="4" a="1"/>
  <c r="G193" i="4" a="1"/>
  <c r="H193" i="4" a="1"/>
  <c r="I193" i="4" a="1"/>
  <c r="K193" i="4" a="1"/>
  <c r="L193" i="4" a="1"/>
  <c r="A194" i="4"/>
  <c r="B194" i="4" a="1"/>
  <c r="C194" i="4" a="1"/>
  <c r="D194" i="4" a="1"/>
  <c r="E194" i="4" a="1"/>
  <c r="F194" i="4" a="1"/>
  <c r="G194" i="4" a="1"/>
  <c r="H194" i="4" a="1"/>
  <c r="I194" i="4" a="1"/>
  <c r="K194" i="4" a="1"/>
  <c r="L194" i="4" a="1"/>
  <c r="A195" i="4"/>
  <c r="B195" i="4" a="1"/>
  <c r="C195" i="4" a="1"/>
  <c r="D195" i="4" a="1"/>
  <c r="E195" i="4" a="1"/>
  <c r="F195" i="4" a="1"/>
  <c r="G195" i="4" a="1"/>
  <c r="H195" i="4" a="1"/>
  <c r="I195" i="4" a="1"/>
  <c r="K195" i="4" a="1"/>
  <c r="L195" i="4" a="1"/>
  <c r="A196" i="4"/>
  <c r="B196" i="4" a="1"/>
  <c r="C196" i="4" a="1"/>
  <c r="D196" i="4" a="1"/>
  <c r="E196" i="4" a="1"/>
  <c r="F196" i="4" a="1"/>
  <c r="G196" i="4" a="1"/>
  <c r="H196" i="4" a="1"/>
  <c r="I196" i="4" a="1"/>
  <c r="K196" i="4" a="1"/>
  <c r="L196" i="4" a="1"/>
  <c r="A197" i="4"/>
  <c r="B197" i="4" a="1"/>
  <c r="C197" i="4" a="1"/>
  <c r="D197" i="4" a="1"/>
  <c r="E197" i="4" a="1"/>
  <c r="F197" i="4" a="1"/>
  <c r="G197" i="4" a="1"/>
  <c r="H197" i="4" a="1"/>
  <c r="I197" i="4" a="1"/>
  <c r="K197" i="4" a="1"/>
  <c r="L197" i="4" a="1"/>
  <c r="A198" i="4"/>
  <c r="B198" i="4" a="1"/>
  <c r="C198" i="4" a="1"/>
  <c r="D198" i="4" a="1"/>
  <c r="E198" i="4" a="1"/>
  <c r="F198" i="4" a="1"/>
  <c r="G198" i="4" a="1"/>
  <c r="H198" i="4" a="1"/>
  <c r="I198" i="4" a="1"/>
  <c r="K198" i="4" a="1"/>
  <c r="L198" i="4" a="1"/>
  <c r="A199" i="4"/>
  <c r="B199" i="4" a="1"/>
  <c r="C199" i="4" a="1"/>
  <c r="D199" i="4" a="1"/>
  <c r="E199" i="4" a="1"/>
  <c r="F199" i="4" a="1"/>
  <c r="G199" i="4" a="1"/>
  <c r="H199" i="4" a="1"/>
  <c r="I199" i="4" a="1"/>
  <c r="K199" i="4" a="1"/>
  <c r="L199" i="4" a="1"/>
  <c r="A200" i="4"/>
  <c r="B200" i="4" a="1"/>
  <c r="C200" i="4" a="1"/>
  <c r="D200" i="4" a="1"/>
  <c r="E200" i="4" a="1"/>
  <c r="F200" i="4" a="1"/>
  <c r="G200" i="4" a="1"/>
  <c r="H200" i="4" a="1"/>
  <c r="I200" i="4" a="1"/>
  <c r="K200" i="4" a="1"/>
  <c r="L200" i="4" a="1"/>
  <c r="A201" i="4"/>
  <c r="B201" i="4" a="1"/>
  <c r="C201" i="4" a="1"/>
  <c r="D201" i="4" a="1"/>
  <c r="E201" i="4" a="1"/>
  <c r="F201" i="4" a="1"/>
  <c r="G201" i="4" a="1"/>
  <c r="H201" i="4" a="1"/>
  <c r="I201" i="4" a="1"/>
  <c r="K201" i="4" a="1"/>
  <c r="L201" i="4" a="1"/>
  <c r="A202" i="4"/>
  <c r="B202" i="4" a="1"/>
  <c r="C202" i="4" a="1"/>
  <c r="D202" i="4" a="1"/>
  <c r="E202" i="4" a="1"/>
  <c r="F202" i="4" a="1"/>
  <c r="G202" i="4" a="1"/>
  <c r="H202" i="4" a="1"/>
  <c r="I202" i="4" a="1"/>
  <c r="K202" i="4" a="1"/>
  <c r="L202" i="4" a="1"/>
  <c r="A203" i="4"/>
  <c r="B203" i="4" a="1"/>
  <c r="C203" i="4" a="1"/>
  <c r="D203" i="4" a="1"/>
  <c r="E203" i="4" a="1"/>
  <c r="F203" i="4" a="1"/>
  <c r="G203" i="4" a="1"/>
  <c r="H203" i="4" a="1"/>
  <c r="I203" i="4" a="1"/>
  <c r="K203" i="4" a="1"/>
  <c r="L203" i="4" a="1"/>
  <c r="A204" i="4"/>
  <c r="B204" i="4" a="1"/>
  <c r="C204" i="4" a="1"/>
  <c r="D204" i="4" a="1"/>
  <c r="E204" i="4" a="1"/>
  <c r="F204" i="4" a="1"/>
  <c r="G204" i="4" a="1"/>
  <c r="H204" i="4" a="1"/>
  <c r="I204" i="4" a="1"/>
  <c r="K204" i="4" a="1"/>
  <c r="L204" i="4" a="1"/>
  <c r="A205" i="4"/>
  <c r="B205" i="4" a="1"/>
  <c r="C205" i="4" a="1"/>
  <c r="D205" i="4" a="1"/>
  <c r="E205" i="4" a="1"/>
  <c r="F205" i="4" a="1"/>
  <c r="G205" i="4" a="1"/>
  <c r="H205" i="4" a="1"/>
  <c r="I205" i="4" a="1"/>
  <c r="K205" i="4" a="1"/>
  <c r="L205" i="4" a="1"/>
  <c r="A206" i="4"/>
  <c r="B206" i="4" a="1"/>
  <c r="C206" i="4" a="1"/>
  <c r="D206" i="4" a="1"/>
  <c r="E206" i="4" a="1"/>
  <c r="F206" i="4" a="1"/>
  <c r="G206" i="4" a="1"/>
  <c r="H206" i="4" a="1"/>
  <c r="I206" i="4" a="1"/>
  <c r="K206" i="4" a="1"/>
  <c r="L206" i="4" a="1"/>
  <c r="A207" i="4"/>
  <c r="B207" i="4" a="1"/>
  <c r="C207" i="4" a="1"/>
  <c r="D207" i="4" a="1"/>
  <c r="E207" i="4" a="1"/>
  <c r="F207" i="4" a="1"/>
  <c r="G207" i="4" a="1"/>
  <c r="H207" i="4" a="1"/>
  <c r="I207" i="4" a="1"/>
  <c r="K207" i="4" a="1"/>
  <c r="L207" i="4" a="1"/>
  <c r="A208" i="4"/>
  <c r="B208" i="4" a="1"/>
  <c r="C208" i="4" a="1"/>
  <c r="D208" i="4" a="1"/>
  <c r="E208" i="4" a="1"/>
  <c r="F208" i="4" a="1"/>
  <c r="G208" i="4" a="1"/>
  <c r="H208" i="4" a="1"/>
  <c r="I208" i="4" a="1"/>
  <c r="K208" i="4" a="1"/>
  <c r="L208" i="4" a="1"/>
  <c r="A209" i="4"/>
  <c r="B209" i="4" a="1"/>
  <c r="C209" i="4" a="1"/>
  <c r="D209" i="4" a="1"/>
  <c r="E209" i="4" a="1"/>
  <c r="F209" i="4" a="1"/>
  <c r="G209" i="4" a="1"/>
  <c r="H209" i="4" a="1"/>
  <c r="I209" i="4" a="1"/>
  <c r="K209" i="4" a="1"/>
  <c r="L209" i="4" a="1"/>
  <c r="A210" i="4"/>
  <c r="B210" i="4" a="1"/>
  <c r="C210" i="4" a="1"/>
  <c r="D210" i="4" a="1"/>
  <c r="E210" i="4" a="1"/>
  <c r="F210" i="4" a="1"/>
  <c r="G210" i="4" a="1"/>
  <c r="H210" i="4" a="1"/>
  <c r="I210" i="4" a="1"/>
  <c r="K210" i="4" a="1"/>
  <c r="L210" i="4" a="1"/>
  <c r="A211" i="4"/>
  <c r="B211" i="4" a="1"/>
  <c r="C211" i="4" a="1"/>
  <c r="D211" i="4" a="1"/>
  <c r="E211" i="4" a="1"/>
  <c r="F211" i="4" a="1"/>
  <c r="G211" i="4" a="1"/>
  <c r="H211" i="4" a="1"/>
  <c r="I211" i="4" a="1"/>
  <c r="K211" i="4" a="1"/>
  <c r="L211" i="4" a="1"/>
  <c r="A212" i="4"/>
  <c r="B212" i="4" a="1"/>
  <c r="C212" i="4" a="1"/>
  <c r="D212" i="4" a="1"/>
  <c r="E212" i="4" a="1"/>
  <c r="F212" i="4" a="1"/>
  <c r="G212" i="4" a="1"/>
  <c r="H212" i="4" a="1"/>
  <c r="I212" i="4" a="1"/>
  <c r="K212" i="4" a="1"/>
  <c r="L212" i="4" a="1"/>
  <c r="A213" i="4"/>
  <c r="B213" i="4" a="1"/>
  <c r="C213" i="4" a="1"/>
  <c r="D213" i="4" a="1"/>
  <c r="E213" i="4" a="1"/>
  <c r="F213" i="4" a="1"/>
  <c r="G213" i="4" a="1"/>
  <c r="H213" i="4" a="1"/>
  <c r="I213" i="4" a="1"/>
  <c r="K213" i="4" a="1"/>
  <c r="L213" i="4" a="1"/>
  <c r="A214" i="4"/>
  <c r="B214" i="4" a="1"/>
  <c r="C214" i="4" a="1"/>
  <c r="D214" i="4" a="1"/>
  <c r="E214" i="4" a="1"/>
  <c r="F214" i="4" a="1"/>
  <c r="G214" i="4" a="1"/>
  <c r="H214" i="4" a="1"/>
  <c r="I214" i="4" a="1"/>
  <c r="K214" i="4" a="1"/>
  <c r="L214" i="4" a="1"/>
  <c r="A215" i="4"/>
  <c r="B215" i="4" a="1"/>
  <c r="C215" i="4" a="1"/>
  <c r="D215" i="4" a="1"/>
  <c r="E215" i="4" a="1"/>
  <c r="F215" i="4" a="1"/>
  <c r="G215" i="4" a="1"/>
  <c r="H215" i="4" a="1"/>
  <c r="I215" i="4" a="1"/>
  <c r="K215" i="4" a="1"/>
  <c r="L215" i="4" a="1"/>
  <c r="A216" i="4"/>
  <c r="B216" i="4" a="1"/>
  <c r="C216" i="4" a="1"/>
  <c r="D216" i="4" a="1"/>
  <c r="E216" i="4" a="1"/>
  <c r="F216" i="4" a="1"/>
  <c r="G216" i="4" a="1"/>
  <c r="H216" i="4" a="1"/>
  <c r="I216" i="4" a="1"/>
  <c r="K216" i="4" a="1"/>
  <c r="L216" i="4" a="1"/>
  <c r="A217" i="4"/>
  <c r="B217" i="4" a="1"/>
  <c r="C217" i="4" a="1"/>
  <c r="D217" i="4" a="1"/>
  <c r="E217" i="4" a="1"/>
  <c r="F217" i="4" a="1"/>
  <c r="G217" i="4" a="1"/>
  <c r="H217" i="4" a="1"/>
  <c r="I217" i="4" a="1"/>
  <c r="K217" i="4" a="1"/>
  <c r="L217" i="4" a="1"/>
  <c r="A218" i="4"/>
  <c r="B218" i="4" a="1"/>
  <c r="C218" i="4" a="1"/>
  <c r="D218" i="4" a="1"/>
  <c r="E218" i="4" a="1"/>
  <c r="F218" i="4" a="1"/>
  <c r="G218" i="4" a="1"/>
  <c r="H218" i="4" a="1"/>
  <c r="I218" i="4" a="1"/>
  <c r="K218" i="4" a="1"/>
  <c r="L218" i="4" a="1"/>
  <c r="A219" i="4"/>
  <c r="B219" i="4" a="1"/>
  <c r="C219" i="4" a="1"/>
  <c r="D219" i="4" a="1"/>
  <c r="E219" i="4" a="1"/>
  <c r="F219" i="4" a="1"/>
  <c r="G219" i="4" a="1"/>
  <c r="H219" i="4" a="1"/>
  <c r="I219" i="4" a="1"/>
  <c r="K219" i="4" a="1"/>
  <c r="L219" i="4" a="1"/>
  <c r="A220" i="4"/>
  <c r="B220" i="4" a="1"/>
  <c r="C220" i="4" a="1"/>
  <c r="D220" i="4" a="1"/>
  <c r="E220" i="4" a="1"/>
  <c r="F220" i="4" a="1"/>
  <c r="G220" i="4" a="1"/>
  <c r="H220" i="4" a="1"/>
  <c r="I220" i="4" a="1"/>
  <c r="K220" i="4" a="1"/>
  <c r="L220" i="4" a="1"/>
  <c r="A221" i="4"/>
  <c r="B221" i="4" a="1"/>
  <c r="C221" i="4" a="1"/>
  <c r="D221" i="4" a="1"/>
  <c r="E221" i="4" a="1"/>
  <c r="F221" i="4" a="1"/>
  <c r="G221" i="4" a="1"/>
  <c r="H221" i="4" a="1"/>
  <c r="I221" i="4" a="1"/>
  <c r="K221" i="4" a="1"/>
  <c r="L221" i="4" a="1"/>
  <c r="A222" i="4"/>
  <c r="B222" i="4" a="1"/>
  <c r="C222" i="4" a="1"/>
  <c r="D222" i="4" a="1"/>
  <c r="E222" i="4" a="1"/>
  <c r="F222" i="4" a="1"/>
  <c r="G222" i="4" a="1"/>
  <c r="H222" i="4" a="1"/>
  <c r="I222" i="4" a="1"/>
  <c r="K222" i="4" a="1"/>
  <c r="L222" i="4" a="1"/>
  <c r="A223" i="4"/>
  <c r="B223" i="4" a="1"/>
  <c r="C223" i="4" a="1"/>
  <c r="D223" i="4" a="1"/>
  <c r="E223" i="4" a="1"/>
  <c r="F223" i="4" a="1"/>
  <c r="G223" i="4" a="1"/>
  <c r="H223" i="4" a="1"/>
  <c r="I223" i="4" a="1"/>
  <c r="K223" i="4" a="1"/>
  <c r="L223" i="4" a="1"/>
  <c r="A224" i="4"/>
  <c r="B224" i="4" a="1"/>
  <c r="C224" i="4" a="1"/>
  <c r="D224" i="4" a="1"/>
  <c r="E224" i="4" a="1"/>
  <c r="F224" i="4" a="1"/>
  <c r="G224" i="4" a="1"/>
  <c r="H224" i="4" a="1"/>
  <c r="I224" i="4" a="1"/>
  <c r="K224" i="4" a="1"/>
  <c r="L224" i="4" a="1"/>
  <c r="A225" i="4"/>
  <c r="B225" i="4" a="1"/>
  <c r="C225" i="4" a="1"/>
  <c r="D225" i="4" a="1"/>
  <c r="E225" i="4" a="1"/>
  <c r="F225" i="4" a="1"/>
  <c r="G225" i="4" a="1"/>
  <c r="H225" i="4" a="1"/>
  <c r="I225" i="4" a="1"/>
  <c r="K225" i="4" a="1"/>
  <c r="L225" i="4" a="1"/>
  <c r="A226" i="4"/>
  <c r="B226" i="4" a="1"/>
  <c r="C226" i="4" a="1"/>
  <c r="D226" i="4" a="1"/>
  <c r="E226" i="4" a="1"/>
  <c r="F226" i="4" a="1"/>
  <c r="G226" i="4" a="1"/>
  <c r="H226" i="4" a="1"/>
  <c r="I226" i="4" a="1"/>
  <c r="K226" i="4" a="1"/>
  <c r="L226" i="4" a="1"/>
  <c r="A227" i="4"/>
  <c r="B227" i="4" a="1"/>
  <c r="C227" i="4" a="1"/>
  <c r="D227" i="4" a="1"/>
  <c r="E227" i="4" a="1"/>
  <c r="F227" i="4" a="1"/>
  <c r="G227" i="4" a="1"/>
  <c r="H227" i="4" a="1"/>
  <c r="I227" i="4" a="1"/>
  <c r="K227" i="4" a="1"/>
  <c r="L227" i="4" a="1"/>
  <c r="A228" i="4"/>
  <c r="B228" i="4" a="1"/>
  <c r="C228" i="4" a="1"/>
  <c r="D228" i="4" a="1"/>
  <c r="E228" i="4" a="1"/>
  <c r="F228" i="4" a="1"/>
  <c r="G228" i="4" a="1"/>
  <c r="H228" i="4" a="1"/>
  <c r="I228" i="4" a="1"/>
  <c r="K228" i="4" a="1"/>
  <c r="L228" i="4" a="1"/>
  <c r="A229" i="4"/>
  <c r="B229" i="4" a="1"/>
  <c r="C229" i="4" a="1"/>
  <c r="D229" i="4" a="1"/>
  <c r="E229" i="4" a="1"/>
  <c r="F229" i="4" a="1"/>
  <c r="G229" i="4" a="1"/>
  <c r="H229" i="4" a="1"/>
  <c r="I229" i="4" a="1"/>
  <c r="K229" i="4" a="1"/>
  <c r="L229" i="4" a="1"/>
  <c r="A230" i="4"/>
  <c r="B230" i="4" a="1"/>
  <c r="C230" i="4" a="1"/>
  <c r="D230" i="4" a="1"/>
  <c r="E230" i="4" a="1"/>
  <c r="F230" i="4" a="1"/>
  <c r="G230" i="4" a="1"/>
  <c r="H230" i="4" a="1"/>
  <c r="I230" i="4" a="1"/>
  <c r="K230" i="4" a="1"/>
  <c r="L230" i="4" a="1"/>
  <c r="A231" i="4"/>
  <c r="B231" i="4" a="1"/>
  <c r="C231" i="4" a="1"/>
  <c r="D231" i="4" a="1"/>
  <c r="E231" i="4" a="1"/>
  <c r="F231" i="4" a="1"/>
  <c r="G231" i="4" a="1"/>
  <c r="H231" i="4" a="1"/>
  <c r="I231" i="4" a="1"/>
  <c r="K231" i="4" a="1"/>
  <c r="L231" i="4" a="1"/>
  <c r="A232" i="4"/>
  <c r="B232" i="4" a="1"/>
  <c r="C232" i="4" a="1"/>
  <c r="D232" i="4" a="1"/>
  <c r="E232" i="4" a="1"/>
  <c r="F232" i="4" a="1"/>
  <c r="G232" i="4" a="1"/>
  <c r="H232" i="4" a="1"/>
  <c r="I232" i="4" a="1"/>
  <c r="K232" i="4" a="1"/>
  <c r="L232" i="4" a="1"/>
  <c r="A233" i="4"/>
  <c r="B233" i="4" a="1"/>
  <c r="C233" i="4" a="1"/>
  <c r="D233" i="4" a="1"/>
  <c r="E233" i="4" a="1"/>
  <c r="F233" i="4" a="1"/>
  <c r="G233" i="4" a="1"/>
  <c r="H233" i="4" a="1"/>
  <c r="I233" i="4" a="1"/>
  <c r="K233" i="4" a="1"/>
  <c r="L233" i="4" a="1"/>
  <c r="A234" i="4"/>
  <c r="B234" i="4" a="1"/>
  <c r="C234" i="4" a="1"/>
  <c r="D234" i="4" a="1"/>
  <c r="E234" i="4" a="1"/>
  <c r="F234" i="4" a="1"/>
  <c r="G234" i="4" a="1"/>
  <c r="H234" i="4" a="1"/>
  <c r="I234" i="4" a="1"/>
  <c r="K234" i="4" a="1"/>
  <c r="L234" i="4" a="1"/>
  <c r="A235" i="4"/>
  <c r="B235" i="4" a="1"/>
  <c r="C235" i="4" a="1"/>
  <c r="D235" i="4" a="1"/>
  <c r="E235" i="4" a="1"/>
  <c r="F235" i="4" a="1"/>
  <c r="G235" i="4" a="1"/>
  <c r="H235" i="4" a="1"/>
  <c r="I235" i="4" a="1"/>
  <c r="K235" i="4" a="1"/>
  <c r="L235" i="4" a="1"/>
  <c r="A236" i="4"/>
  <c r="B236" i="4" a="1"/>
  <c r="C236" i="4" a="1"/>
  <c r="D236" i="4" a="1"/>
  <c r="E236" i="4" a="1"/>
  <c r="F236" i="4" a="1"/>
  <c r="G236" i="4" a="1"/>
  <c r="H236" i="4" a="1"/>
  <c r="I236" i="4" a="1"/>
  <c r="K236" i="4" a="1"/>
  <c r="L236" i="4" a="1"/>
  <c r="A237" i="4"/>
  <c r="B237" i="4" a="1"/>
  <c r="C237" i="4" a="1"/>
  <c r="D237" i="4" a="1"/>
  <c r="E237" i="4" a="1"/>
  <c r="F237" i="4" a="1"/>
  <c r="G237" i="4" a="1"/>
  <c r="H237" i="4" a="1"/>
  <c r="I237" i="4" a="1"/>
  <c r="K237" i="4" a="1"/>
  <c r="L237" i="4" a="1"/>
  <c r="A238" i="4"/>
  <c r="B238" i="4" a="1"/>
  <c r="C238" i="4" a="1"/>
  <c r="D238" i="4" a="1"/>
  <c r="E238" i="4" a="1"/>
  <c r="F238" i="4" a="1"/>
  <c r="G238" i="4" a="1"/>
  <c r="H238" i="4" a="1"/>
  <c r="I238" i="4" a="1"/>
  <c r="K238" i="4" a="1"/>
  <c r="L238" i="4" a="1"/>
  <c r="A239" i="4"/>
  <c r="B239" i="4" a="1"/>
  <c r="C239" i="4" a="1"/>
  <c r="D239" i="4" a="1"/>
  <c r="E239" i="4" a="1"/>
  <c r="F239" i="4" a="1"/>
  <c r="G239" i="4" a="1"/>
  <c r="H239" i="4" a="1"/>
  <c r="I239" i="4" a="1"/>
  <c r="K239" i="4" a="1"/>
  <c r="L239" i="4" a="1"/>
  <c r="A240" i="4"/>
  <c r="B240" i="4" a="1"/>
  <c r="C240" i="4" a="1"/>
  <c r="D240" i="4" a="1"/>
  <c r="E240" i="4" a="1"/>
  <c r="F240" i="4" a="1"/>
  <c r="G240" i="4" a="1"/>
  <c r="H240" i="4" a="1"/>
  <c r="I240" i="4" a="1"/>
  <c r="K240" i="4" a="1"/>
  <c r="L240" i="4" a="1"/>
  <c r="A241" i="4"/>
  <c r="B241" i="4" a="1"/>
  <c r="C241" i="4" a="1"/>
  <c r="D241" i="4" a="1"/>
  <c r="E241" i="4" a="1"/>
  <c r="F241" i="4" a="1"/>
  <c r="G241" i="4" a="1"/>
  <c r="H241" i="4" a="1"/>
  <c r="I241" i="4" a="1"/>
  <c r="K241" i="4" a="1"/>
  <c r="L241" i="4" a="1"/>
  <c r="A242" i="4"/>
  <c r="B242" i="4" a="1"/>
  <c r="C242" i="4" a="1"/>
  <c r="D242" i="4" a="1"/>
  <c r="E242" i="4" a="1"/>
  <c r="F242" i="4" a="1"/>
  <c r="G242" i="4" a="1"/>
  <c r="H242" i="4" a="1"/>
  <c r="I242" i="4" a="1"/>
  <c r="K242" i="4" a="1"/>
  <c r="L242" i="4" a="1"/>
  <c r="A243" i="4"/>
  <c r="B243" i="4" a="1"/>
  <c r="C243" i="4" a="1"/>
  <c r="D243" i="4" a="1"/>
  <c r="E243" i="4" a="1"/>
  <c r="F243" i="4" a="1"/>
  <c r="G243" i="4" a="1"/>
  <c r="H243" i="4" a="1"/>
  <c r="I243" i="4" a="1"/>
  <c r="K243" i="4" a="1"/>
  <c r="L243" i="4" a="1"/>
  <c r="A244" i="4"/>
  <c r="B244" i="4" a="1"/>
  <c r="C244" i="4" a="1"/>
  <c r="D244" i="4" a="1"/>
  <c r="E244" i="4" a="1"/>
  <c r="F244" i="4" a="1"/>
  <c r="G244" i="4" a="1"/>
  <c r="H244" i="4" a="1"/>
  <c r="I244" i="4" a="1"/>
  <c r="K244" i="4" a="1"/>
  <c r="L244" i="4" a="1"/>
  <c r="A245" i="4"/>
  <c r="B245" i="4" a="1"/>
  <c r="C245" i="4" a="1"/>
  <c r="D245" i="4" a="1"/>
  <c r="E245" i="4" a="1"/>
  <c r="F245" i="4" a="1"/>
  <c r="G245" i="4" a="1"/>
  <c r="H245" i="4" a="1"/>
  <c r="I245" i="4" a="1"/>
  <c r="K245" i="4" a="1"/>
  <c r="L245" i="4" a="1"/>
  <c r="A246" i="4"/>
  <c r="B246" i="4" a="1"/>
  <c r="C246" i="4" a="1"/>
  <c r="D246" i="4" a="1"/>
  <c r="E246" i="4" a="1"/>
  <c r="F246" i="4" a="1"/>
  <c r="G246" i="4" a="1"/>
  <c r="H246" i="4" a="1"/>
  <c r="I246" i="4" a="1"/>
  <c r="K246" i="4" a="1"/>
  <c r="L246" i="4" a="1"/>
  <c r="A247" i="4"/>
  <c r="B247" i="4" a="1"/>
  <c r="C247" i="4" a="1"/>
  <c r="D247" i="4" a="1"/>
  <c r="E247" i="4" a="1"/>
  <c r="F247" i="4" a="1"/>
  <c r="G247" i="4" a="1"/>
  <c r="H247" i="4" a="1"/>
  <c r="I247" i="4" a="1"/>
  <c r="K247" i="4" a="1"/>
  <c r="L247" i="4" a="1"/>
  <c r="A248" i="4"/>
  <c r="B248" i="4" a="1"/>
  <c r="C248" i="4" a="1"/>
  <c r="D248" i="4" a="1"/>
  <c r="E248" i="4" a="1"/>
  <c r="F248" i="4" a="1"/>
  <c r="G248" i="4" a="1"/>
  <c r="H248" i="4" a="1"/>
  <c r="I248" i="4" a="1"/>
  <c r="K248" i="4" a="1"/>
  <c r="L248" i="4" a="1"/>
  <c r="A249" i="4"/>
  <c r="B249" i="4" a="1"/>
  <c r="C249" i="4" a="1"/>
  <c r="D249" i="4" a="1"/>
  <c r="E249" i="4" a="1"/>
  <c r="F249" i="4" a="1"/>
  <c r="G249" i="4" a="1"/>
  <c r="H249" i="4" a="1"/>
  <c r="I249" i="4" a="1"/>
  <c r="K249" i="4" a="1"/>
  <c r="L249" i="4" a="1"/>
  <c r="A250" i="4"/>
  <c r="B250" i="4" a="1"/>
  <c r="C250" i="4" a="1"/>
  <c r="D250" i="4" a="1"/>
  <c r="E250" i="4" a="1"/>
  <c r="F250" i="4" a="1"/>
  <c r="G250" i="4" a="1"/>
  <c r="H250" i="4" a="1"/>
  <c r="I250" i="4" a="1"/>
  <c r="K250" i="4" a="1"/>
  <c r="L250" i="4" a="1"/>
  <c r="A251" i="4"/>
  <c r="B251" i="4" a="1"/>
  <c r="C251" i="4" a="1"/>
  <c r="D251" i="4" a="1"/>
  <c r="E251" i="4" a="1"/>
  <c r="F251" i="4" a="1"/>
  <c r="G251" i="4" a="1"/>
  <c r="H251" i="4" a="1"/>
  <c r="I251" i="4" a="1"/>
  <c r="K251" i="4" a="1"/>
  <c r="L251" i="4" a="1"/>
  <c r="A252" i="4"/>
  <c r="B252" i="4" a="1"/>
  <c r="C252" i="4" a="1"/>
  <c r="D252" i="4" a="1"/>
  <c r="E252" i="4" a="1"/>
  <c r="F252" i="4" a="1"/>
  <c r="G252" i="4" a="1"/>
  <c r="H252" i="4" a="1"/>
  <c r="I252" i="4" a="1"/>
  <c r="K252" i="4" a="1"/>
  <c r="L252" i="4" a="1"/>
  <c r="A253" i="4"/>
  <c r="B253" i="4" a="1"/>
  <c r="C253" i="4" a="1"/>
  <c r="D253" i="4" a="1"/>
  <c r="E253" i="4" a="1"/>
  <c r="F253" i="4" a="1"/>
  <c r="G253" i="4" a="1"/>
  <c r="H253" i="4" a="1"/>
  <c r="I253" i="4" a="1"/>
  <c r="K253" i="4" a="1"/>
  <c r="L253" i="4" a="1"/>
  <c r="A254" i="4"/>
  <c r="B254" i="4" a="1"/>
  <c r="C254" i="4" a="1"/>
  <c r="D254" i="4" a="1"/>
  <c r="E254" i="4" a="1"/>
  <c r="F254" i="4" a="1"/>
  <c r="G254" i="4" a="1"/>
  <c r="H254" i="4" a="1"/>
  <c r="I254" i="4" a="1"/>
  <c r="K254" i="4" a="1"/>
  <c r="L254" i="4" a="1"/>
  <c r="A255" i="4"/>
  <c r="B255" i="4" a="1"/>
  <c r="C255" i="4" a="1"/>
  <c r="D255" i="4" a="1"/>
  <c r="E255" i="4" a="1"/>
  <c r="F255" i="4" a="1"/>
  <c r="G255" i="4" a="1"/>
  <c r="H255" i="4" a="1"/>
  <c r="I255" i="4" a="1"/>
  <c r="K255" i="4" a="1"/>
  <c r="L255" i="4" a="1"/>
  <c r="A256" i="4"/>
  <c r="B256" i="4" a="1"/>
  <c r="C256" i="4" a="1"/>
  <c r="D256" i="4" a="1"/>
  <c r="E256" i="4" a="1"/>
  <c r="F256" i="4" a="1"/>
  <c r="G256" i="4" a="1"/>
  <c r="H256" i="4" a="1"/>
  <c r="I256" i="4" a="1"/>
  <c r="K256" i="4" a="1"/>
  <c r="L256" i="4" a="1"/>
  <c r="A257" i="4"/>
  <c r="B257" i="4" a="1"/>
  <c r="C257" i="4" a="1"/>
  <c r="D257" i="4" a="1"/>
  <c r="E257" i="4" a="1"/>
  <c r="F257" i="4" a="1"/>
  <c r="G257" i="4" a="1"/>
  <c r="H257" i="4" a="1"/>
  <c r="I257" i="4" a="1"/>
  <c r="K257" i="4" a="1"/>
  <c r="L257" i="4" a="1"/>
  <c r="A258" i="4"/>
  <c r="B258" i="4" a="1"/>
  <c r="C258" i="4" a="1"/>
  <c r="D258" i="4" a="1"/>
  <c r="E258" i="4" a="1"/>
  <c r="F258" i="4" a="1"/>
  <c r="G258" i="4" a="1"/>
  <c r="H258" i="4" a="1"/>
  <c r="I258" i="4" a="1"/>
  <c r="K258" i="4" a="1"/>
  <c r="L258" i="4" a="1"/>
  <c r="A259" i="4"/>
  <c r="B259" i="4" a="1"/>
  <c r="C259" i="4" a="1"/>
  <c r="D259" i="4" a="1"/>
  <c r="E259" i="4" a="1"/>
  <c r="F259" i="4" a="1"/>
  <c r="G259" i="4" a="1"/>
  <c r="H259" i="4" a="1"/>
  <c r="I259" i="4" a="1"/>
  <c r="K259" i="4" a="1"/>
  <c r="L259" i="4" a="1"/>
  <c r="A260" i="4"/>
  <c r="B260" i="4" a="1"/>
  <c r="C260" i="4" a="1"/>
  <c r="D260" i="4" a="1"/>
  <c r="E260" i="4" a="1"/>
  <c r="F260" i="4" a="1"/>
  <c r="G260" i="4" a="1"/>
  <c r="H260" i="4" a="1"/>
  <c r="I260" i="4" a="1"/>
  <c r="K260" i="4" a="1"/>
  <c r="L260" i="4" a="1"/>
  <c r="A261" i="4"/>
  <c r="B261" i="4" a="1"/>
  <c r="C261" i="4" a="1"/>
  <c r="D261" i="4" a="1"/>
  <c r="E261" i="4" a="1"/>
  <c r="F261" i="4" a="1"/>
  <c r="G261" i="4" a="1"/>
  <c r="H261" i="4" a="1"/>
  <c r="I261" i="4" a="1"/>
  <c r="K261" i="4" a="1"/>
  <c r="L261" i="4" a="1"/>
  <c r="A262" i="4"/>
  <c r="B262" i="4" a="1"/>
  <c r="C262" i="4" a="1"/>
  <c r="D262" i="4" a="1"/>
  <c r="E262" i="4" a="1"/>
  <c r="F262" i="4" a="1"/>
  <c r="G262" i="4" a="1"/>
  <c r="H262" i="4" a="1"/>
  <c r="I262" i="4" a="1"/>
  <c r="K262" i="4" a="1"/>
  <c r="L262" i="4" a="1"/>
  <c r="A263" i="4"/>
  <c r="B263" i="4" a="1"/>
  <c r="C263" i="4" a="1"/>
  <c r="D263" i="4" a="1"/>
  <c r="E263" i="4" a="1"/>
  <c r="F263" i="4" a="1"/>
  <c r="G263" i="4" a="1"/>
  <c r="H263" i="4" a="1"/>
  <c r="I263" i="4" a="1"/>
  <c r="K263" i="4" a="1"/>
  <c r="L263" i="4" a="1"/>
  <c r="A264" i="4"/>
  <c r="B264" i="4" a="1"/>
  <c r="C264" i="4" a="1"/>
  <c r="D264" i="4" a="1"/>
  <c r="E264" i="4" a="1"/>
  <c r="F264" i="4" a="1"/>
  <c r="G264" i="4" a="1"/>
  <c r="H264" i="4" a="1"/>
  <c r="I264" i="4" a="1"/>
  <c r="K264" i="4" a="1"/>
  <c r="L264" i="4" a="1"/>
  <c r="A265" i="4"/>
  <c r="B265" i="4" a="1"/>
  <c r="C265" i="4" a="1"/>
  <c r="D265" i="4" a="1"/>
  <c r="E265" i="4" a="1"/>
  <c r="F265" i="4" a="1"/>
  <c r="G265" i="4" a="1"/>
  <c r="H265" i="4" a="1"/>
  <c r="I265" i="4" a="1"/>
  <c r="K265" i="4" a="1"/>
  <c r="L265" i="4" a="1"/>
  <c r="A266" i="4"/>
  <c r="B266" i="4" a="1"/>
  <c r="C266" i="4" a="1"/>
  <c r="D266" i="4" a="1"/>
  <c r="E266" i="4" a="1"/>
  <c r="F266" i="4" a="1"/>
  <c r="G266" i="4" a="1"/>
  <c r="H266" i="4" a="1"/>
  <c r="I266" i="4" a="1"/>
  <c r="K266" i="4" a="1"/>
  <c r="L266" i="4" a="1"/>
  <c r="A267" i="4"/>
  <c r="B267" i="4" a="1"/>
  <c r="C267" i="4" a="1"/>
  <c r="D267" i="4" a="1"/>
  <c r="E267" i="4" a="1"/>
  <c r="F267" i="4" a="1"/>
  <c r="G267" i="4" a="1"/>
  <c r="H267" i="4" a="1"/>
  <c r="I267" i="4" a="1"/>
  <c r="K267" i="4" a="1"/>
  <c r="L267" i="4" a="1"/>
  <c r="A268" i="4"/>
  <c r="B268" i="4" a="1"/>
  <c r="C268" i="4" a="1"/>
  <c r="D268" i="4" a="1"/>
  <c r="E268" i="4" a="1"/>
  <c r="F268" i="4" a="1"/>
  <c r="G268" i="4" a="1"/>
  <c r="H268" i="4" a="1"/>
  <c r="I268" i="4" a="1"/>
  <c r="K268" i="4" a="1"/>
  <c r="L268" i="4" a="1"/>
  <c r="A269" i="4"/>
  <c r="B269" i="4" a="1"/>
  <c r="C269" i="4" a="1"/>
  <c r="D269" i="4" a="1"/>
  <c r="E269" i="4" a="1"/>
  <c r="F269" i="4" a="1"/>
  <c r="G269" i="4" a="1"/>
  <c r="H269" i="4" a="1"/>
  <c r="I269" i="4" a="1"/>
  <c r="K269" i="4" a="1"/>
  <c r="L269" i="4" a="1"/>
  <c r="A270" i="4"/>
  <c r="B270" i="4" a="1"/>
  <c r="C270" i="4" a="1"/>
  <c r="D270" i="4" a="1"/>
  <c r="E270" i="4" a="1"/>
  <c r="F270" i="4" a="1"/>
  <c r="G270" i="4" a="1"/>
  <c r="H270" i="4" a="1"/>
  <c r="I270" i="4" a="1"/>
  <c r="K270" i="4" a="1"/>
  <c r="L270" i="4" a="1"/>
  <c r="A271" i="4"/>
  <c r="B271" i="4" a="1"/>
  <c r="C271" i="4" a="1"/>
  <c r="D271" i="4" a="1"/>
  <c r="E271" i="4" a="1"/>
  <c r="F271" i="4" a="1"/>
  <c r="G271" i="4" a="1"/>
  <c r="H271" i="4" a="1"/>
  <c r="I271" i="4" a="1"/>
  <c r="K271" i="4" a="1"/>
  <c r="L271" i="4" a="1"/>
  <c r="A272" i="4"/>
  <c r="B272" i="4" a="1"/>
  <c r="C272" i="4" a="1"/>
  <c r="D272" i="4" a="1"/>
  <c r="E272" i="4" a="1"/>
  <c r="F272" i="4" a="1"/>
  <c r="G272" i="4" a="1"/>
  <c r="H272" i="4" a="1"/>
  <c r="I272" i="4" a="1"/>
  <c r="K272" i="4" a="1"/>
  <c r="L272" i="4" a="1"/>
  <c r="A273" i="4"/>
  <c r="B273" i="4" a="1"/>
  <c r="C273" i="4" a="1"/>
  <c r="D273" i="4" a="1"/>
  <c r="E273" i="4" a="1"/>
  <c r="F273" i="4" a="1"/>
  <c r="G273" i="4" a="1"/>
  <c r="H273" i="4" a="1"/>
  <c r="I273" i="4" a="1"/>
  <c r="K273" i="4" a="1"/>
  <c r="L273" i="4" a="1"/>
  <c r="A274" i="4"/>
  <c r="B274" i="4" a="1"/>
  <c r="C274" i="4" a="1"/>
  <c r="D274" i="4" a="1"/>
  <c r="E274" i="4" a="1"/>
  <c r="F274" i="4" a="1"/>
  <c r="G274" i="4" a="1"/>
  <c r="H274" i="4" a="1"/>
  <c r="I274" i="4" a="1"/>
  <c r="K274" i="4" a="1"/>
  <c r="L274" i="4" a="1"/>
  <c r="A275" i="4"/>
  <c r="B275" i="4" a="1"/>
  <c r="C275" i="4" a="1"/>
  <c r="D275" i="4" a="1"/>
  <c r="E275" i="4" a="1"/>
  <c r="F275" i="4" a="1"/>
  <c r="G275" i="4" a="1"/>
  <c r="H275" i="4" a="1"/>
  <c r="I275" i="4" a="1"/>
  <c r="K275" i="4" a="1"/>
  <c r="L275" i="4" a="1"/>
  <c r="A276" i="4"/>
  <c r="B276" i="4" a="1"/>
  <c r="C276" i="4" a="1"/>
  <c r="D276" i="4" a="1"/>
  <c r="E276" i="4" a="1"/>
  <c r="F276" i="4" a="1"/>
  <c r="G276" i="4" a="1"/>
  <c r="H276" i="4" a="1"/>
  <c r="I276" i="4" a="1"/>
  <c r="K276" i="4" a="1"/>
  <c r="L276" i="4" a="1"/>
  <c r="A277" i="4"/>
  <c r="B277" i="4" a="1"/>
  <c r="C277" i="4" a="1"/>
  <c r="D277" i="4" a="1"/>
  <c r="E277" i="4" a="1"/>
  <c r="F277" i="4" a="1"/>
  <c r="G277" i="4" a="1"/>
  <c r="H277" i="4" a="1"/>
  <c r="I277" i="4" a="1"/>
  <c r="K277" i="4" a="1"/>
  <c r="L277" i="4" a="1"/>
  <c r="A278" i="4"/>
  <c r="B278" i="4" a="1"/>
  <c r="C278" i="4" a="1"/>
  <c r="D278" i="4" a="1"/>
  <c r="E278" i="4" a="1"/>
  <c r="F278" i="4" a="1"/>
  <c r="G278" i="4" a="1"/>
  <c r="H278" i="4" a="1"/>
  <c r="I278" i="4" a="1"/>
  <c r="K278" i="4" a="1"/>
  <c r="L278" i="4" a="1"/>
  <c r="A279" i="4"/>
  <c r="B279" i="4" a="1"/>
  <c r="C279" i="4" a="1"/>
  <c r="D279" i="4" a="1"/>
  <c r="E279" i="4" a="1"/>
  <c r="F279" i="4" a="1"/>
  <c r="G279" i="4" a="1"/>
  <c r="H279" i="4" a="1"/>
  <c r="I279" i="4" a="1"/>
  <c r="K279" i="4" a="1"/>
  <c r="L279" i="4" a="1"/>
  <c r="A280" i="4"/>
  <c r="B280" i="4" a="1"/>
  <c r="C280" i="4" a="1"/>
  <c r="D280" i="4" a="1"/>
  <c r="E280" i="4" a="1"/>
  <c r="F280" i="4" a="1"/>
  <c r="G280" i="4" a="1"/>
  <c r="H280" i="4" a="1"/>
  <c r="I280" i="4" a="1"/>
  <c r="K280" i="4" a="1"/>
  <c r="L280" i="4" a="1"/>
  <c r="A281" i="4"/>
  <c r="B281" i="4" a="1"/>
  <c r="C281" i="4" a="1"/>
  <c r="D281" i="4" a="1"/>
  <c r="E281" i="4" a="1"/>
  <c r="F281" i="4" a="1"/>
  <c r="G281" i="4" a="1"/>
  <c r="H281" i="4" a="1"/>
  <c r="I281" i="4" a="1"/>
  <c r="K281" i="4" a="1"/>
  <c r="L281" i="4" a="1"/>
  <c r="A282" i="4"/>
  <c r="B282" i="4" a="1"/>
  <c r="C282" i="4" a="1"/>
  <c r="D282" i="4" a="1"/>
  <c r="E282" i="4" a="1"/>
  <c r="F282" i="4" a="1"/>
  <c r="G282" i="4" a="1"/>
  <c r="H282" i="4" a="1"/>
  <c r="I282" i="4" a="1"/>
  <c r="K282" i="4" a="1"/>
  <c r="L282" i="4" a="1"/>
  <c r="A283" i="4"/>
  <c r="B283" i="4" a="1"/>
  <c r="C283" i="4" a="1"/>
  <c r="D283" i="4" a="1"/>
  <c r="E283" i="4" a="1"/>
  <c r="F283" i="4" a="1"/>
  <c r="G283" i="4" a="1"/>
  <c r="H283" i="4" a="1"/>
  <c r="I283" i="4" a="1"/>
  <c r="K283" i="4" a="1"/>
  <c r="L283" i="4" a="1"/>
  <c r="A284" i="4"/>
  <c r="B284" i="4" a="1"/>
  <c r="C284" i="4" a="1"/>
  <c r="D284" i="4" a="1"/>
  <c r="E284" i="4" a="1"/>
  <c r="F284" i="4" a="1"/>
  <c r="G284" i="4" a="1"/>
  <c r="H284" i="4" a="1"/>
  <c r="I284" i="4" a="1"/>
  <c r="K284" i="4" a="1"/>
  <c r="L284" i="4" a="1"/>
  <c r="A285" i="4"/>
  <c r="B285" i="4" a="1"/>
  <c r="C285" i="4" a="1"/>
  <c r="D285" i="4" a="1"/>
  <c r="E285" i="4" a="1"/>
  <c r="F285" i="4" a="1"/>
  <c r="G285" i="4" a="1"/>
  <c r="H285" i="4" a="1"/>
  <c r="I285" i="4" a="1"/>
  <c r="K285" i="4" a="1"/>
  <c r="L285" i="4" a="1"/>
  <c r="A286" i="4"/>
  <c r="B286" i="4" a="1"/>
  <c r="C286" i="4" a="1"/>
  <c r="D286" i="4" a="1"/>
  <c r="E286" i="4" a="1"/>
  <c r="F286" i="4" a="1"/>
  <c r="G286" i="4" a="1"/>
  <c r="H286" i="4" a="1"/>
  <c r="I286" i="4" a="1"/>
  <c r="K286" i="4" a="1"/>
  <c r="L286" i="4" a="1"/>
  <c r="A287" i="4"/>
  <c r="B287" i="4" a="1"/>
  <c r="C287" i="4" a="1"/>
  <c r="D287" i="4" a="1"/>
  <c r="E287" i="4" a="1"/>
  <c r="F287" i="4" a="1"/>
  <c r="G287" i="4" a="1"/>
  <c r="H287" i="4" a="1"/>
  <c r="I287" i="4" a="1"/>
  <c r="K287" i="4" a="1"/>
  <c r="L287" i="4" a="1"/>
  <c r="A288" i="4"/>
  <c r="B288" i="4" a="1"/>
  <c r="C288" i="4" a="1"/>
  <c r="D288" i="4" a="1"/>
  <c r="E288" i="4" a="1"/>
  <c r="F288" i="4" a="1"/>
  <c r="G288" i="4" a="1"/>
  <c r="H288" i="4" a="1"/>
  <c r="I288" i="4" a="1"/>
  <c r="K288" i="4" a="1"/>
  <c r="L288" i="4" a="1"/>
  <c r="A289" i="4"/>
  <c r="B289" i="4" a="1"/>
  <c r="C289" i="4" a="1"/>
  <c r="D289" i="4" a="1"/>
  <c r="E289" i="4" a="1"/>
  <c r="F289" i="4" a="1"/>
  <c r="G289" i="4" a="1"/>
  <c r="H289" i="4" a="1"/>
  <c r="I289" i="4" a="1"/>
  <c r="K289" i="4" a="1"/>
  <c r="L289" i="4" a="1"/>
  <c r="A290" i="4"/>
  <c r="B290" i="4" a="1"/>
  <c r="C290" i="4" a="1"/>
  <c r="D290" i="4" a="1"/>
  <c r="E290" i="4" a="1"/>
  <c r="F290" i="4" a="1"/>
  <c r="G290" i="4" a="1"/>
  <c r="H290" i="4" a="1"/>
  <c r="I290" i="4" a="1"/>
  <c r="K290" i="4" a="1"/>
  <c r="L290" i="4" a="1"/>
  <c r="A291" i="4"/>
  <c r="B291" i="4" a="1"/>
  <c r="C291" i="4" a="1"/>
  <c r="D291" i="4" a="1"/>
  <c r="E291" i="4" a="1"/>
  <c r="F291" i="4" a="1"/>
  <c r="G291" i="4" a="1"/>
  <c r="H291" i="4" a="1"/>
  <c r="I291" i="4" a="1"/>
  <c r="K291" i="4" a="1"/>
  <c r="L291" i="4" a="1"/>
  <c r="A292" i="4"/>
  <c r="B292" i="4" a="1"/>
  <c r="C292" i="4" a="1"/>
  <c r="D292" i="4" a="1"/>
  <c r="E292" i="4" a="1"/>
  <c r="F292" i="4" a="1"/>
  <c r="G292" i="4" a="1"/>
  <c r="H292" i="4" a="1"/>
  <c r="I292" i="4" a="1"/>
  <c r="K292" i="4" a="1"/>
  <c r="L292" i="4" a="1"/>
  <c r="A293" i="4"/>
  <c r="B293" i="4" a="1"/>
  <c r="C293" i="4" a="1"/>
  <c r="D293" i="4" a="1"/>
  <c r="E293" i="4" a="1"/>
  <c r="F293" i="4" a="1"/>
  <c r="G293" i="4" a="1"/>
  <c r="H293" i="4" a="1"/>
  <c r="I293" i="4" a="1"/>
  <c r="K293" i="4" a="1"/>
  <c r="L293" i="4" a="1"/>
  <c r="A294" i="4"/>
  <c r="B294" i="4" a="1"/>
  <c r="C294" i="4" a="1"/>
  <c r="D294" i="4" a="1"/>
  <c r="E294" i="4" a="1"/>
  <c r="F294" i="4" a="1"/>
  <c r="G294" i="4" a="1"/>
  <c r="H294" i="4" a="1"/>
  <c r="I294" i="4" a="1"/>
  <c r="K294" i="4" a="1"/>
  <c r="L294" i="4" a="1"/>
  <c r="A295" i="4"/>
  <c r="B295" i="4" a="1"/>
  <c r="C295" i="4" a="1"/>
  <c r="D295" i="4" a="1"/>
  <c r="E295" i="4" a="1"/>
  <c r="F295" i="4" a="1"/>
  <c r="G295" i="4" a="1"/>
  <c r="H295" i="4" a="1"/>
  <c r="I295" i="4" a="1"/>
  <c r="K295" i="4" a="1"/>
  <c r="L295" i="4" a="1"/>
  <c r="A296" i="4"/>
  <c r="B296" i="4" a="1"/>
  <c r="C296" i="4" a="1"/>
  <c r="D296" i="4" a="1"/>
  <c r="E296" i="4" a="1"/>
  <c r="F296" i="4" a="1"/>
  <c r="G296" i="4" a="1"/>
  <c r="H296" i="4" a="1"/>
  <c r="I296" i="4" a="1"/>
  <c r="K296" i="4" a="1"/>
  <c r="L296" i="4" a="1"/>
  <c r="A297" i="4"/>
  <c r="B297" i="4" a="1"/>
  <c r="C297" i="4" a="1"/>
  <c r="D297" i="4" a="1"/>
  <c r="E297" i="4" a="1"/>
  <c r="F297" i="4" a="1"/>
  <c r="G297" i="4" a="1"/>
  <c r="H297" i="4" a="1"/>
  <c r="I297" i="4" a="1"/>
  <c r="K297" i="4" a="1"/>
  <c r="L297" i="4" a="1"/>
  <c r="A298" i="4"/>
  <c r="B298" i="4" a="1"/>
  <c r="C298" i="4" a="1"/>
  <c r="D298" i="4" a="1"/>
  <c r="E298" i="4" a="1"/>
  <c r="F298" i="4" a="1"/>
  <c r="G298" i="4" a="1"/>
  <c r="H298" i="4" a="1"/>
  <c r="I298" i="4" a="1"/>
  <c r="K298" i="4" a="1"/>
  <c r="L298" i="4" a="1"/>
  <c r="A299" i="4"/>
  <c r="B299" i="4" a="1"/>
  <c r="C299" i="4" a="1"/>
  <c r="D299" i="4" a="1"/>
  <c r="E299" i="4" a="1"/>
  <c r="F299" i="4" a="1"/>
  <c r="G299" i="4" a="1"/>
  <c r="H299" i="4" a="1"/>
  <c r="I299" i="4" a="1"/>
  <c r="K299" i="4" a="1"/>
  <c r="L299" i="4" a="1"/>
  <c r="A300" i="4"/>
  <c r="B300" i="4" a="1"/>
  <c r="C300" i="4" a="1"/>
  <c r="D300" i="4" a="1"/>
  <c r="E300" i="4" a="1"/>
  <c r="F300" i="4" a="1"/>
  <c r="G300" i="4" a="1"/>
  <c r="H300" i="4" a="1"/>
  <c r="I300" i="4" a="1"/>
  <c r="K300" i="4" a="1"/>
  <c r="L300" i="4" a="1"/>
  <c r="A301" i="4"/>
  <c r="B301" i="4" a="1"/>
  <c r="C301" i="4" a="1"/>
  <c r="D301" i="4" a="1"/>
  <c r="E301" i="4" a="1"/>
  <c r="F301" i="4" a="1"/>
  <c r="G301" i="4" a="1"/>
  <c r="H301" i="4" a="1"/>
  <c r="I301" i="4" a="1"/>
  <c r="K301" i="4" a="1"/>
  <c r="L301" i="4" a="1"/>
  <c r="K101" i="4" a="1"/>
  <c r="K102" i="4" a="1"/>
  <c r="K103" i="4" a="1"/>
  <c r="K104" i="4" a="1"/>
  <c r="K105" i="4" a="1"/>
  <c r="K106" i="4" a="1"/>
  <c r="K107" i="4" a="1"/>
  <c r="K108" i="4" a="1"/>
  <c r="K109" i="4" a="1"/>
  <c r="K110" i="4" a="1"/>
  <c r="K111" i="4" a="1"/>
  <c r="K112" i="4" a="1"/>
  <c r="K113" i="4" a="1"/>
  <c r="K114" i="4" a="1"/>
  <c r="K115" i="4" a="1"/>
  <c r="K116" i="4" a="1"/>
  <c r="K117" i="4" a="1"/>
  <c r="K118" i="4" a="1"/>
  <c r="K119" i="4" a="1"/>
  <c r="K120" i="4" a="1"/>
  <c r="K121" i="4" a="1"/>
  <c r="K122" i="4" a="1"/>
  <c r="K123" i="4" a="1"/>
  <c r="K124" i="4" a="1"/>
  <c r="K125" i="4" a="1"/>
  <c r="K126" i="4" a="1"/>
  <c r="K127" i="4" a="1"/>
  <c r="K128" i="4" a="1"/>
  <c r="K129" i="4" a="1"/>
  <c r="K130" i="4" a="1"/>
  <c r="K131" i="4" a="1"/>
  <c r="K132" i="4" a="1"/>
  <c r="K133" i="4" a="1"/>
  <c r="K134" i="4" a="1"/>
  <c r="K135" i="4" a="1"/>
  <c r="K136" i="4" a="1"/>
  <c r="K137" i="4" a="1"/>
  <c r="K138" i="4" a="1"/>
  <c r="K139" i="4" a="1"/>
  <c r="K140" i="4" a="1"/>
  <c r="K141" i="4" a="1"/>
  <c r="K142" i="4" a="1"/>
  <c r="K143" i="4" a="1"/>
  <c r="K144" i="4" a="1"/>
  <c r="K145" i="4" a="1"/>
  <c r="K146" i="4" a="1"/>
  <c r="K147" i="4" a="1"/>
  <c r="K148" i="4" a="1"/>
  <c r="K149" i="4" a="1"/>
  <c r="K150" i="4" a="1"/>
  <c r="K151" i="4" a="1"/>
  <c r="K152" i="4" a="1"/>
  <c r="K153" i="4" a="1"/>
  <c r="K154" i="4" a="1"/>
  <c r="K155" i="4" a="1"/>
  <c r="K156" i="4" a="1"/>
  <c r="K157" i="4" a="1"/>
  <c r="K158" i="4" a="1"/>
  <c r="K159" i="4" a="1"/>
  <c r="K160" i="4" a="1"/>
  <c r="K161" i="4" a="1"/>
  <c r="K162" i="4" a="1"/>
  <c r="K163" i="4" a="1"/>
  <c r="K164" i="4" a="1"/>
  <c r="K165" i="4" a="1"/>
  <c r="A134" i="4"/>
  <c r="B134" i="4" a="1"/>
  <c r="C134" i="4" a="1"/>
  <c r="D134" i="4" a="1"/>
  <c r="E134" i="4" a="1"/>
  <c r="F134" i="4" a="1"/>
  <c r="G134" i="4" a="1"/>
  <c r="H134" i="4" a="1"/>
  <c r="I134" i="4" a="1"/>
  <c r="L134" i="4" a="1"/>
  <c r="A135" i="4"/>
  <c r="B135" i="4" a="1"/>
  <c r="C135" i="4" a="1"/>
  <c r="D135" i="4" a="1"/>
  <c r="E135" i="4" a="1"/>
  <c r="F135" i="4" a="1"/>
  <c r="G135" i="4" a="1"/>
  <c r="H135" i="4" a="1"/>
  <c r="I135" i="4" a="1"/>
  <c r="L135" i="4" a="1"/>
  <c r="A136" i="4"/>
  <c r="B136" i="4" a="1"/>
  <c r="C136" i="4" a="1"/>
  <c r="D136" i="4" a="1"/>
  <c r="E136" i="4" a="1"/>
  <c r="F136" i="4" a="1"/>
  <c r="G136" i="4" a="1"/>
  <c r="H136" i="4" a="1"/>
  <c r="I136" i="4" a="1"/>
  <c r="L136" i="4" a="1"/>
  <c r="A137" i="4"/>
  <c r="B137" i="4" a="1"/>
  <c r="C137" i="4" a="1"/>
  <c r="D137" i="4" a="1"/>
  <c r="E137" i="4" a="1"/>
  <c r="F137" i="4" a="1"/>
  <c r="G137" i="4" a="1"/>
  <c r="H137" i="4" a="1"/>
  <c r="I137" i="4" a="1"/>
  <c r="L137" i="4" a="1"/>
  <c r="A138" i="4"/>
  <c r="B138" i="4" a="1"/>
  <c r="C138" i="4" a="1"/>
  <c r="D138" i="4" a="1"/>
  <c r="E138" i="4" a="1"/>
  <c r="F138" i="4" a="1"/>
  <c r="G138" i="4" a="1"/>
  <c r="H138" i="4" a="1"/>
  <c r="I138" i="4" a="1"/>
  <c r="L138" i="4" a="1"/>
  <c r="A139" i="4"/>
  <c r="B139" i="4" a="1"/>
  <c r="C139" i="4" a="1"/>
  <c r="D139" i="4" a="1"/>
  <c r="E139" i="4" a="1"/>
  <c r="F139" i="4" a="1"/>
  <c r="G139" i="4" a="1"/>
  <c r="H139" i="4" a="1"/>
  <c r="I139" i="4" a="1"/>
  <c r="L139" i="4" a="1"/>
  <c r="A140" i="4"/>
  <c r="B140" i="4" a="1"/>
  <c r="C140" i="4" a="1"/>
  <c r="D140" i="4" a="1"/>
  <c r="E140" i="4" a="1"/>
  <c r="F140" i="4" a="1"/>
  <c r="G140" i="4" a="1"/>
  <c r="H140" i="4" a="1"/>
  <c r="I140" i="4" a="1"/>
  <c r="L140" i="4" a="1"/>
  <c r="A141" i="4"/>
  <c r="B141" i="4" a="1"/>
  <c r="C141" i="4" a="1"/>
  <c r="D141" i="4" a="1"/>
  <c r="E141" i="4" a="1"/>
  <c r="F141" i="4" a="1"/>
  <c r="G141" i="4" a="1"/>
  <c r="H141" i="4" a="1"/>
  <c r="I141" i="4" a="1"/>
  <c r="L141" i="4" a="1"/>
  <c r="A142" i="4"/>
  <c r="B142" i="4" a="1"/>
  <c r="C142" i="4" a="1"/>
  <c r="D142" i="4" a="1"/>
  <c r="E142" i="4" a="1"/>
  <c r="F142" i="4" a="1"/>
  <c r="G142" i="4" a="1"/>
  <c r="H142" i="4" a="1"/>
  <c r="I142" i="4" a="1"/>
  <c r="L142" i="4" a="1"/>
  <c r="A143" i="4"/>
  <c r="B143" i="4" a="1"/>
  <c r="C143" i="4" a="1"/>
  <c r="D143" i="4" a="1"/>
  <c r="E143" i="4" a="1"/>
  <c r="F143" i="4" a="1"/>
  <c r="G143" i="4" a="1"/>
  <c r="H143" i="4" a="1"/>
  <c r="I143" i="4" a="1"/>
  <c r="L143" i="4" a="1"/>
  <c r="A144" i="4"/>
  <c r="B144" i="4" a="1"/>
  <c r="C144" i="4" a="1"/>
  <c r="D144" i="4" a="1"/>
  <c r="E144" i="4" a="1"/>
  <c r="F144" i="4" a="1"/>
  <c r="G144" i="4" a="1"/>
  <c r="H144" i="4" a="1"/>
  <c r="I144" i="4" a="1"/>
  <c r="L144" i="4" a="1"/>
  <c r="A145" i="4"/>
  <c r="B145" i="4" a="1"/>
  <c r="C145" i="4" a="1"/>
  <c r="D145" i="4" a="1"/>
  <c r="E145" i="4" a="1"/>
  <c r="F145" i="4" a="1"/>
  <c r="G145" i="4" a="1"/>
  <c r="H145" i="4" a="1"/>
  <c r="I145" i="4" a="1"/>
  <c r="L145" i="4" a="1"/>
  <c r="A146" i="4"/>
  <c r="B146" i="4" a="1"/>
  <c r="C146" i="4" a="1"/>
  <c r="D146" i="4" a="1"/>
  <c r="E146" i="4" a="1"/>
  <c r="F146" i="4" a="1"/>
  <c r="G146" i="4" a="1"/>
  <c r="H146" i="4" a="1"/>
  <c r="I146" i="4" a="1"/>
  <c r="L146" i="4" a="1"/>
  <c r="A147" i="4"/>
  <c r="B147" i="4" a="1"/>
  <c r="C147" i="4" a="1"/>
  <c r="D147" i="4" a="1"/>
  <c r="E147" i="4" a="1"/>
  <c r="F147" i="4" a="1"/>
  <c r="G147" i="4" a="1"/>
  <c r="H147" i="4" a="1"/>
  <c r="I147" i="4" a="1"/>
  <c r="L147" i="4" a="1"/>
  <c r="A148" i="4"/>
  <c r="B148" i="4" a="1"/>
  <c r="C148" i="4" a="1"/>
  <c r="D148" i="4" a="1"/>
  <c r="E148" i="4" a="1"/>
  <c r="F148" i="4" a="1"/>
  <c r="G148" i="4" a="1"/>
  <c r="H148" i="4" a="1"/>
  <c r="I148" i="4" a="1"/>
  <c r="L148" i="4" a="1"/>
  <c r="A149" i="4"/>
  <c r="B149" i="4" a="1"/>
  <c r="C149" i="4" a="1"/>
  <c r="D149" i="4" a="1"/>
  <c r="E149" i="4" a="1"/>
  <c r="F149" i="4" a="1"/>
  <c r="G149" i="4" a="1"/>
  <c r="H149" i="4" a="1"/>
  <c r="I149" i="4" a="1"/>
  <c r="L149" i="4" a="1"/>
  <c r="A150" i="4"/>
  <c r="B150" i="4" a="1"/>
  <c r="C150" i="4" a="1"/>
  <c r="D150" i="4" a="1"/>
  <c r="E150" i="4" a="1"/>
  <c r="F150" i="4" a="1"/>
  <c r="G150" i="4" a="1"/>
  <c r="H150" i="4" a="1"/>
  <c r="I150" i="4" a="1"/>
  <c r="L150" i="4" a="1"/>
  <c r="A151" i="4"/>
  <c r="B151" i="4" a="1"/>
  <c r="C151" i="4" a="1"/>
  <c r="D151" i="4" a="1"/>
  <c r="E151" i="4" a="1"/>
  <c r="F151" i="4" a="1"/>
  <c r="G151" i="4" a="1"/>
  <c r="H151" i="4" a="1"/>
  <c r="I151" i="4" a="1"/>
  <c r="L151" i="4" a="1"/>
  <c r="A152" i="4"/>
  <c r="B152" i="4" a="1"/>
  <c r="C152" i="4" a="1"/>
  <c r="D152" i="4" a="1"/>
  <c r="E152" i="4" a="1"/>
  <c r="F152" i="4" a="1"/>
  <c r="G152" i="4" a="1"/>
  <c r="H152" i="4" a="1"/>
  <c r="I152" i="4" a="1"/>
  <c r="L152" i="4" a="1"/>
  <c r="A153" i="4"/>
  <c r="B153" i="4" a="1"/>
  <c r="C153" i="4" a="1"/>
  <c r="D153" i="4" a="1"/>
  <c r="E153" i="4" a="1"/>
  <c r="F153" i="4" a="1"/>
  <c r="G153" i="4" a="1"/>
  <c r="H153" i="4" a="1"/>
  <c r="I153" i="4" a="1"/>
  <c r="L153" i="4" a="1"/>
  <c r="A154" i="4"/>
  <c r="B154" i="4" a="1"/>
  <c r="C154" i="4" a="1"/>
  <c r="D154" i="4" a="1"/>
  <c r="E154" i="4" a="1"/>
  <c r="F154" i="4" a="1"/>
  <c r="G154" i="4" a="1"/>
  <c r="H154" i="4" a="1"/>
  <c r="I154" i="4" a="1"/>
  <c r="L154" i="4" a="1"/>
  <c r="A155" i="4"/>
  <c r="B155" i="4" a="1"/>
  <c r="C155" i="4" a="1"/>
  <c r="D155" i="4" a="1"/>
  <c r="E155" i="4" a="1"/>
  <c r="F155" i="4" a="1"/>
  <c r="G155" i="4" a="1"/>
  <c r="H155" i="4" a="1"/>
  <c r="I155" i="4" a="1"/>
  <c r="L155" i="4" a="1"/>
  <c r="A156" i="4"/>
  <c r="B156" i="4" a="1"/>
  <c r="C156" i="4" a="1"/>
  <c r="D156" i="4" a="1"/>
  <c r="E156" i="4" a="1"/>
  <c r="F156" i="4" a="1"/>
  <c r="G156" i="4" a="1"/>
  <c r="H156" i="4" a="1"/>
  <c r="I156" i="4" a="1"/>
  <c r="L156" i="4" a="1"/>
  <c r="A157" i="4"/>
  <c r="B157" i="4" a="1"/>
  <c r="C157" i="4" a="1"/>
  <c r="D157" i="4" a="1"/>
  <c r="E157" i="4" a="1"/>
  <c r="F157" i="4" a="1"/>
  <c r="G157" i="4" a="1"/>
  <c r="H157" i="4" a="1"/>
  <c r="I157" i="4" a="1"/>
  <c r="L157" i="4" a="1"/>
  <c r="A158" i="4"/>
  <c r="B158" i="4" a="1"/>
  <c r="C158" i="4" a="1"/>
  <c r="D158" i="4" a="1"/>
  <c r="E158" i="4" a="1"/>
  <c r="F158" i="4" a="1"/>
  <c r="G158" i="4" a="1"/>
  <c r="H158" i="4" a="1"/>
  <c r="I158" i="4" a="1"/>
  <c r="L158" i="4" a="1"/>
  <c r="A159" i="4"/>
  <c r="B159" i="4" a="1"/>
  <c r="C159" i="4" a="1"/>
  <c r="D159" i="4" a="1"/>
  <c r="E159" i="4" a="1"/>
  <c r="F159" i="4" a="1"/>
  <c r="G159" i="4" a="1"/>
  <c r="H159" i="4" a="1"/>
  <c r="I159" i="4" a="1"/>
  <c r="L159" i="4" a="1"/>
  <c r="A160" i="4"/>
  <c r="B160" i="4" a="1"/>
  <c r="C160" i="4" a="1"/>
  <c r="D160" i="4" a="1"/>
  <c r="E160" i="4" a="1"/>
  <c r="F160" i="4" a="1"/>
  <c r="G160" i="4" a="1"/>
  <c r="H160" i="4" a="1"/>
  <c r="I160" i="4" a="1"/>
  <c r="L160" i="4" a="1"/>
  <c r="A161" i="4"/>
  <c r="B161" i="4" a="1"/>
  <c r="C161" i="4" a="1"/>
  <c r="D161" i="4" a="1"/>
  <c r="E161" i="4" a="1"/>
  <c r="F161" i="4" a="1"/>
  <c r="G161" i="4" a="1"/>
  <c r="H161" i="4" a="1"/>
  <c r="I161" i="4" a="1"/>
  <c r="L161" i="4" a="1"/>
  <c r="A162" i="4"/>
  <c r="B162" i="4" a="1"/>
  <c r="C162" i="4" a="1"/>
  <c r="D162" i="4" a="1"/>
  <c r="E162" i="4" a="1"/>
  <c r="F162" i="4" a="1"/>
  <c r="G162" i="4" a="1"/>
  <c r="H162" i="4" a="1"/>
  <c r="I162" i="4" a="1"/>
  <c r="L162" i="4" a="1"/>
  <c r="A163" i="4"/>
  <c r="B163" i="4" a="1"/>
  <c r="C163" i="4" a="1"/>
  <c r="D163" i="4" a="1"/>
  <c r="E163" i="4" a="1"/>
  <c r="F163" i="4" a="1"/>
  <c r="G163" i="4" a="1"/>
  <c r="H163" i="4" a="1"/>
  <c r="I163" i="4" a="1"/>
  <c r="L163" i="4" a="1"/>
  <c r="A164" i="4"/>
  <c r="B164" i="4" a="1"/>
  <c r="C164" i="4" a="1"/>
  <c r="D164" i="4" a="1"/>
  <c r="E164" i="4" a="1"/>
  <c r="F164" i="4" a="1"/>
  <c r="G164" i="4" a="1"/>
  <c r="H164" i="4" a="1"/>
  <c r="I164" i="4" a="1"/>
  <c r="L164" i="4" a="1"/>
  <c r="A165" i="4"/>
  <c r="B165" i="4" a="1"/>
  <c r="C165" i="4" a="1"/>
  <c r="D165" i="4" a="1"/>
  <c r="E165" i="4" a="1"/>
  <c r="F165" i="4" a="1"/>
  <c r="G165" i="4" a="1"/>
  <c r="H165" i="4" a="1"/>
  <c r="I165" i="4" a="1"/>
  <c r="L165" i="4" a="1"/>
  <c r="A119" i="4"/>
  <c r="B119" i="4" a="1"/>
  <c r="C119" i="4" a="1"/>
  <c r="D119" i="4" a="1"/>
  <c r="E119" i="4" a="1"/>
  <c r="F119" i="4" a="1"/>
  <c r="G119" i="4" a="1"/>
  <c r="H119" i="4" a="1"/>
  <c r="I119" i="4" a="1"/>
  <c r="L119" i="4" a="1"/>
  <c r="A120" i="4"/>
  <c r="B120" i="4" a="1"/>
  <c r="C120" i="4" a="1"/>
  <c r="D120" i="4" a="1"/>
  <c r="E120" i="4" a="1"/>
  <c r="F120" i="4" a="1"/>
  <c r="G120" i="4" a="1"/>
  <c r="H120" i="4" a="1"/>
  <c r="I120" i="4" a="1"/>
  <c r="L120" i="4" a="1"/>
  <c r="A121" i="4"/>
  <c r="B121" i="4" a="1"/>
  <c r="C121" i="4" a="1"/>
  <c r="D121" i="4" a="1"/>
  <c r="E121" i="4" a="1"/>
  <c r="F121" i="4" a="1"/>
  <c r="G121" i="4" a="1"/>
  <c r="H121" i="4" a="1"/>
  <c r="I121" i="4" a="1"/>
  <c r="L121" i="4" a="1"/>
  <c r="A122" i="4"/>
  <c r="B122" i="4" a="1"/>
  <c r="C122" i="4" a="1"/>
  <c r="D122" i="4" a="1"/>
  <c r="E122" i="4" a="1"/>
  <c r="F122" i="4" a="1"/>
  <c r="G122" i="4" a="1"/>
  <c r="H122" i="4" a="1"/>
  <c r="I122" i="4" a="1"/>
  <c r="L122" i="4" a="1"/>
  <c r="A123" i="4"/>
  <c r="B123" i="4" a="1"/>
  <c r="C123" i="4" a="1"/>
  <c r="D123" i="4" a="1"/>
  <c r="E123" i="4" a="1"/>
  <c r="F123" i="4" a="1"/>
  <c r="G123" i="4" a="1"/>
  <c r="H123" i="4" a="1"/>
  <c r="I123" i="4" a="1"/>
  <c r="L123" i="4" a="1"/>
  <c r="A124" i="4"/>
  <c r="B124" i="4" a="1"/>
  <c r="C124" i="4" a="1"/>
  <c r="D124" i="4" a="1"/>
  <c r="E124" i="4" a="1"/>
  <c r="F124" i="4" a="1"/>
  <c r="G124" i="4" a="1"/>
  <c r="H124" i="4" a="1"/>
  <c r="I124" i="4" a="1"/>
  <c r="L124" i="4" a="1"/>
  <c r="A125" i="4"/>
  <c r="B125" i="4" a="1"/>
  <c r="C125" i="4" a="1"/>
  <c r="D125" i="4" a="1"/>
  <c r="E125" i="4" a="1"/>
  <c r="F125" i="4" a="1"/>
  <c r="G125" i="4" a="1"/>
  <c r="H125" i="4" a="1"/>
  <c r="I125" i="4" a="1"/>
  <c r="L125" i="4" a="1"/>
  <c r="A126" i="4"/>
  <c r="B126" i="4" a="1"/>
  <c r="C126" i="4" a="1"/>
  <c r="D126" i="4" a="1"/>
  <c r="E126" i="4" a="1"/>
  <c r="F126" i="4" a="1"/>
  <c r="G126" i="4" a="1"/>
  <c r="H126" i="4" a="1"/>
  <c r="I126" i="4" a="1"/>
  <c r="L126" i="4" a="1"/>
  <c r="A127" i="4"/>
  <c r="B127" i="4" a="1"/>
  <c r="C127" i="4" a="1"/>
  <c r="D127" i="4" a="1"/>
  <c r="E127" i="4" a="1"/>
  <c r="F127" i="4" a="1"/>
  <c r="G127" i="4" a="1"/>
  <c r="H127" i="4" a="1"/>
  <c r="I127" i="4" a="1"/>
  <c r="L127" i="4" a="1"/>
  <c r="A128" i="4"/>
  <c r="B128" i="4" a="1"/>
  <c r="C128" i="4" a="1"/>
  <c r="D128" i="4" a="1"/>
  <c r="E128" i="4" a="1"/>
  <c r="F128" i="4" a="1"/>
  <c r="G128" i="4" a="1"/>
  <c r="H128" i="4" a="1"/>
  <c r="I128" i="4" a="1"/>
  <c r="L128" i="4" a="1"/>
  <c r="A129" i="4"/>
  <c r="B129" i="4" a="1"/>
  <c r="C129" i="4" a="1"/>
  <c r="D129" i="4" a="1"/>
  <c r="E129" i="4" a="1"/>
  <c r="F129" i="4" a="1"/>
  <c r="G129" i="4" a="1"/>
  <c r="H129" i="4" a="1"/>
  <c r="I129" i="4" a="1"/>
  <c r="L129" i="4" a="1"/>
  <c r="A130" i="4"/>
  <c r="B130" i="4" a="1"/>
  <c r="C130" i="4" a="1"/>
  <c r="D130" i="4" a="1"/>
  <c r="E130" i="4" a="1"/>
  <c r="F130" i="4" a="1"/>
  <c r="G130" i="4" a="1"/>
  <c r="H130" i="4" a="1"/>
  <c r="I130" i="4" a="1"/>
  <c r="L130" i="4" a="1"/>
  <c r="A131" i="4"/>
  <c r="B131" i="4" a="1"/>
  <c r="C131" i="4" a="1"/>
  <c r="D131" i="4" a="1"/>
  <c r="E131" i="4" a="1"/>
  <c r="F131" i="4" a="1"/>
  <c r="G131" i="4" a="1"/>
  <c r="H131" i="4" a="1"/>
  <c r="I131" i="4" a="1"/>
  <c r="L131" i="4" a="1"/>
  <c r="A132" i="4"/>
  <c r="B132" i="4" a="1"/>
  <c r="C132" i="4" a="1"/>
  <c r="D132" i="4" a="1"/>
  <c r="E132" i="4" a="1"/>
  <c r="F132" i="4" a="1"/>
  <c r="G132" i="4" a="1"/>
  <c r="H132" i="4" a="1"/>
  <c r="I132" i="4" a="1"/>
  <c r="L132" i="4" a="1"/>
  <c r="A133" i="4"/>
  <c r="B133" i="4" a="1"/>
  <c r="C133" i="4" a="1"/>
  <c r="D133" i="4" a="1"/>
  <c r="E133" i="4" a="1"/>
  <c r="F133" i="4" a="1"/>
  <c r="G133" i="4" a="1"/>
  <c r="H133" i="4" a="1"/>
  <c r="I133" i="4" a="1"/>
  <c r="L133" i="4" a="1"/>
  <c r="A110" i="4"/>
  <c r="B110" i="4" a="1"/>
  <c r="C110" i="4" a="1"/>
  <c r="D110" i="4" a="1"/>
  <c r="E110" i="4" a="1"/>
  <c r="F110" i="4" a="1"/>
  <c r="G110" i="4" a="1"/>
  <c r="H110" i="4" a="1"/>
  <c r="I110" i="4" a="1"/>
  <c r="L110" i="4" a="1"/>
  <c r="A111" i="4"/>
  <c r="B111" i="4" a="1"/>
  <c r="C111" i="4" a="1"/>
  <c r="D111" i="4" a="1"/>
  <c r="E111" i="4" a="1"/>
  <c r="F111" i="4" a="1"/>
  <c r="G111" i="4" a="1"/>
  <c r="H111" i="4" a="1"/>
  <c r="I111" i="4" a="1"/>
  <c r="L111" i="4" a="1"/>
  <c r="A112" i="4"/>
  <c r="B112" i="4" a="1"/>
  <c r="C112" i="4" a="1"/>
  <c r="D112" i="4" a="1"/>
  <c r="E112" i="4" a="1"/>
  <c r="F112" i="4" a="1"/>
  <c r="G112" i="4" a="1"/>
  <c r="H112" i="4" a="1"/>
  <c r="I112" i="4" a="1"/>
  <c r="L112" i="4" a="1"/>
  <c r="A113" i="4"/>
  <c r="B113" i="4" a="1"/>
  <c r="C113" i="4" a="1"/>
  <c r="D113" i="4" a="1"/>
  <c r="E113" i="4" a="1"/>
  <c r="F113" i="4" a="1"/>
  <c r="G113" i="4" a="1"/>
  <c r="H113" i="4" a="1"/>
  <c r="I113" i="4" a="1"/>
  <c r="L113" i="4" a="1"/>
  <c r="A114" i="4"/>
  <c r="B114" i="4" a="1"/>
  <c r="C114" i="4" a="1"/>
  <c r="D114" i="4" a="1"/>
  <c r="E114" i="4" a="1"/>
  <c r="F114" i="4" a="1"/>
  <c r="G114" i="4" a="1"/>
  <c r="H114" i="4" a="1"/>
  <c r="I114" i="4" a="1"/>
  <c r="L114" i="4" a="1"/>
  <c r="A115" i="4"/>
  <c r="B115" i="4" a="1"/>
  <c r="C115" i="4" a="1"/>
  <c r="D115" i="4" a="1"/>
  <c r="E115" i="4" a="1"/>
  <c r="F115" i="4" a="1"/>
  <c r="G115" i="4" a="1"/>
  <c r="H115" i="4" a="1"/>
  <c r="I115" i="4" a="1"/>
  <c r="L115" i="4" a="1"/>
  <c r="A116" i="4"/>
  <c r="B116" i="4" a="1"/>
  <c r="C116" i="4" a="1"/>
  <c r="D116" i="4" a="1"/>
  <c r="E116" i="4" a="1"/>
  <c r="F116" i="4" a="1"/>
  <c r="G116" i="4" a="1"/>
  <c r="H116" i="4" a="1"/>
  <c r="I116" i="4" a="1"/>
  <c r="L116" i="4" a="1"/>
  <c r="A117" i="4"/>
  <c r="B117" i="4" a="1"/>
  <c r="C117" i="4" a="1"/>
  <c r="D117" i="4" a="1"/>
  <c r="E117" i="4" a="1"/>
  <c r="F117" i="4" a="1"/>
  <c r="G117" i="4" a="1"/>
  <c r="H117" i="4" a="1"/>
  <c r="I117" i="4" a="1"/>
  <c r="L117" i="4" a="1"/>
  <c r="A118" i="4"/>
  <c r="B118" i="4" a="1"/>
  <c r="C118" i="4" a="1"/>
  <c r="D118" i="4" a="1"/>
  <c r="E118" i="4" a="1"/>
  <c r="F118" i="4" a="1"/>
  <c r="G118" i="4" a="1"/>
  <c r="H118" i="4" a="1"/>
  <c r="I118" i="4" a="1"/>
  <c r="L118" i="4" a="1"/>
  <c r="L101" i="4" a="1"/>
  <c r="L102" i="4" a="1"/>
  <c r="L103" i="4" a="1"/>
  <c r="L104" i="4" a="1"/>
  <c r="L105" i="4" a="1"/>
  <c r="L106" i="4" a="1"/>
  <c r="L107" i="4" a="1"/>
  <c r="L108" i="4" a="1"/>
  <c r="L109" i="4" a="1"/>
  <c r="I101" i="4" a="1"/>
  <c r="I102" i="4" a="1"/>
  <c r="I103" i="4" a="1"/>
  <c r="I104" i="4" a="1"/>
  <c r="I105" i="4" a="1"/>
  <c r="I106" i="4" a="1"/>
  <c r="I107" i="4" a="1"/>
  <c r="I108" i="4" a="1"/>
  <c r="I109" i="4" a="1"/>
  <c r="H101" i="4" a="1"/>
  <c r="H102" i="4" a="1"/>
  <c r="H103" i="4" a="1"/>
  <c r="H104" i="4" a="1"/>
  <c r="H105" i="4" a="1"/>
  <c r="H106" i="4" a="1"/>
  <c r="H107" i="4" a="1"/>
  <c r="H108" i="4" a="1"/>
  <c r="H109" i="4" a="1"/>
  <c r="G101" i="4" a="1"/>
  <c r="G102" i="4" a="1"/>
  <c r="G103" i="4" a="1"/>
  <c r="G104" i="4" a="1"/>
  <c r="G105" i="4" a="1"/>
  <c r="G106" i="4" a="1"/>
  <c r="G107" i="4" a="1"/>
  <c r="G108" i="4" a="1"/>
  <c r="G109" i="4" a="1"/>
  <c r="F101" i="4" a="1"/>
  <c r="F102" i="4" a="1"/>
  <c r="F103" i="4" a="1"/>
  <c r="F104" i="4" a="1"/>
  <c r="F105" i="4" a="1"/>
  <c r="F106" i="4" a="1"/>
  <c r="F107" i="4" a="1"/>
  <c r="F108" i="4" a="1"/>
  <c r="F109" i="4" a="1"/>
  <c r="E101" i="4" a="1"/>
  <c r="E102" i="4" a="1"/>
  <c r="E103" i="4" a="1"/>
  <c r="E104" i="4" a="1"/>
  <c r="E105" i="4" a="1"/>
  <c r="E106" i="4" a="1"/>
  <c r="E107" i="4" a="1"/>
  <c r="E108" i="4" a="1"/>
  <c r="E109" i="4" a="1"/>
  <c r="D101" i="4" a="1"/>
  <c r="D102" i="4" a="1"/>
  <c r="D103" i="4" a="1"/>
  <c r="D104" i="4" a="1"/>
  <c r="D105" i="4" a="1"/>
  <c r="D106" i="4" a="1"/>
  <c r="D107" i="4" a="1"/>
  <c r="D108" i="4" a="1"/>
  <c r="D109" i="4" a="1"/>
  <c r="C101" i="4" a="1"/>
  <c r="C102" i="4" a="1"/>
  <c r="C103" i="4" a="1"/>
  <c r="C104" i="4" a="1"/>
  <c r="C105" i="4" a="1"/>
  <c r="C106" i="4" a="1"/>
  <c r="C107" i="4" a="1"/>
  <c r="C108" i="4" a="1"/>
  <c r="C109" i="4" a="1"/>
  <c r="B101" i="4" a="1"/>
  <c r="B102" i="4" a="1"/>
  <c r="B103" i="4" a="1"/>
  <c r="B104" i="4" a="1"/>
  <c r="B105" i="4" a="1"/>
  <c r="B106" i="4" a="1"/>
  <c r="B107" i="4" a="1"/>
  <c r="B108" i="4" a="1"/>
  <c r="B109" i="4" a="1"/>
  <c r="A101" i="4"/>
  <c r="A102" i="4"/>
  <c r="A103" i="4"/>
  <c r="A104" i="4"/>
  <c r="A105" i="4"/>
  <c r="A106" i="4"/>
  <c r="A107" i="4"/>
  <c r="A108" i="4"/>
  <c r="A109" i="4"/>
  <c r="B3" i="3"/>
  <c r="X303" i="1"/>
  <c r="Y302" i="1"/>
  <c r="X30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<sst xmlns="http://schemas.openxmlformats.org/spreadsheetml/2006/main" count="4231" uniqueCount="1264">
  <si>
    <t>Order_ID</t>
  </si>
  <si>
    <t>Order_Date</t>
  </si>
  <si>
    <t>Delivery_Date</t>
  </si>
  <si>
    <t>Category</t>
  </si>
  <si>
    <t>Product_Name</t>
  </si>
  <si>
    <t>Brand</t>
  </si>
  <si>
    <t>SKU</t>
  </si>
  <si>
    <t>ASIN</t>
  </si>
  <si>
    <t>Fulfillment_Type</t>
  </si>
  <si>
    <t>Order_Status</t>
  </si>
  <si>
    <t>Units_Sold</t>
  </si>
  <si>
    <t>MRP_INR</t>
  </si>
  <si>
    <t>Selling_Price_INR</t>
  </si>
  <si>
    <t>Discount_%</t>
  </si>
  <si>
    <t>Gross_Sales_INR</t>
  </si>
  <si>
    <t>Amazon_Commission_INR</t>
  </si>
  <si>
    <t>FBA_Fee_INR</t>
  </si>
  <si>
    <t>Shipping_Cost_INR</t>
  </si>
  <si>
    <t>COGS_INR</t>
  </si>
  <si>
    <t>Ad_Spend_INR</t>
  </si>
  <si>
    <t>Returns_Qty</t>
  </si>
  <si>
    <t>Return_Value_INR</t>
  </si>
  <si>
    <t>Return_Reason</t>
  </si>
  <si>
    <t>Net_Sales_INR</t>
  </si>
  <si>
    <t>Net_Profit_INR</t>
  </si>
  <si>
    <t>Profit_Margin_%</t>
  </si>
  <si>
    <t>Ad_Type</t>
  </si>
  <si>
    <t>Ad_Impressions</t>
  </si>
  <si>
    <t>Ad_Clicks</t>
  </si>
  <si>
    <t>CTR_%</t>
  </si>
  <si>
    <t>Orders_from_Ads</t>
  </si>
  <si>
    <t>ACOS_%</t>
  </si>
  <si>
    <t>Customer_Rating</t>
  </si>
  <si>
    <t>Review_Received</t>
  </si>
  <si>
    <t>Customer_State</t>
  </si>
  <si>
    <t>Delivery_Days</t>
  </si>
  <si>
    <t>Current_Inventory</t>
  </si>
  <si>
    <t>Reorder_Flag</t>
  </si>
  <si>
    <t>ORD-1000</t>
  </si>
  <si>
    <t>16-09-2023</t>
  </si>
  <si>
    <t>23-09-2023</t>
  </si>
  <si>
    <t>Fashion</t>
  </si>
  <si>
    <t>Casual Bag</t>
  </si>
  <si>
    <t>Puma</t>
  </si>
  <si>
    <t>SKU-FAS-4164</t>
  </si>
  <si>
    <t>B024406524</t>
  </si>
  <si>
    <t>FBM</t>
  </si>
  <si>
    <t>Delivered</t>
  </si>
  <si>
    <t>Sponsored Brands</t>
  </si>
  <si>
    <t>No</t>
  </si>
  <si>
    <t>Delhi</t>
  </si>
  <si>
    <t>OK</t>
  </si>
  <si>
    <t>ORD-1001</t>
  </si>
  <si>
    <t>25-09-2023</t>
  </si>
  <si>
    <t>Sports</t>
  </si>
  <si>
    <t>Running Belt</t>
  </si>
  <si>
    <t>Milton</t>
  </si>
  <si>
    <t>SKU-SPO-4696</t>
  </si>
  <si>
    <t>B034175374</t>
  </si>
  <si>
    <t>FBA</t>
  </si>
  <si>
    <t>None</t>
  </si>
  <si>
    <t>Yes</t>
  </si>
  <si>
    <t>Bihar</t>
  </si>
  <si>
    <t>ORD-1002</t>
  </si>
  <si>
    <t>16-08-2024</t>
  </si>
  <si>
    <t>Beauty</t>
  </si>
  <si>
    <t>Moisturizer</t>
  </si>
  <si>
    <t>Wildcraft</t>
  </si>
  <si>
    <t>SKU-BEA-5455</t>
  </si>
  <si>
    <t>B066757529</t>
  </si>
  <si>
    <t>Rajasthan</t>
  </si>
  <si>
    <t>⚠️ Reorder</t>
  </si>
  <si>
    <t>ORD-1003</t>
  </si>
  <si>
    <t>Face Serum</t>
  </si>
  <si>
    <t>Cello</t>
  </si>
  <si>
    <t>SKU-BEA-8091</t>
  </si>
  <si>
    <t>B025368476</t>
  </si>
  <si>
    <t>Pending</t>
  </si>
  <si>
    <t>Sponsored Display</t>
  </si>
  <si>
    <t>Maharashtra</t>
  </si>
  <si>
    <t>ORD-1004</t>
  </si>
  <si>
    <t>Electronics</t>
  </si>
  <si>
    <t>Bluetooth Speaker</t>
  </si>
  <si>
    <t>SKU-ELE-2444</t>
  </si>
  <si>
    <t>B095588914</t>
  </si>
  <si>
    <t>In Transit</t>
  </si>
  <si>
    <t>Karnataka</t>
  </si>
  <si>
    <t>ORD-1005</t>
  </si>
  <si>
    <t>26-01-2023</t>
  </si>
  <si>
    <t>27-01-2023</t>
  </si>
  <si>
    <t>Earbuds</t>
  </si>
  <si>
    <t>Fastrack</t>
  </si>
  <si>
    <t>SKU-ELE-7837</t>
  </si>
  <si>
    <t>B072630988</t>
  </si>
  <si>
    <t>Sponsored Products</t>
  </si>
  <si>
    <t>Punjab</t>
  </si>
  <si>
    <t>ORD-1006</t>
  </si>
  <si>
    <t>01-08-2023</t>
  </si>
  <si>
    <t>Office Supplies</t>
  </si>
  <si>
    <t>Sticky Notes</t>
  </si>
  <si>
    <t>Himalaya</t>
  </si>
  <si>
    <t>SKU-OFF-3709</t>
  </si>
  <si>
    <t>B023796399</t>
  </si>
  <si>
    <t>Returned</t>
  </si>
  <si>
    <t>Not as Described</t>
  </si>
  <si>
    <t>Gujarat</t>
  </si>
  <si>
    <t>ORD-1007</t>
  </si>
  <si>
    <t>01-12-2024</t>
  </si>
  <si>
    <t>Body Lotion</t>
  </si>
  <si>
    <t>SKU-BEA-5176</t>
  </si>
  <si>
    <t>B058882801</t>
  </si>
  <si>
    <t>Damaged in Transit</t>
  </si>
  <si>
    <t>Uttar Pradesh</t>
  </si>
  <si>
    <t>ORD-1008</t>
  </si>
  <si>
    <t>File Folder</t>
  </si>
  <si>
    <t>Lakme</t>
  </si>
  <si>
    <t>SKU-OFF-3636</t>
  </si>
  <si>
    <t>B093459696</t>
  </si>
  <si>
    <t>West Bengal</t>
  </si>
  <si>
    <t>ORD-1009</t>
  </si>
  <si>
    <t>23-03-2023</t>
  </si>
  <si>
    <t>SKU-BEA-1515</t>
  </si>
  <si>
    <t>B058918796</t>
  </si>
  <si>
    <t>ORD-1010</t>
  </si>
  <si>
    <t>Protein Shaker</t>
  </si>
  <si>
    <t>Noise</t>
  </si>
  <si>
    <t>SKU-SPO-8680</t>
  </si>
  <si>
    <t>B039299113</t>
  </si>
  <si>
    <t>ORD-1011</t>
  </si>
  <si>
    <t>31-05-2024</t>
  </si>
  <si>
    <t>SKU-SPO-5165</t>
  </si>
  <si>
    <t>B055935117</t>
  </si>
  <si>
    <t>ORD-1012</t>
  </si>
  <si>
    <t>19-08-2024</t>
  </si>
  <si>
    <t>SKU-BEA-7554</t>
  </si>
  <si>
    <t>B023820418</t>
  </si>
  <si>
    <t>Cancelled</t>
  </si>
  <si>
    <t>ORD-1013</t>
  </si>
  <si>
    <t>05-08-2024</t>
  </si>
  <si>
    <t>USB Cable</t>
  </si>
  <si>
    <t>SKU-ELE-6416</t>
  </si>
  <si>
    <t>B057788901</t>
  </si>
  <si>
    <t>ORD-1014</t>
  </si>
  <si>
    <t>26-09-2023</t>
  </si>
  <si>
    <t>Home &amp; Kitchen</t>
  </si>
  <si>
    <t>Knife Set</t>
  </si>
  <si>
    <t>SKU-HOM-7986</t>
  </si>
  <si>
    <t>B099125593</t>
  </si>
  <si>
    <t>ORD-1015</t>
  </si>
  <si>
    <t>22-02-2024</t>
  </si>
  <si>
    <t>Resistance Band</t>
  </si>
  <si>
    <t>SKU-SPO-9351</t>
  </si>
  <si>
    <t>B056643489</t>
  </si>
  <si>
    <t>Tamil Nadu</t>
  </si>
  <si>
    <t>ORD-1016</t>
  </si>
  <si>
    <t>Tape Dispenser</t>
  </si>
  <si>
    <t>SKU-OFF-2872</t>
  </si>
  <si>
    <t>B079602795</t>
  </si>
  <si>
    <t>ORD-1017</t>
  </si>
  <si>
    <t>28-09-2023</t>
  </si>
  <si>
    <t>Cap</t>
  </si>
  <si>
    <t>SKU-FAS-6155</t>
  </si>
  <si>
    <t>B039938226</t>
  </si>
  <si>
    <t>Haryana</t>
  </si>
  <si>
    <t>ORD-1018</t>
  </si>
  <si>
    <t>10-12-2023</t>
  </si>
  <si>
    <t>Water Bottle</t>
  </si>
  <si>
    <t>SKU-HOM-9007</t>
  </si>
  <si>
    <t>B086705043</t>
  </si>
  <si>
    <t>ORD-1019</t>
  </si>
  <si>
    <t>SKU-SPO-7927</t>
  </si>
  <si>
    <t>B079200491</t>
  </si>
  <si>
    <t>ORD-1020</t>
  </si>
  <si>
    <t>Chopping Board</t>
  </si>
  <si>
    <t>SKU-HOM-8241</t>
  </si>
  <si>
    <t>B038532749</t>
  </si>
  <si>
    <t>Kerala</t>
  </si>
  <si>
    <t>ORD-1021</t>
  </si>
  <si>
    <t>19-10-2024</t>
  </si>
  <si>
    <t>Hair Oil</t>
  </si>
  <si>
    <t>SKU-BEA-3121</t>
  </si>
  <si>
    <t>B025424427</t>
  </si>
  <si>
    <t>ORD-1022</t>
  </si>
  <si>
    <t>06-03-2024</t>
  </si>
  <si>
    <t>12-03-2024</t>
  </si>
  <si>
    <t>Webcam</t>
  </si>
  <si>
    <t>SKU-ELE-3112</t>
  </si>
  <si>
    <t>B040815071</t>
  </si>
  <si>
    <t>ORD-1023</t>
  </si>
  <si>
    <t>08-04-2023</t>
  </si>
  <si>
    <t>11-04-2023</t>
  </si>
  <si>
    <t>Dumbbell Set</t>
  </si>
  <si>
    <t>SKU-SPO-9265</t>
  </si>
  <si>
    <t>B083643473</t>
  </si>
  <si>
    <t>ORD-1024</t>
  </si>
  <si>
    <t>12-04-2024</t>
  </si>
  <si>
    <t>Laptop Stand</t>
  </si>
  <si>
    <t>Decathlon</t>
  </si>
  <si>
    <t>SKU-ELE-7659</t>
  </si>
  <si>
    <t>B061367038</t>
  </si>
  <si>
    <t>ORD-1025</t>
  </si>
  <si>
    <t>19-03-2024</t>
  </si>
  <si>
    <t>Women's Kurti</t>
  </si>
  <si>
    <t>BoAt</t>
  </si>
  <si>
    <t>SKU-FAS-5650</t>
  </si>
  <si>
    <t>B064432259</t>
  </si>
  <si>
    <t>Changed Mind</t>
  </si>
  <si>
    <t>ORD-1026</t>
  </si>
  <si>
    <t>17-11-2024</t>
  </si>
  <si>
    <t>Classmate</t>
  </si>
  <si>
    <t>SKU-ELE-4882</t>
  </si>
  <si>
    <t>B095771793</t>
  </si>
  <si>
    <t>ORD-1027</t>
  </si>
  <si>
    <t>Men's T-Shirt</t>
  </si>
  <si>
    <t>SKU-FAS-7428</t>
  </si>
  <si>
    <t>B057582626</t>
  </si>
  <si>
    <t>ORD-1028</t>
  </si>
  <si>
    <t>02-05-2024</t>
  </si>
  <si>
    <t>SKU-FAS-6596</t>
  </si>
  <si>
    <t>B044330015</t>
  </si>
  <si>
    <t>ORD-1029</t>
  </si>
  <si>
    <t>Knee Support</t>
  </si>
  <si>
    <t>Mamaearth</t>
  </si>
  <si>
    <t>SKU-SPO-4474</t>
  </si>
  <si>
    <t>B085686269</t>
  </si>
  <si>
    <t>ORD-1030</t>
  </si>
  <si>
    <t>19-05-2024</t>
  </si>
  <si>
    <t>Prestige</t>
  </si>
  <si>
    <t>SKU-BEA-6114</t>
  </si>
  <si>
    <t>B030599713</t>
  </si>
  <si>
    <t>ORD-1031</t>
  </si>
  <si>
    <t>07-05-2024</t>
  </si>
  <si>
    <t>SKU-FAS-5125</t>
  </si>
  <si>
    <t>B063622133</t>
  </si>
  <si>
    <t>ORD-1032</t>
  </si>
  <si>
    <t>SKU-BEA-5886</t>
  </si>
  <si>
    <t>B096561462</t>
  </si>
  <si>
    <t>ORD-1033</t>
  </si>
  <si>
    <t>11-08-2023</t>
  </si>
  <si>
    <t>Skullcandy</t>
  </si>
  <si>
    <t>SKU-SPO-6727</t>
  </si>
  <si>
    <t>B035283375</t>
  </si>
  <si>
    <t>Defective</t>
  </si>
  <si>
    <t>ORD-1034</t>
  </si>
  <si>
    <t>20-01-2024</t>
  </si>
  <si>
    <t>SKU-BEA-2200</t>
  </si>
  <si>
    <t>B057436045</t>
  </si>
  <si>
    <t>ORD-1035</t>
  </si>
  <si>
    <t>08-05-2024</t>
  </si>
  <si>
    <t>SKU-OFF-8646</t>
  </si>
  <si>
    <t>B058638828</t>
  </si>
  <si>
    <t>ORD-1036</t>
  </si>
  <si>
    <t>SKU-SPO-7168</t>
  </si>
  <si>
    <t>B088421848</t>
  </si>
  <si>
    <t>ORD-1037</t>
  </si>
  <si>
    <t>13-09-2023</t>
  </si>
  <si>
    <t>Generic</t>
  </si>
  <si>
    <t>SKU-BEA-3687</t>
  </si>
  <si>
    <t>B011287697</t>
  </si>
  <si>
    <t>ORD-1038</t>
  </si>
  <si>
    <t>11-12-2023</t>
  </si>
  <si>
    <t>SKU-ELE-5232</t>
  </si>
  <si>
    <t>B075476301</t>
  </si>
  <si>
    <t>ORD-1039</t>
  </si>
  <si>
    <t>11-04-2024</t>
  </si>
  <si>
    <t>14-04-2024</t>
  </si>
  <si>
    <t>SKU-HOM-9918</t>
  </si>
  <si>
    <t>B020537842</t>
  </si>
  <si>
    <t>ORD-1040</t>
  </si>
  <si>
    <t>20-05-2024</t>
  </si>
  <si>
    <t>Power Bank</t>
  </si>
  <si>
    <t>SKU-ELE-2368</t>
  </si>
  <si>
    <t>B098934911</t>
  </si>
  <si>
    <t>ORD-1041</t>
  </si>
  <si>
    <t>03-04-2024</t>
  </si>
  <si>
    <t>08-04-2024</t>
  </si>
  <si>
    <t>SKU-BEA-5632</t>
  </si>
  <si>
    <t>B068453027</t>
  </si>
  <si>
    <t>ORD-1042</t>
  </si>
  <si>
    <t>Smart Watch</t>
  </si>
  <si>
    <t>SKU-ELE-5919</t>
  </si>
  <si>
    <t>B017146211</t>
  </si>
  <si>
    <t>ORD-1043</t>
  </si>
  <si>
    <t>12-09-2024</t>
  </si>
  <si>
    <t>Phone Case</t>
  </si>
  <si>
    <t>SKU-ELE-2624</t>
  </si>
  <si>
    <t>B061438803</t>
  </si>
  <si>
    <t>ORD-1044</t>
  </si>
  <si>
    <t>25-07-2024</t>
  </si>
  <si>
    <t>Watch Strap</t>
  </si>
  <si>
    <t>SKU-FAS-8596</t>
  </si>
  <si>
    <t>B047891289</t>
  </si>
  <si>
    <t>ORD-1045</t>
  </si>
  <si>
    <t>10-01-2023</t>
  </si>
  <si>
    <t>12-01-2023</t>
  </si>
  <si>
    <t>SKU-OFF-8633</t>
  </si>
  <si>
    <t>B013132997</t>
  </si>
  <si>
    <t>Telangana</t>
  </si>
  <si>
    <t>ORD-1046</t>
  </si>
  <si>
    <t>25-03-2024</t>
  </si>
  <si>
    <t>Yoga Mat</t>
  </si>
  <si>
    <t>SKU-SPO-2524</t>
  </si>
  <si>
    <t>B083251307</t>
  </si>
  <si>
    <t>ORD-1047</t>
  </si>
  <si>
    <t>09-10-2023</t>
  </si>
  <si>
    <t>Eye Cream</t>
  </si>
  <si>
    <t>SKU-BEA-2598</t>
  </si>
  <si>
    <t>B015186867</t>
  </si>
  <si>
    <t>Madhya Pradesh</t>
  </si>
  <si>
    <t>ORD-1048</t>
  </si>
  <si>
    <t>15-01-2023</t>
  </si>
  <si>
    <t>SKU-FAS-2256</t>
  </si>
  <si>
    <t>B084308107</t>
  </si>
  <si>
    <t>ORD-1049</t>
  </si>
  <si>
    <t>SKU-SPO-1049</t>
  </si>
  <si>
    <t>B060708772</t>
  </si>
  <si>
    <t>ORD-1050</t>
  </si>
  <si>
    <t>Air Fryer</t>
  </si>
  <si>
    <t>SKU-HOM-9883</t>
  </si>
  <si>
    <t>B080225784</t>
  </si>
  <si>
    <t>ORD-1051</t>
  </si>
  <si>
    <t>09-11-2023</t>
  </si>
  <si>
    <t>12-11-2023</t>
  </si>
  <si>
    <t>Wallet</t>
  </si>
  <si>
    <t>SKU-FAS-8840</t>
  </si>
  <si>
    <t>B025928953</t>
  </si>
  <si>
    <t>ORD-1052</t>
  </si>
  <si>
    <t>29-11-2024</t>
  </si>
  <si>
    <t>Face Wash</t>
  </si>
  <si>
    <t>Amazon Basics</t>
  </si>
  <si>
    <t>SKU-BEA-9495</t>
  </si>
  <si>
    <t>B080439142</t>
  </si>
  <si>
    <t>Wrong Item</t>
  </si>
  <si>
    <t>ORD-1053</t>
  </si>
  <si>
    <t>07-11-2023</t>
  </si>
  <si>
    <t>Sports Shoes</t>
  </si>
  <si>
    <t>SKU-FAS-7760</t>
  </si>
  <si>
    <t>B031864626</t>
  </si>
  <si>
    <t>ORD-1054</t>
  </si>
  <si>
    <t>SKU-SPO-5010</t>
  </si>
  <si>
    <t>B079649600</t>
  </si>
  <si>
    <t>ORD-1055</t>
  </si>
  <si>
    <t>SKU-HOM-8996</t>
  </si>
  <si>
    <t>B033516465</t>
  </si>
  <si>
    <t>ORD-1056</t>
  </si>
  <si>
    <t>12-06-2023</t>
  </si>
  <si>
    <t>SKU-ELE-6341</t>
  </si>
  <si>
    <t>B020642945</t>
  </si>
  <si>
    <t>ORD-1057</t>
  </si>
  <si>
    <t>26-03-2023</t>
  </si>
  <si>
    <t>SKU-FAS-2781</t>
  </si>
  <si>
    <t>B050112401</t>
  </si>
  <si>
    <t>ORD-1058</t>
  </si>
  <si>
    <t>SKU-FAS-8576</t>
  </si>
  <si>
    <t>B016971628</t>
  </si>
  <si>
    <t>ORD-1059</t>
  </si>
  <si>
    <t>27-07-2023</t>
  </si>
  <si>
    <t>SKU-HOM-8595</t>
  </si>
  <si>
    <t>B054453694</t>
  </si>
  <si>
    <t>ORD-1060</t>
  </si>
  <si>
    <t>26-12-2024</t>
  </si>
  <si>
    <t>SKU-OFF-8566</t>
  </si>
  <si>
    <t>B047506009</t>
  </si>
  <si>
    <t>ORD-1061</t>
  </si>
  <si>
    <t>SKU-BEA-5793</t>
  </si>
  <si>
    <t>B030214809</t>
  </si>
  <si>
    <t>ORD-1062</t>
  </si>
  <si>
    <t>SKU-BEA-5828</t>
  </si>
  <si>
    <t>B089684529</t>
  </si>
  <si>
    <t>ORD-1063</t>
  </si>
  <si>
    <t>12-10-2024</t>
  </si>
  <si>
    <t>SKU-HOM-9203</t>
  </si>
  <si>
    <t>B030506936</t>
  </si>
  <si>
    <t>ORD-1064</t>
  </si>
  <si>
    <t>20-12-2023</t>
  </si>
  <si>
    <t>SKU-FAS-5844</t>
  </si>
  <si>
    <t>B064619876</t>
  </si>
  <si>
    <t>ORD-1065</t>
  </si>
  <si>
    <t>SKU-SPO-8751</t>
  </si>
  <si>
    <t>B064384394</t>
  </si>
  <si>
    <t>ORD-1066</t>
  </si>
  <si>
    <t>11-06-2024</t>
  </si>
  <si>
    <t>14-06-2024</t>
  </si>
  <si>
    <t>SKU-BEA-5468</t>
  </si>
  <si>
    <t>B034747514</t>
  </si>
  <si>
    <t>ORD-1067</t>
  </si>
  <si>
    <t>SKU-FAS-4391</t>
  </si>
  <si>
    <t>B038863342</t>
  </si>
  <si>
    <t>ORD-1068</t>
  </si>
  <si>
    <t>16-04-2023</t>
  </si>
  <si>
    <t>Highlighter Set</t>
  </si>
  <si>
    <t>SKU-OFF-9268</t>
  </si>
  <si>
    <t>B099956415</t>
  </si>
  <si>
    <t>ORD-1069</t>
  </si>
  <si>
    <t>05-01-2024</t>
  </si>
  <si>
    <t>Sunglasses</t>
  </si>
  <si>
    <t>SKU-FAS-4656</t>
  </si>
  <si>
    <t>B055346122</t>
  </si>
  <si>
    <t>ORD-1070</t>
  </si>
  <si>
    <t>23-06-2024</t>
  </si>
  <si>
    <t>SKU-FAS-1286</t>
  </si>
  <si>
    <t>B020834586</t>
  </si>
  <si>
    <t>ORD-1071</t>
  </si>
  <si>
    <t>SKU-HOM-1372</t>
  </si>
  <si>
    <t>B086525229</t>
  </si>
  <si>
    <t>ORD-1072</t>
  </si>
  <si>
    <t>Storage Box</t>
  </si>
  <si>
    <t>SKU-HOM-4636</t>
  </si>
  <si>
    <t>B029957144</t>
  </si>
  <si>
    <t>ORD-1073</t>
  </si>
  <si>
    <t>SKU-ELE-1900</t>
  </si>
  <si>
    <t>B013501653</t>
  </si>
  <si>
    <t>ORD-1074</t>
  </si>
  <si>
    <t>SKU-SPO-5274</t>
  </si>
  <si>
    <t>B067351497</t>
  </si>
  <si>
    <t>ORD-1075</t>
  </si>
  <si>
    <t>24-07-2024</t>
  </si>
  <si>
    <t>27-07-2024</t>
  </si>
  <si>
    <t>SKU-ELE-6417</t>
  </si>
  <si>
    <t>B053877880</t>
  </si>
  <si>
    <t>ORD-1076</t>
  </si>
  <si>
    <t>25-01-2023</t>
  </si>
  <si>
    <t>SKU-HOM-7503</t>
  </si>
  <si>
    <t>B059479495</t>
  </si>
  <si>
    <t>ORD-1077</t>
  </si>
  <si>
    <t>SKU-FAS-7973</t>
  </si>
  <si>
    <t>B063846732</t>
  </si>
  <si>
    <t>ORD-1078</t>
  </si>
  <si>
    <t>11-08-2024</t>
  </si>
  <si>
    <t>Coffee Mug</t>
  </si>
  <si>
    <t>SKU-HOM-5386</t>
  </si>
  <si>
    <t>B022613499</t>
  </si>
  <si>
    <t>ORD-1079</t>
  </si>
  <si>
    <t>06-01-2024</t>
  </si>
  <si>
    <t>Stapler</t>
  </si>
  <si>
    <t>SKU-OFF-8935</t>
  </si>
  <si>
    <t>B064305817</t>
  </si>
  <si>
    <t>ORD-1080</t>
  </si>
  <si>
    <t>SKU-FAS-3291</t>
  </si>
  <si>
    <t>B058683240</t>
  </si>
  <si>
    <t>ORD-1081</t>
  </si>
  <si>
    <t>24-11-2024</t>
  </si>
  <si>
    <t>25-11-2024</t>
  </si>
  <si>
    <t>SKU-FAS-5305</t>
  </si>
  <si>
    <t>B079180568</t>
  </si>
  <si>
    <t>ORD-1082</t>
  </si>
  <si>
    <t>SKU-FAS-6430</t>
  </si>
  <si>
    <t>B075281808</t>
  </si>
  <si>
    <t>ORD-1083</t>
  </si>
  <si>
    <t>Notebook</t>
  </si>
  <si>
    <t>SKU-OFF-6440</t>
  </si>
  <si>
    <t>B097954545</t>
  </si>
  <si>
    <t>ORD-1084</t>
  </si>
  <si>
    <t>SKU-BEA-2127</t>
  </si>
  <si>
    <t>B014275349</t>
  </si>
  <si>
    <t>ORD-1085</t>
  </si>
  <si>
    <t>Pillow Cover</t>
  </si>
  <si>
    <t>SKU-HOM-3655</t>
  </si>
  <si>
    <t>B024939454</t>
  </si>
  <si>
    <t>ORD-1086</t>
  </si>
  <si>
    <t>21-12-2023</t>
  </si>
  <si>
    <t>SKU-ELE-4282</t>
  </si>
  <si>
    <t>B044776715</t>
  </si>
  <si>
    <t>ORD-1087</t>
  </si>
  <si>
    <t>09-12-2024</t>
  </si>
  <si>
    <t>SKU-ELE-9013</t>
  </si>
  <si>
    <t>B021107694</t>
  </si>
  <si>
    <t>ORD-1088</t>
  </si>
  <si>
    <t>23-12-2023</t>
  </si>
  <si>
    <t>SKU-ELE-1630</t>
  </si>
  <si>
    <t>B032803158</t>
  </si>
  <si>
    <t>ORD-1089</t>
  </si>
  <si>
    <t>SKU-ELE-5946</t>
  </si>
  <si>
    <t>B071717893</t>
  </si>
  <si>
    <t>ORD-1090</t>
  </si>
  <si>
    <t>SKU-FAS-1251</t>
  </si>
  <si>
    <t>B029687769</t>
  </si>
  <si>
    <t>ORD-1091</t>
  </si>
  <si>
    <t>Sunscreen</t>
  </si>
  <si>
    <t>SKU-BEA-3850</t>
  </si>
  <si>
    <t>B067737395</t>
  </si>
  <si>
    <t>ORD-1092</t>
  </si>
  <si>
    <t>Gel Pen Set</t>
  </si>
  <si>
    <t>SKU-OFF-5553</t>
  </si>
  <si>
    <t>B068483140</t>
  </si>
  <si>
    <t>ORD-1093</t>
  </si>
  <si>
    <t>21-04-2023</t>
  </si>
  <si>
    <t>SKU-OFF-9734</t>
  </si>
  <si>
    <t>B032354220</t>
  </si>
  <si>
    <t>ORD-1094</t>
  </si>
  <si>
    <t>SKU-ELE-6275</t>
  </si>
  <si>
    <t>B074380859</t>
  </si>
  <si>
    <t>ORD-1095</t>
  </si>
  <si>
    <t>07-01-2023</t>
  </si>
  <si>
    <t>SKU-SPO-3232</t>
  </si>
  <si>
    <t>B038644303</t>
  </si>
  <si>
    <t>ORD-1096</t>
  </si>
  <si>
    <t>29-07-2023</t>
  </si>
  <si>
    <t>SKU-BEA-3349</t>
  </si>
  <si>
    <t>B081528992</t>
  </si>
  <si>
    <t>ORD-1097</t>
  </si>
  <si>
    <t>08-03-2024</t>
  </si>
  <si>
    <t>SKU-FAS-8961</t>
  </si>
  <si>
    <t>B091136538</t>
  </si>
  <si>
    <t>ORD-1098</t>
  </si>
  <si>
    <t>03-01-2024</t>
  </si>
  <si>
    <t>SKU-BEA-4706</t>
  </si>
  <si>
    <t>B089760071</t>
  </si>
  <si>
    <t>ORD-1099</t>
  </si>
  <si>
    <t>17-10-2024</t>
  </si>
  <si>
    <t>SKU-HOM-4248</t>
  </si>
  <si>
    <t>B076654148</t>
  </si>
  <si>
    <t>ORD-1100</t>
  </si>
  <si>
    <t>SKU-BEA-4539</t>
  </si>
  <si>
    <t>B043456642</t>
  </si>
  <si>
    <t>ORD-1101</t>
  </si>
  <si>
    <t>22-04-2024</t>
  </si>
  <si>
    <t>SKU-ELE-9853</t>
  </si>
  <si>
    <t>B079780292</t>
  </si>
  <si>
    <t>ORD-1102</t>
  </si>
  <si>
    <t>22-11-2023</t>
  </si>
  <si>
    <t>SKU-HOM-8690</t>
  </si>
  <si>
    <t>B067448697</t>
  </si>
  <si>
    <t>ORD-1103</t>
  </si>
  <si>
    <t>14-09-2024</t>
  </si>
  <si>
    <t>Lip Balm</t>
  </si>
  <si>
    <t>SKU-BEA-2617</t>
  </si>
  <si>
    <t>B058412361</t>
  </si>
  <si>
    <t>ORD-1104</t>
  </si>
  <si>
    <t>SKU-BEA-3678</t>
  </si>
  <si>
    <t>B044371929</t>
  </si>
  <si>
    <t>ORD-1105</t>
  </si>
  <si>
    <t>24-09-2024</t>
  </si>
  <si>
    <t>25-09-2024</t>
  </si>
  <si>
    <t>SKU-OFF-5265</t>
  </si>
  <si>
    <t>B069780708</t>
  </si>
  <si>
    <t>ORD-1106</t>
  </si>
  <si>
    <t>SKU-HOM-8883</t>
  </si>
  <si>
    <t>B012599791</t>
  </si>
  <si>
    <t>ORD-1107</t>
  </si>
  <si>
    <t>21-06-2023</t>
  </si>
  <si>
    <t>SKU-HOM-9985</t>
  </si>
  <si>
    <t>B070502915</t>
  </si>
  <si>
    <t>ORD-1108</t>
  </si>
  <si>
    <t>SKU-BEA-7178</t>
  </si>
  <si>
    <t>B058913912</t>
  </si>
  <si>
    <t>ORD-1109</t>
  </si>
  <si>
    <t>SKU-OFF-3666</t>
  </si>
  <si>
    <t>B011219867</t>
  </si>
  <si>
    <t>ORD-1110</t>
  </si>
  <si>
    <t>SKU-HOM-6214</t>
  </si>
  <si>
    <t>B042523331</t>
  </si>
  <si>
    <t>ORD-1111</t>
  </si>
  <si>
    <t>SKU-BEA-8717</t>
  </si>
  <si>
    <t>B055833474</t>
  </si>
  <si>
    <t>ORD-1112</t>
  </si>
  <si>
    <t>SKU-ELE-6285</t>
  </si>
  <si>
    <t>B061726049</t>
  </si>
  <si>
    <t>ORD-1113</t>
  </si>
  <si>
    <t>Desk Organizer</t>
  </si>
  <si>
    <t>SKU-OFF-8322</t>
  </si>
  <si>
    <t>B018251120</t>
  </si>
  <si>
    <t>ORD-1114</t>
  </si>
  <si>
    <t>SKU-SPO-4429</t>
  </si>
  <si>
    <t>B020531052</t>
  </si>
  <si>
    <t>ORD-1115</t>
  </si>
  <si>
    <t>18-03-2023</t>
  </si>
  <si>
    <t>SKU-OFF-1341</t>
  </si>
  <si>
    <t>B046398617</t>
  </si>
  <si>
    <t>ORD-1116</t>
  </si>
  <si>
    <t>15-04-2024</t>
  </si>
  <si>
    <t>18-04-2024</t>
  </si>
  <si>
    <t>SKU-FAS-8746</t>
  </si>
  <si>
    <t>B083514702</t>
  </si>
  <si>
    <t>ORD-1117</t>
  </si>
  <si>
    <t>SKU-OFF-5239</t>
  </si>
  <si>
    <t>B055665235</t>
  </si>
  <si>
    <t>ORD-1118</t>
  </si>
  <si>
    <t>13-11-2023</t>
  </si>
  <si>
    <t>SKU-FAS-8030</t>
  </si>
  <si>
    <t>B079346496</t>
  </si>
  <si>
    <t>ORD-1119</t>
  </si>
  <si>
    <t>SKU-HOM-5057</t>
  </si>
  <si>
    <t>B096618122</t>
  </si>
  <si>
    <t>ORD-1120</t>
  </si>
  <si>
    <t>19-12-2023</t>
  </si>
  <si>
    <t>SKU-OFF-8929</t>
  </si>
  <si>
    <t>B056885085</t>
  </si>
  <si>
    <t>ORD-1121</t>
  </si>
  <si>
    <t>Cycling Gloves</t>
  </si>
  <si>
    <t>SKU-SPO-2171</t>
  </si>
  <si>
    <t>B032125021</t>
  </si>
  <si>
    <t>ORD-1122</t>
  </si>
  <si>
    <t>SKU-SPO-2330</t>
  </si>
  <si>
    <t>B029849197</t>
  </si>
  <si>
    <t>ORD-1123</t>
  </si>
  <si>
    <t>03-08-2024</t>
  </si>
  <si>
    <t>SKU-HOM-8189</t>
  </si>
  <si>
    <t>B036909476</t>
  </si>
  <si>
    <t>ORD-1124</t>
  </si>
  <si>
    <t>SKU-ELE-5808</t>
  </si>
  <si>
    <t>B047541187</t>
  </si>
  <si>
    <t>ORD-1125</t>
  </si>
  <si>
    <t>SKU-ELE-5649</t>
  </si>
  <si>
    <t>B033833985</t>
  </si>
  <si>
    <t>ORD-1126</t>
  </si>
  <si>
    <t>SKU-ELE-8722</t>
  </si>
  <si>
    <t>B015110004</t>
  </si>
  <si>
    <t>ORD-1127</t>
  </si>
  <si>
    <t>17-09-2023</t>
  </si>
  <si>
    <t>19-09-2023</t>
  </si>
  <si>
    <t>SKU-OFF-8809</t>
  </si>
  <si>
    <t>B045191240</t>
  </si>
  <si>
    <t>ORD-1128</t>
  </si>
  <si>
    <t>SKU-SPO-2378</t>
  </si>
  <si>
    <t>B010274441</t>
  </si>
  <si>
    <t>ORD-1129</t>
  </si>
  <si>
    <t>SKU-FAS-1213</t>
  </si>
  <si>
    <t>B091407533</t>
  </si>
  <si>
    <t>ORD-1130</t>
  </si>
  <si>
    <t>08-10-2023</t>
  </si>
  <si>
    <t>SKU-BEA-8831</t>
  </si>
  <si>
    <t>B072211536</t>
  </si>
  <si>
    <t>ORD-1131</t>
  </si>
  <si>
    <t>SKU-SPO-2882</t>
  </si>
  <si>
    <t>B035482322</t>
  </si>
  <si>
    <t>ORD-1132</t>
  </si>
  <si>
    <t>19-08-2023</t>
  </si>
  <si>
    <t>SKU-SPO-2447</t>
  </si>
  <si>
    <t>B091300611</t>
  </si>
  <si>
    <t>ORD-1133</t>
  </si>
  <si>
    <t>SKU-BEA-5906</t>
  </si>
  <si>
    <t>B010943049</t>
  </si>
  <si>
    <t>ORD-1134</t>
  </si>
  <si>
    <t>07-10-2024</t>
  </si>
  <si>
    <t>SKU-SPO-4946</t>
  </si>
  <si>
    <t>B068332091</t>
  </si>
  <si>
    <t>ORD-1135</t>
  </si>
  <si>
    <t>SKU-BEA-3533</t>
  </si>
  <si>
    <t>B063767515</t>
  </si>
  <si>
    <t>ORD-1136</t>
  </si>
  <si>
    <t>13-05-2023</t>
  </si>
  <si>
    <t>SKU-OFF-5520</t>
  </si>
  <si>
    <t>B097825015</t>
  </si>
  <si>
    <t>ORD-1137</t>
  </si>
  <si>
    <t>22-11-2024</t>
  </si>
  <si>
    <t>SKU-SPO-7987</t>
  </si>
  <si>
    <t>B018347339</t>
  </si>
  <si>
    <t>ORD-1138</t>
  </si>
  <si>
    <t>SKU-SPO-8990</t>
  </si>
  <si>
    <t>B031320203</t>
  </si>
  <si>
    <t>ORD-1139</t>
  </si>
  <si>
    <t>14-12-2023</t>
  </si>
  <si>
    <t>SKU-SPO-3293</t>
  </si>
  <si>
    <t>B072374560</t>
  </si>
  <si>
    <t>ORD-1140</t>
  </si>
  <si>
    <t>03-11-2024</t>
  </si>
  <si>
    <t>SKU-BEA-3624</t>
  </si>
  <si>
    <t>B088600927</t>
  </si>
  <si>
    <t>ORD-1141</t>
  </si>
  <si>
    <t>21-09-2023</t>
  </si>
  <si>
    <t>SKU-OFF-5529</t>
  </si>
  <si>
    <t>B077207999</t>
  </si>
  <si>
    <t>ORD-1142</t>
  </si>
  <si>
    <t>SKU-SPO-4915</t>
  </si>
  <si>
    <t>B037870352</t>
  </si>
  <si>
    <t>ORD-1143</t>
  </si>
  <si>
    <t>SKU-OFF-9125</t>
  </si>
  <si>
    <t>B045191904</t>
  </si>
  <si>
    <t>ORD-1144</t>
  </si>
  <si>
    <t>Jump Rope</t>
  </si>
  <si>
    <t>SKU-SPO-7029</t>
  </si>
  <si>
    <t>B032531133</t>
  </si>
  <si>
    <t>ORD-1145</t>
  </si>
  <si>
    <t>SKU-SPO-9184</t>
  </si>
  <si>
    <t>B067995139</t>
  </si>
  <si>
    <t>ORD-1146</t>
  </si>
  <si>
    <t>SKU-SPO-3958</t>
  </si>
  <si>
    <t>B024155488</t>
  </si>
  <si>
    <t>ORD-1147</t>
  </si>
  <si>
    <t>10-12-2024</t>
  </si>
  <si>
    <t>SKU-ELE-6629</t>
  </si>
  <si>
    <t>B052299547</t>
  </si>
  <si>
    <t>ORD-1148</t>
  </si>
  <si>
    <t>SKU-HOM-7076</t>
  </si>
  <si>
    <t>B092230144</t>
  </si>
  <si>
    <t>ORD-1149</t>
  </si>
  <si>
    <t>12-08-2024</t>
  </si>
  <si>
    <t>SKU-HOM-7499</t>
  </si>
  <si>
    <t>B035372131</t>
  </si>
  <si>
    <t>ORD-1150</t>
  </si>
  <si>
    <t>13-06-2024</t>
  </si>
  <si>
    <t>SKU-FAS-4686</t>
  </si>
  <si>
    <t>B062779515</t>
  </si>
  <si>
    <t>ORD-1151</t>
  </si>
  <si>
    <t>06-11-2024</t>
  </si>
  <si>
    <t>SKU-FAS-6809</t>
  </si>
  <si>
    <t>B031979018</t>
  </si>
  <si>
    <t>ORD-1152</t>
  </si>
  <si>
    <t>SKU-SPO-9589</t>
  </si>
  <si>
    <t>B078204770</t>
  </si>
  <si>
    <t>ORD-1153</t>
  </si>
  <si>
    <t>SKU-HOM-9063</t>
  </si>
  <si>
    <t>B032818190</t>
  </si>
  <si>
    <t>ORD-1154</t>
  </si>
  <si>
    <t>23-05-2023</t>
  </si>
  <si>
    <t>SKU-ELE-8026</t>
  </si>
  <si>
    <t>B039704319</t>
  </si>
  <si>
    <t>ORD-1155</t>
  </si>
  <si>
    <t>23-06-2023</t>
  </si>
  <si>
    <t>SKU-FAS-2880</t>
  </si>
  <si>
    <t>B027605775</t>
  </si>
  <si>
    <t>ORD-1156</t>
  </si>
  <si>
    <t>25-05-2024</t>
  </si>
  <si>
    <t>SKU-FAS-8181</t>
  </si>
  <si>
    <t>B013645294</t>
  </si>
  <si>
    <t>ORD-1157</t>
  </si>
  <si>
    <t>SKU-SPO-2708</t>
  </si>
  <si>
    <t>B010755134</t>
  </si>
  <si>
    <t>ORD-1158</t>
  </si>
  <si>
    <t>15-05-2024</t>
  </si>
  <si>
    <t>SKU-OFF-1281</t>
  </si>
  <si>
    <t>B012551259</t>
  </si>
  <si>
    <t>ORD-1159</t>
  </si>
  <si>
    <t>SKU-FAS-8432</t>
  </si>
  <si>
    <t>B045147549</t>
  </si>
  <si>
    <t>ORD-1160</t>
  </si>
  <si>
    <t>03-03-2024</t>
  </si>
  <si>
    <t>SKU-HOM-7061</t>
  </si>
  <si>
    <t>B058102800</t>
  </si>
  <si>
    <t>ORD-1161</t>
  </si>
  <si>
    <t>03-07-2024</t>
  </si>
  <si>
    <t>SKU-HOM-2942</t>
  </si>
  <si>
    <t>B081102435</t>
  </si>
  <si>
    <t>ORD-1162</t>
  </si>
  <si>
    <t>SKU-SPO-5848</t>
  </si>
  <si>
    <t>B099748922</t>
  </si>
  <si>
    <t>ORD-1163</t>
  </si>
  <si>
    <t>SKU-HOM-7428</t>
  </si>
  <si>
    <t>B088404202</t>
  </si>
  <si>
    <t>ORD-1164</t>
  </si>
  <si>
    <t>16-09-2024</t>
  </si>
  <si>
    <t>SKU-HOM-9388</t>
  </si>
  <si>
    <t>B038376900</t>
  </si>
  <si>
    <t>ORD-1165</t>
  </si>
  <si>
    <t>SKU-FAS-8066</t>
  </si>
  <si>
    <t>B037118375</t>
  </si>
  <si>
    <t>ORD-1166</t>
  </si>
  <si>
    <t>21-02-2024</t>
  </si>
  <si>
    <t>SKU-HOM-7982</t>
  </si>
  <si>
    <t>B098344628</t>
  </si>
  <si>
    <t>ORD-1167</t>
  </si>
  <si>
    <t>27-11-2024</t>
  </si>
  <si>
    <t>SKU-BEA-8417</t>
  </si>
  <si>
    <t>B017570659</t>
  </si>
  <si>
    <t>ORD-1168</t>
  </si>
  <si>
    <t>SKU-ELE-1198</t>
  </si>
  <si>
    <t>B079591185</t>
  </si>
  <si>
    <t>ORD-1169</t>
  </si>
  <si>
    <t>15-11-2024</t>
  </si>
  <si>
    <t>SKU-OFF-7844</t>
  </si>
  <si>
    <t>B055605050</t>
  </si>
  <si>
    <t>ORD-1170</t>
  </si>
  <si>
    <t>SKU-SPO-5667</t>
  </si>
  <si>
    <t>B051115678</t>
  </si>
  <si>
    <t>ORD-1171</t>
  </si>
  <si>
    <t>25-12-2023</t>
  </si>
  <si>
    <t>SKU-ELE-4943</t>
  </si>
  <si>
    <t>B052101243</t>
  </si>
  <si>
    <t>ORD-1172</t>
  </si>
  <si>
    <t>SKU-SPO-5436</t>
  </si>
  <si>
    <t>B079154108</t>
  </si>
  <si>
    <t>ORD-1173</t>
  </si>
  <si>
    <t>05-05-2023</t>
  </si>
  <si>
    <t>SKU-BEA-3799</t>
  </si>
  <si>
    <t>B043446691</t>
  </si>
  <si>
    <t>ORD-1174</t>
  </si>
  <si>
    <t>01-07-2024</t>
  </si>
  <si>
    <t>SKU-FAS-3759</t>
  </si>
  <si>
    <t>B048513684</t>
  </si>
  <si>
    <t>ORD-1175</t>
  </si>
  <si>
    <t>SKU-FAS-6972</t>
  </si>
  <si>
    <t>B065582168</t>
  </si>
  <si>
    <t>ORD-1176</t>
  </si>
  <si>
    <t>SKU-SPO-2534</t>
  </si>
  <si>
    <t>B047607120</t>
  </si>
  <si>
    <t>ORD-1177</t>
  </si>
  <si>
    <t>17-06-2024</t>
  </si>
  <si>
    <t>SKU-ELE-4808</t>
  </si>
  <si>
    <t>B057961050</t>
  </si>
  <si>
    <t>ORD-1178</t>
  </si>
  <si>
    <t>15-10-2023</t>
  </si>
  <si>
    <t>SKU-HOM-3883</t>
  </si>
  <si>
    <t>B090291323</t>
  </si>
  <si>
    <t>ORD-1179</t>
  </si>
  <si>
    <t>SKU-SPO-3844</t>
  </si>
  <si>
    <t>B048170142</t>
  </si>
  <si>
    <t>ORD-1180</t>
  </si>
  <si>
    <t>28-10-2024</t>
  </si>
  <si>
    <t>SKU-OFF-1197</t>
  </si>
  <si>
    <t>B019711285</t>
  </si>
  <si>
    <t>ORD-1181</t>
  </si>
  <si>
    <t>SKU-FAS-3662</t>
  </si>
  <si>
    <t>B010241943</t>
  </si>
  <si>
    <t>ORD-1182</t>
  </si>
  <si>
    <t>10-08-2024</t>
  </si>
  <si>
    <t>SKU-FAS-3000</t>
  </si>
  <si>
    <t>B030917376</t>
  </si>
  <si>
    <t>ORD-1183</t>
  </si>
  <si>
    <t>30-09-2024</t>
  </si>
  <si>
    <t>SKU-BEA-1007</t>
  </si>
  <si>
    <t>B089474901</t>
  </si>
  <si>
    <t>ORD-1184</t>
  </si>
  <si>
    <t>SKU-BEA-7316</t>
  </si>
  <si>
    <t>B061599771</t>
  </si>
  <si>
    <t>ORD-1185</t>
  </si>
  <si>
    <t>SKU-SPO-1276</t>
  </si>
  <si>
    <t>B027354271</t>
  </si>
  <si>
    <t>ORD-1186</t>
  </si>
  <si>
    <t>04-08-2023</t>
  </si>
  <si>
    <t>SKU-SPO-7001</t>
  </si>
  <si>
    <t>B026676818</t>
  </si>
  <si>
    <t>ORD-1187</t>
  </si>
  <si>
    <t>SKU-ELE-4263</t>
  </si>
  <si>
    <t>B028214690</t>
  </si>
  <si>
    <t>ORD-1188</t>
  </si>
  <si>
    <t>SKU-ELE-4425</t>
  </si>
  <si>
    <t>B082236609</t>
  </si>
  <si>
    <t>ORD-1189</t>
  </si>
  <si>
    <t>SKU-BEA-6014</t>
  </si>
  <si>
    <t>B096251056</t>
  </si>
  <si>
    <t>ORD-1190</t>
  </si>
  <si>
    <t>10-05-2023</t>
  </si>
  <si>
    <t>SKU-ELE-2126</t>
  </si>
  <si>
    <t>B064211211</t>
  </si>
  <si>
    <t>ORD-1191</t>
  </si>
  <si>
    <t>SKU-SPO-2859</t>
  </si>
  <si>
    <t>B091751317</t>
  </si>
  <si>
    <t>ORD-1192</t>
  </si>
  <si>
    <t>SKU-HOM-4515</t>
  </si>
  <si>
    <t>B078210463</t>
  </si>
  <si>
    <t>ORD-1193</t>
  </si>
  <si>
    <t>31-01-2023</t>
  </si>
  <si>
    <t>SKU-FAS-4826</t>
  </si>
  <si>
    <t>B032475284</t>
  </si>
  <si>
    <t>ORD-1194</t>
  </si>
  <si>
    <t>16-12-2024</t>
  </si>
  <si>
    <t>SKU-OFF-2002</t>
  </si>
  <si>
    <t>B074195286</t>
  </si>
  <si>
    <t>ORD-1195</t>
  </si>
  <si>
    <t>25-06-2024</t>
  </si>
  <si>
    <t>SKU-ELE-6106</t>
  </si>
  <si>
    <t>B092487969</t>
  </si>
  <si>
    <t>ORD-1196</t>
  </si>
  <si>
    <t>29-05-2023</t>
  </si>
  <si>
    <t>SKU-FAS-3422</t>
  </si>
  <si>
    <t>B094922553</t>
  </si>
  <si>
    <t>ORD-1197</t>
  </si>
  <si>
    <t>11-12-2024</t>
  </si>
  <si>
    <t>SKU-HOM-3353</t>
  </si>
  <si>
    <t>B059791367</t>
  </si>
  <si>
    <t>ORD-1198</t>
  </si>
  <si>
    <t>08-09-2023</t>
  </si>
  <si>
    <t>SKU-OFF-6344</t>
  </si>
  <si>
    <t>B047398077</t>
  </si>
  <si>
    <t>ORD-1199</t>
  </si>
  <si>
    <t>SKU-FAS-9481</t>
  </si>
  <si>
    <t>B022292611</t>
  </si>
  <si>
    <t>ORD-1200</t>
  </si>
  <si>
    <t>SKU-HOM-5601</t>
  </si>
  <si>
    <t>B017141969</t>
  </si>
  <si>
    <t>ORD-1201</t>
  </si>
  <si>
    <t>25-12-2024</t>
  </si>
  <si>
    <t>SKU-OFF-8552</t>
  </si>
  <si>
    <t>B017895898</t>
  </si>
  <si>
    <t>ORD-1202</t>
  </si>
  <si>
    <t>SKU-ELE-6882</t>
  </si>
  <si>
    <t>B015899569</t>
  </si>
  <si>
    <t>ORD-1203</t>
  </si>
  <si>
    <t>20-04-2023</t>
  </si>
  <si>
    <t>SKU-FAS-7462</t>
  </si>
  <si>
    <t>B064766461</t>
  </si>
  <si>
    <t>ORD-1204</t>
  </si>
  <si>
    <t>SKU-FAS-4258</t>
  </si>
  <si>
    <t>B036100394</t>
  </si>
  <si>
    <t>ORD-1205</t>
  </si>
  <si>
    <t>14-08-2024</t>
  </si>
  <si>
    <t>SKU-SPO-8656</t>
  </si>
  <si>
    <t>B067706593</t>
  </si>
  <si>
    <t>ORD-1206</t>
  </si>
  <si>
    <t>SKU-HOM-5625</t>
  </si>
  <si>
    <t>B093498495</t>
  </si>
  <si>
    <t>ORD-1207</t>
  </si>
  <si>
    <t>SKU-ELE-8022</t>
  </si>
  <si>
    <t>B090739444</t>
  </si>
  <si>
    <t>ORD-1208</t>
  </si>
  <si>
    <t>14-08-2023</t>
  </si>
  <si>
    <t>SKU-FAS-1614</t>
  </si>
  <si>
    <t>B054429506</t>
  </si>
  <si>
    <t>ORD-1209</t>
  </si>
  <si>
    <t>03-06-2024</t>
  </si>
  <si>
    <t>SKU-OFF-4380</t>
  </si>
  <si>
    <t>B078678235</t>
  </si>
  <si>
    <t>ORD-1210</t>
  </si>
  <si>
    <t>SKU-HOM-7171</t>
  </si>
  <si>
    <t>B045129642</t>
  </si>
  <si>
    <t>ORD-1211</t>
  </si>
  <si>
    <t>SKU-ELE-5198</t>
  </si>
  <si>
    <t>B089217896</t>
  </si>
  <si>
    <t>ORD-1212</t>
  </si>
  <si>
    <t>SKU-ELE-4373</t>
  </si>
  <si>
    <t>B083954821</t>
  </si>
  <si>
    <t>ORD-1213</t>
  </si>
  <si>
    <t>SKU-FAS-5330</t>
  </si>
  <si>
    <t>B091552207</t>
  </si>
  <si>
    <t>ORD-1214</t>
  </si>
  <si>
    <t>SKU-FAS-7048</t>
  </si>
  <si>
    <t>B079108933</t>
  </si>
  <si>
    <t>ORD-1215</t>
  </si>
  <si>
    <t>SKU-ELE-9500</t>
  </si>
  <si>
    <t>B030766211</t>
  </si>
  <si>
    <t>ORD-1216</t>
  </si>
  <si>
    <t>22-09-2024</t>
  </si>
  <si>
    <t>SKU-HOM-2729</t>
  </si>
  <si>
    <t>B055209408</t>
  </si>
  <si>
    <t>ORD-1217</t>
  </si>
  <si>
    <t>SKU-OFF-9473</t>
  </si>
  <si>
    <t>B085420897</t>
  </si>
  <si>
    <t>ORD-1218</t>
  </si>
  <si>
    <t>17-10-2023</t>
  </si>
  <si>
    <t>SKU-ELE-9026</t>
  </si>
  <si>
    <t>B051988626</t>
  </si>
  <si>
    <t>ORD-1219</t>
  </si>
  <si>
    <t>02-12-2023</t>
  </si>
  <si>
    <t>SKU-ELE-3355</t>
  </si>
  <si>
    <t>B016519689</t>
  </si>
  <si>
    <t>ORD-1220</t>
  </si>
  <si>
    <t>16-05-2024</t>
  </si>
  <si>
    <t>SKU-SPO-4437</t>
  </si>
  <si>
    <t>B017799645</t>
  </si>
  <si>
    <t>ORD-1221</t>
  </si>
  <si>
    <t>03-09-2024</t>
  </si>
  <si>
    <t>SKU-HOM-1688</t>
  </si>
  <si>
    <t>B082704575</t>
  </si>
  <si>
    <t>ORD-1222</t>
  </si>
  <si>
    <t>07-07-2024</t>
  </si>
  <si>
    <t>SKU-ELE-2611</t>
  </si>
  <si>
    <t>B016409846</t>
  </si>
  <si>
    <t>ORD-1223</t>
  </si>
  <si>
    <t>SKU-FAS-3013</t>
  </si>
  <si>
    <t>B025639115</t>
  </si>
  <si>
    <t>ORD-1224</t>
  </si>
  <si>
    <t>SKU-OFF-1328</t>
  </si>
  <si>
    <t>B037106810</t>
  </si>
  <si>
    <t>ORD-1225</t>
  </si>
  <si>
    <t>07-08-2023</t>
  </si>
  <si>
    <t>SKU-FAS-5281</t>
  </si>
  <si>
    <t>B023363659</t>
  </si>
  <si>
    <t>ORD-1226</t>
  </si>
  <si>
    <t>21-07-2024</t>
  </si>
  <si>
    <t>SKU-FAS-2422</t>
  </si>
  <si>
    <t>B013437600</t>
  </si>
  <si>
    <t>ORD-1227</t>
  </si>
  <si>
    <t>SKU-HOM-2750</t>
  </si>
  <si>
    <t>B048652450</t>
  </si>
  <si>
    <t>ORD-1228</t>
  </si>
  <si>
    <t>SKU-BEA-1823</t>
  </si>
  <si>
    <t>B012194614</t>
  </si>
  <si>
    <t>ORD-1229</t>
  </si>
  <si>
    <t>SKU-BEA-6932</t>
  </si>
  <si>
    <t>B049981493</t>
  </si>
  <si>
    <t>ORD-1230</t>
  </si>
  <si>
    <t>SKU-SPO-1106</t>
  </si>
  <si>
    <t>B047643613</t>
  </si>
  <si>
    <t>ORD-1231</t>
  </si>
  <si>
    <t>14-02-2024</t>
  </si>
  <si>
    <t>17-02-2024</t>
  </si>
  <si>
    <t>SKU-OFF-7863</t>
  </si>
  <si>
    <t>B032559247</t>
  </si>
  <si>
    <t>ORD-1232</t>
  </si>
  <si>
    <t>17-08-2024</t>
  </si>
  <si>
    <t>SKU-OFF-4963</t>
  </si>
  <si>
    <t>B024672387</t>
  </si>
  <si>
    <t>ORD-1233</t>
  </si>
  <si>
    <t>23-11-2024</t>
  </si>
  <si>
    <t>SKU-ELE-4810</t>
  </si>
  <si>
    <t>B078510945</t>
  </si>
  <si>
    <t>ORD-1234</t>
  </si>
  <si>
    <t>27-04-2023</t>
  </si>
  <si>
    <t>SKU-SPO-2444</t>
  </si>
  <si>
    <t>B013374099</t>
  </si>
  <si>
    <t>ORD-1235</t>
  </si>
  <si>
    <t>07-02-2024</t>
  </si>
  <si>
    <t>SKU-ELE-3361</t>
  </si>
  <si>
    <t>B056277032</t>
  </si>
  <si>
    <t>ORD-1236</t>
  </si>
  <si>
    <t>02-12-2024</t>
  </si>
  <si>
    <t>SKU-HOM-8391</t>
  </si>
  <si>
    <t>B066101103</t>
  </si>
  <si>
    <t>ORD-1237</t>
  </si>
  <si>
    <t>SKU-ELE-2989</t>
  </si>
  <si>
    <t>B037568406</t>
  </si>
  <si>
    <t>ORD-1238</t>
  </si>
  <si>
    <t>01-10-2024</t>
  </si>
  <si>
    <t>SKU-HOM-5304</t>
  </si>
  <si>
    <t>B093113009</t>
  </si>
  <si>
    <t>ORD-1239</t>
  </si>
  <si>
    <t>SKU-BEA-1301</t>
  </si>
  <si>
    <t>B010209552</t>
  </si>
  <si>
    <t>ORD-1240</t>
  </si>
  <si>
    <t>04-05-2024</t>
  </si>
  <si>
    <t>SKU-HOM-2807</t>
  </si>
  <si>
    <t>B012772071</t>
  </si>
  <si>
    <t>ORD-1241</t>
  </si>
  <si>
    <t>24-08-2023</t>
  </si>
  <si>
    <t>SKU-FAS-7801</t>
  </si>
  <si>
    <t>B053153294</t>
  </si>
  <si>
    <t>ORD-1242</t>
  </si>
  <si>
    <t>SKU-ELE-1013</t>
  </si>
  <si>
    <t>B023947231</t>
  </si>
  <si>
    <t>ORD-1243</t>
  </si>
  <si>
    <t>SKU-BEA-5588</t>
  </si>
  <si>
    <t>B015496167</t>
  </si>
  <si>
    <t>ORD-1244</t>
  </si>
  <si>
    <t>SKU-FAS-6385</t>
  </si>
  <si>
    <t>B035463363</t>
  </si>
  <si>
    <t>ORD-1245</t>
  </si>
  <si>
    <t>18-06-2023</t>
  </si>
  <si>
    <t>SKU-FAS-8520</t>
  </si>
  <si>
    <t>B050358935</t>
  </si>
  <si>
    <t>ORD-1246</t>
  </si>
  <si>
    <t>SKU-ELE-2900</t>
  </si>
  <si>
    <t>B066550614</t>
  </si>
  <si>
    <t>ORD-1247</t>
  </si>
  <si>
    <t>23-11-2023</t>
  </si>
  <si>
    <t>SKU-FAS-1573</t>
  </si>
  <si>
    <t>B083194129</t>
  </si>
  <si>
    <t>ORD-1248</t>
  </si>
  <si>
    <t>12-09-2023</t>
  </si>
  <si>
    <t>SKU-ELE-5234</t>
  </si>
  <si>
    <t>B094398757</t>
  </si>
  <si>
    <t>ORD-1249</t>
  </si>
  <si>
    <t>17-07-2024</t>
  </si>
  <si>
    <t>SKU-ELE-6093</t>
  </si>
  <si>
    <t>B061741197</t>
  </si>
  <si>
    <t>ORD-1250</t>
  </si>
  <si>
    <t>SKU-FAS-9136</t>
  </si>
  <si>
    <t>B043791521</t>
  </si>
  <si>
    <t>ORD-1251</t>
  </si>
  <si>
    <t>SKU-ELE-3194</t>
  </si>
  <si>
    <t>B011248459</t>
  </si>
  <si>
    <t>ORD-1252</t>
  </si>
  <si>
    <t>12-04-2023</t>
  </si>
  <si>
    <t>SKU-BEA-8709</t>
  </si>
  <si>
    <t>B021925841</t>
  </si>
  <si>
    <t>ORD-1253</t>
  </si>
  <si>
    <t>06-12-2024</t>
  </si>
  <si>
    <t>SKU-BEA-4806</t>
  </si>
  <si>
    <t>B022780174</t>
  </si>
  <si>
    <t>ORD-1254</t>
  </si>
  <si>
    <t>SKU-HOM-7080</t>
  </si>
  <si>
    <t>B028190709</t>
  </si>
  <si>
    <t>ORD-1255</t>
  </si>
  <si>
    <t>SKU-OFF-7885</t>
  </si>
  <si>
    <t>B023156450</t>
  </si>
  <si>
    <t>ORD-1256</t>
  </si>
  <si>
    <t>05-12-2024</t>
  </si>
  <si>
    <t>SKU-FAS-1701</t>
  </si>
  <si>
    <t>B034593048</t>
  </si>
  <si>
    <t>ORD-1257</t>
  </si>
  <si>
    <t>SKU-ELE-3838</t>
  </si>
  <si>
    <t>B033990943</t>
  </si>
  <si>
    <t>ORD-1258</t>
  </si>
  <si>
    <t>SKU-ELE-3921</t>
  </si>
  <si>
    <t>B017474244</t>
  </si>
  <si>
    <t>ORD-1259</t>
  </si>
  <si>
    <t>SKU-ELE-9543</t>
  </si>
  <si>
    <t>B070497239</t>
  </si>
  <si>
    <t>ORD-1260</t>
  </si>
  <si>
    <t>28-10-2023</t>
  </si>
  <si>
    <t>SKU-BEA-8015</t>
  </si>
  <si>
    <t>B024187507</t>
  </si>
  <si>
    <t>ORD-1261</t>
  </si>
  <si>
    <t>SKU-BEA-8825</t>
  </si>
  <si>
    <t>B028323160</t>
  </si>
  <si>
    <t>ORD-1262</t>
  </si>
  <si>
    <t>SKU-BEA-5764</t>
  </si>
  <si>
    <t>B066686844</t>
  </si>
  <si>
    <t>ORD-1263</t>
  </si>
  <si>
    <t>04-05-2023</t>
  </si>
  <si>
    <t>SKU-BEA-8998</t>
  </si>
  <si>
    <t>B079312483</t>
  </si>
  <si>
    <t>ORD-1264</t>
  </si>
  <si>
    <t>SKU-SPO-3382</t>
  </si>
  <si>
    <t>B037753245</t>
  </si>
  <si>
    <t>ORD-1265</t>
  </si>
  <si>
    <t>SKU-HOM-4016</t>
  </si>
  <si>
    <t>B015872265</t>
  </si>
  <si>
    <t>ORD-1266</t>
  </si>
  <si>
    <t>23-05-2024</t>
  </si>
  <si>
    <t>SKU-BEA-6230</t>
  </si>
  <si>
    <t>B070480902</t>
  </si>
  <si>
    <t>ORD-1267</t>
  </si>
  <si>
    <t>SKU-HOM-2822</t>
  </si>
  <si>
    <t>B024398136</t>
  </si>
  <si>
    <t>ORD-1268</t>
  </si>
  <si>
    <t>SKU-FAS-3979</t>
  </si>
  <si>
    <t>B057848773</t>
  </si>
  <si>
    <t>ORD-1269</t>
  </si>
  <si>
    <t>SKU-HOM-3082</t>
  </si>
  <si>
    <t>B024840247</t>
  </si>
  <si>
    <t>ORD-1270</t>
  </si>
  <si>
    <t>08-01-2024</t>
  </si>
  <si>
    <t>SKU-ELE-2176</t>
  </si>
  <si>
    <t>B059103364</t>
  </si>
  <si>
    <t>ORD-1271</t>
  </si>
  <si>
    <t>14-01-2024</t>
  </si>
  <si>
    <t>Bed Sheet</t>
  </si>
  <si>
    <t>SKU-HOM-8376</t>
  </si>
  <si>
    <t>B023436880</t>
  </si>
  <si>
    <t>ORD-1272</t>
  </si>
  <si>
    <t>SKU-SPO-6005</t>
  </si>
  <si>
    <t>B097628491</t>
  </si>
  <si>
    <t>ORD-1273</t>
  </si>
  <si>
    <t>SKU-ELE-6155</t>
  </si>
  <si>
    <t>B081157300</t>
  </si>
  <si>
    <t>ORD-1274</t>
  </si>
  <si>
    <t>SKU-BEA-9674</t>
  </si>
  <si>
    <t>B010840371</t>
  </si>
  <si>
    <t>ORD-1275</t>
  </si>
  <si>
    <t>SKU-SPO-1506</t>
  </si>
  <si>
    <t>B078697599</t>
  </si>
  <si>
    <t>ORD-1276</t>
  </si>
  <si>
    <t>SKU-OFF-6724</t>
  </si>
  <si>
    <t>B066329361</t>
  </si>
  <si>
    <t>ORD-1277</t>
  </si>
  <si>
    <t>SKU-FAS-7488</t>
  </si>
  <si>
    <t>B081234209</t>
  </si>
  <si>
    <t>ORD-1278</t>
  </si>
  <si>
    <t>01-03-2024</t>
  </si>
  <si>
    <t>SKU-HOM-4982</t>
  </si>
  <si>
    <t>B081800993</t>
  </si>
  <si>
    <t>ORD-1279</t>
  </si>
  <si>
    <t>SKU-BEA-4254</t>
  </si>
  <si>
    <t>B051609048</t>
  </si>
  <si>
    <t>ORD-1280</t>
  </si>
  <si>
    <t>SKU-FAS-2597</t>
  </si>
  <si>
    <t>B086690636</t>
  </si>
  <si>
    <t>ORD-1281</t>
  </si>
  <si>
    <t>SKU-BEA-4141</t>
  </si>
  <si>
    <t>B067157007</t>
  </si>
  <si>
    <t>ORD-1282</t>
  </si>
  <si>
    <t>SKU-SPO-1691</t>
  </si>
  <si>
    <t>B067661724</t>
  </si>
  <si>
    <t>ORD-1283</t>
  </si>
  <si>
    <t>27-12-2024</t>
  </si>
  <si>
    <t>SKU-SPO-1235</t>
  </si>
  <si>
    <t>B091645185</t>
  </si>
  <si>
    <t>ORD-1284</t>
  </si>
  <si>
    <t>SKU-HOM-5695</t>
  </si>
  <si>
    <t>B072677116</t>
  </si>
  <si>
    <t>ORD-1285</t>
  </si>
  <si>
    <t>SKU-BEA-7012</t>
  </si>
  <si>
    <t>B047171223</t>
  </si>
  <si>
    <t>ORD-1286</t>
  </si>
  <si>
    <t>SKU-FAS-3741</t>
  </si>
  <si>
    <t>B011360570</t>
  </si>
  <si>
    <t>ORD-1287</t>
  </si>
  <si>
    <t>07-03-2024</t>
  </si>
  <si>
    <t>SKU-BEA-1443</t>
  </si>
  <si>
    <t>B085986485</t>
  </si>
  <si>
    <t>ORD-1288</t>
  </si>
  <si>
    <t>SKU-HOM-1704</t>
  </si>
  <si>
    <t>B075270394</t>
  </si>
  <si>
    <t>ORD-1289</t>
  </si>
  <si>
    <t>10-03-2024</t>
  </si>
  <si>
    <t>SKU-BEA-7264</t>
  </si>
  <si>
    <t>B079772519</t>
  </si>
  <si>
    <t>ORD-1290</t>
  </si>
  <si>
    <t>11-05-2023</t>
  </si>
  <si>
    <t>SKU-FAS-5245</t>
  </si>
  <si>
    <t>B021559564</t>
  </si>
  <si>
    <t>ORD-1291</t>
  </si>
  <si>
    <t>13-04-2024</t>
  </si>
  <si>
    <t>SKU-SPO-4029</t>
  </si>
  <si>
    <t>B018456359</t>
  </si>
  <si>
    <t>ORD-1292</t>
  </si>
  <si>
    <t>SKU-OFF-3900</t>
  </si>
  <si>
    <t>B077297275</t>
  </si>
  <si>
    <t>ORD-1293</t>
  </si>
  <si>
    <t>SKU-FAS-6428</t>
  </si>
  <si>
    <t>B091873276</t>
  </si>
  <si>
    <t>ORD-1294</t>
  </si>
  <si>
    <t>26-01-2024</t>
  </si>
  <si>
    <t>SKU-HOM-9458</t>
  </si>
  <si>
    <t>B061873879</t>
  </si>
  <si>
    <t>ORD-1295</t>
  </si>
  <si>
    <t>SKU-OFF-4259</t>
  </si>
  <si>
    <t>B099120924</t>
  </si>
  <si>
    <t>ORD-1296</t>
  </si>
  <si>
    <t>16-11-2023</t>
  </si>
  <si>
    <t>SKU-OFF-6048</t>
  </si>
  <si>
    <t>B075337721</t>
  </si>
  <si>
    <t>ORD-1297</t>
  </si>
  <si>
    <t>SKU-ELE-9294</t>
  </si>
  <si>
    <t>B045541059</t>
  </si>
  <si>
    <t>ORD-1298</t>
  </si>
  <si>
    <t>27-02-2023</t>
  </si>
  <si>
    <t>SKU-ELE-8069</t>
  </si>
  <si>
    <t>B020126772</t>
  </si>
  <si>
    <t>ORD-1299</t>
  </si>
  <si>
    <t>28-03-2023</t>
  </si>
  <si>
    <t>SKU-SPO-7712</t>
  </si>
  <si>
    <t>B089704761</t>
  </si>
  <si>
    <t>State</t>
  </si>
  <si>
    <t>Total Sales</t>
  </si>
  <si>
    <t>Total Orders</t>
  </si>
  <si>
    <t>Reorder</t>
  </si>
  <si>
    <t>Sum of Gross_Sales_INR</t>
  </si>
  <si>
    <t>Total Profit</t>
  </si>
  <si>
    <t>Row Labels</t>
  </si>
  <si>
    <t>Grand Total</t>
  </si>
  <si>
    <t>Count of Order_ID</t>
  </si>
  <si>
    <t>Average of Profit_Margin_%</t>
  </si>
  <si>
    <t>Average Margin %</t>
  </si>
  <si>
    <t>Total Units</t>
  </si>
  <si>
    <t>Total Return</t>
  </si>
  <si>
    <t>2023</t>
  </si>
  <si>
    <t>Jan</t>
  </si>
  <si>
    <t>Feb</t>
  </si>
  <si>
    <t>Mar</t>
  </si>
  <si>
    <t>Apr</t>
  </si>
  <si>
    <t>May</t>
  </si>
  <si>
    <t>Jun</t>
  </si>
  <si>
    <t>Jul</t>
  </si>
  <si>
    <t>Aug</t>
  </si>
  <si>
    <t>Sep</t>
  </si>
  <si>
    <t>Oct</t>
  </si>
  <si>
    <t>Nov</t>
  </si>
  <si>
    <t>Dec</t>
  </si>
  <si>
    <t>2024</t>
  </si>
  <si>
    <t>↑ 300 orders</t>
  </si>
  <si>
    <t>↑ 33.76 %</t>
  </si>
  <si>
    <t>↓ 34 orders affected</t>
  </si>
  <si>
    <t>Details for Sum of Gross_Sales_INR - Months (Order_Date): Dec, Years (Order_Date): 2024</t>
  </si>
  <si>
    <t>Sales</t>
  </si>
  <si>
    <t>Profit</t>
  </si>
  <si>
    <t>Sum of Ad_Spend_INR</t>
  </si>
  <si>
    <t>Product</t>
  </si>
  <si>
    <t>Status</t>
  </si>
  <si>
    <t>Fulfilment</t>
  </si>
  <si>
    <t>Units</t>
  </si>
  <si>
    <t>Margin %</t>
  </si>
  <si>
    <t>Rating</t>
  </si>
  <si>
    <t>Profit (+,- ve)</t>
  </si>
  <si>
    <t>AD TYPE</t>
  </si>
  <si>
    <t>BRAND</t>
  </si>
  <si>
    <t>PRODUCT NAME</t>
  </si>
  <si>
    <r>
      <rPr>
        <sz val="20"/>
        <color rgb="FFFFC000"/>
        <rFont val="Calibri"/>
        <family val="2"/>
        <scheme val="minor"/>
      </rPr>
      <t xml:space="preserve">INTERACTIVE DASHBOARD
</t>
    </r>
    <r>
      <rPr>
        <sz val="12"/>
        <color theme="0" tint="-0.14999847407452621"/>
        <rFont val="Calibri"/>
        <family val="2"/>
        <scheme val="minor"/>
      </rPr>
      <t>LAST UPDATED ON 2025</t>
    </r>
  </si>
  <si>
    <t>Column1</t>
  </si>
  <si>
    <t>Column2</t>
  </si>
  <si>
    <t>Column3</t>
  </si>
  <si>
    <t>Column4</t>
  </si>
  <si>
    <t>Column5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</si>
</sst>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0&quot;%&quot;"/>
    <numFmt numFmtId="166" formatCode="\₹#,##0"/>
    <numFmt numFmtId="167" formatCode="[$₹-439]#,##0"/>
    <numFmt numFmtId="168" formatCode="\₹###,##0"/>
  </numFmts>
  <fonts count="21">
    <font>
      <sz val="11"/>
      <color theme="1"/>
      <name val="Calibri"/>
      <family val="2"/>
      <scheme val="minor"/>
    </font>
    <font>
      <b/>
      <sz val="9"/>
      <color rgb="FF131921"/>
      <name val="Calibri"/>
    </font>
    <font>
      <sz val="9"/>
      <color rgb="FF1F2937"/>
      <name val="Calibri"/>
    </font>
    <font>
      <b/>
      <sz val="9"/>
      <color rgb="FF16A34A"/>
      <name val="Calibri"/>
    </font>
    <font>
      <b/>
      <sz val="9"/>
      <color rgb="FFDC2626"/>
      <name val="Calibri"/>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9"/>
      <color rgb="FF16A34A"/>
      <name val="Calibri"/>
      <family val="2"/>
    </font>
    <font>
      <sz val="9"/>
      <color rgb="FF1F2937"/>
      <name val="Calibri"/>
      <family val="2"/>
    </font>
    <font>
      <sz val="11"/>
      <color rgb="FF00B050"/>
      <name val="Calibri"/>
      <family val="2"/>
      <scheme val="minor"/>
    </font>
    <font>
      <b/>
      <sz val="11"/>
      <color rgb="FFFF9900"/>
      <name val="Calibri"/>
      <family val="2"/>
      <scheme val="minor"/>
    </font>
    <font>
      <sz val="11"/>
      <color rgb="FFFF9900"/>
      <name val="Seoge ui"/>
    </font>
    <font>
      <sz val="14"/>
      <color theme="1"/>
      <name val="Calibri"/>
      <family val="2"/>
      <scheme val="minor"/>
    </font>
    <font>
      <sz val="20"/>
      <color theme="1"/>
      <name val="Calibri"/>
      <family val="2"/>
      <scheme val="minor"/>
    </font>
    <font>
      <sz val="14"/>
      <color theme="0" tint="-0.14999847407452621"/>
      <name val="Calibri"/>
      <family val="2"/>
      <scheme val="minor"/>
    </font>
    <font>
      <sz val="11"/>
      <color theme="0" tint="-0.14999847407452621"/>
      <name val="Calibri"/>
      <family val="2"/>
      <scheme val="minor"/>
    </font>
    <font>
      <sz val="20"/>
      <color rgb="FFFFC000"/>
      <name val="Calibri"/>
      <family val="2"/>
      <scheme val="minor"/>
    </font>
    <font>
      <sz val="12"/>
      <color theme="0" tint="-0.14999847407452621"/>
      <name val="Calibri"/>
      <family val="2"/>
      <scheme val="minor"/>
    </font>
    <font>
      <sz val="8"/>
      <name val="Calibri"/>
      <family val="2"/>
      <scheme val="minor"/>
    </font>
  </fonts>
  <fills count="8">
    <fill>
      <patternFill patternType="none"/>
    </fill>
    <fill>
      <patternFill patternType="gray125"/>
    </fill>
    <fill>
      <patternFill patternType="solid">
        <fgColor rgb="FFFF9900"/>
      </patternFill>
    </fill>
    <fill>
      <patternFill patternType="solid">
        <fgColor rgb="FFFFF8F0"/>
      </patternFill>
    </fill>
    <fill>
      <patternFill patternType="solid">
        <fgColor rgb="FFFFFFFF"/>
      </patternFill>
    </fill>
    <fill>
      <patternFill patternType="solid">
        <fgColor rgb="FF0F1117"/>
        <bgColor indexed="64"/>
      </patternFill>
    </fill>
    <fill>
      <patternFill patternType="solid">
        <fgColor rgb="FFFFFFFF"/>
        <bgColor indexed="64"/>
      </patternFill>
    </fill>
    <fill>
      <patternFill patternType="solid">
        <fgColor theme="1"/>
        <bgColor indexed="64"/>
      </patternFill>
    </fill>
  </fills>
  <borders count="5">
    <border>
      <left/>
      <right/>
      <top/>
      <bottom/>
      <diagonal/>
    </border>
    <border>
      <left style="thin">
        <color rgb="FFE2E8F0"/>
      </left>
      <right style="thin">
        <color rgb="FFE2E8F0"/>
      </right>
      <top style="thin">
        <color rgb="FFE2E8F0"/>
      </top>
      <bottom style="thin">
        <color rgb="FFE2E8F0"/>
      </bottom>
      <diagonal/>
    </border>
    <border>
      <left style="thin">
        <color rgb="FFFFFFFF"/>
      </left>
      <right style="thin">
        <color rgb="FFFFFFFF"/>
      </right>
      <top/>
      <bottom style="thin">
        <color rgb="FFFFFFFF"/>
      </bottom>
      <diagonal/>
    </border>
    <border>
      <left style="thin">
        <color rgb="FFE2E8F0"/>
      </left>
      <right style="thin">
        <color rgb="FFE2E8F0"/>
      </right>
      <top style="thin">
        <color rgb="FFE2E8F0"/>
      </top>
      <bottom/>
      <diagonal/>
    </border>
    <border>
      <left/>
      <right/>
      <top/>
      <bottom style="thin">
        <color rgb="FFFF9900"/>
      </bottom>
      <diagonal/>
    </border>
  </borders>
  <cellStyleXfs count="2">
    <xf numFmtId="0" fontId="0" fillId="0" borderId="0"/>
    <xf numFmtId="9" fontId="5" fillId="0" borderId="0" applyFont="0" applyFill="0" applyBorder="0" applyAlignment="0" applyProtection="0"/>
  </cellStyleXfs>
  <cellXfs count="59">
    <xf numFmtId="0" fontId="0" fillId="0" borderId="0" xfId="0"/>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164" fontId="3"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center" vertical="center"/>
    </xf>
    <xf numFmtId="164" fontId="3" fillId="4"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2" fillId="4" borderId="3" xfId="0" applyFont="1" applyFill="1" applyBorder="1" applyAlignment="1">
      <alignment horizontal="center" vertical="center"/>
    </xf>
    <xf numFmtId="164" fontId="2" fillId="4" borderId="3" xfId="0" applyNumberFormat="1" applyFont="1" applyFill="1" applyBorder="1" applyAlignment="1">
      <alignment horizontal="center" vertical="center"/>
    </xf>
    <xf numFmtId="165" fontId="2" fillId="4" borderId="3" xfId="0" applyNumberFormat="1" applyFont="1" applyFill="1" applyBorder="1" applyAlignment="1">
      <alignment horizontal="center" vertical="center"/>
    </xf>
    <xf numFmtId="164" fontId="3" fillId="4" borderId="3" xfId="0" applyNumberFormat="1" applyFont="1" applyFill="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14" fontId="2" fillId="4" borderId="3"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wrapText="1"/>
    </xf>
    <xf numFmtId="0" fontId="0" fillId="0" borderId="0" xfId="0" applyAlignment="1">
      <alignment horizontal="left" indent="1"/>
    </xf>
    <xf numFmtId="0" fontId="0" fillId="5" borderId="0" xfId="0" applyFill="1"/>
    <xf numFmtId="166" fontId="0" fillId="0" borderId="0" xfId="0" applyNumberFormat="1"/>
    <xf numFmtId="0" fontId="11" fillId="0" borderId="0" xfId="0" applyFont="1"/>
    <xf numFmtId="0" fontId="10" fillId="6" borderId="3" xfId="0" applyFont="1" applyFill="1" applyBorder="1" applyAlignment="1">
      <alignment horizontal="center" vertical="center"/>
    </xf>
    <xf numFmtId="14" fontId="10" fillId="6" borderId="3" xfId="0" applyNumberFormat="1" applyFont="1" applyFill="1" applyBorder="1" applyAlignment="1">
      <alignment horizontal="center" vertical="center"/>
    </xf>
    <xf numFmtId="164" fontId="10" fillId="6" borderId="3" xfId="0" applyNumberFormat="1" applyFont="1" applyFill="1" applyBorder="1" applyAlignment="1">
      <alignment horizontal="center" vertical="center"/>
    </xf>
    <xf numFmtId="165" fontId="10" fillId="6" borderId="3" xfId="0" applyNumberFormat="1" applyFont="1" applyFill="1" applyBorder="1" applyAlignment="1">
      <alignment horizontal="center" vertical="center"/>
    </xf>
    <xf numFmtId="164" fontId="9" fillId="6" borderId="3" xfId="0" applyNumberFormat="1" applyFont="1" applyFill="1" applyBorder="1" applyAlignment="1">
      <alignment horizontal="center" vertical="center"/>
    </xf>
    <xf numFmtId="9" fontId="0" fillId="0" borderId="0" xfId="1" applyFont="1"/>
    <xf numFmtId="9" fontId="0" fillId="0" borderId="0" xfId="0" applyNumberFormat="1"/>
    <xf numFmtId="167" fontId="0" fillId="0" borderId="0" xfId="0" applyNumberFormat="1"/>
    <xf numFmtId="14" fontId="0" fillId="0" borderId="0" xfId="0" applyNumberFormat="1"/>
    <xf numFmtId="0" fontId="7" fillId="0" borderId="0" xfId="0" applyFont="1"/>
    <xf numFmtId="0" fontId="8" fillId="5" borderId="0" xfId="0" applyFont="1" applyFill="1"/>
    <xf numFmtId="14" fontId="8" fillId="5" borderId="0" xfId="0" applyNumberFormat="1" applyFont="1" applyFill="1"/>
    <xf numFmtId="2" fontId="8" fillId="5" borderId="0" xfId="1" applyNumberFormat="1" applyFont="1" applyFill="1"/>
    <xf numFmtId="168" fontId="8" fillId="5" borderId="0" xfId="0" applyNumberFormat="1" applyFont="1" applyFill="1"/>
    <xf numFmtId="0" fontId="6" fillId="5" borderId="0" xfId="0" applyFont="1" applyFill="1"/>
    <xf numFmtId="0" fontId="12" fillId="5" borderId="0" xfId="0" applyFont="1" applyFill="1"/>
    <xf numFmtId="0" fontId="13" fillId="5" borderId="0" xfId="0" applyFont="1" applyFill="1"/>
    <xf numFmtId="0" fontId="8" fillId="7" borderId="0" xfId="0" applyFont="1" applyFill="1"/>
    <xf numFmtId="0" fontId="15" fillId="5" borderId="0" xfId="0" applyFont="1" applyFill="1"/>
    <xf numFmtId="0" fontId="15" fillId="5" borderId="0" xfId="0" applyFont="1" applyFill="1" applyAlignment="1">
      <alignment wrapText="1"/>
    </xf>
    <xf numFmtId="0" fontId="17" fillId="5" borderId="0" xfId="0" applyFont="1" applyFill="1"/>
    <xf numFmtId="0" fontId="0" fillId="5" borderId="4" xfId="0" applyFill="1" applyBorder="1"/>
    <xf numFmtId="4" fontId="0" fillId="5" borderId="0" xfId="0" applyNumberFormat="1" applyFill="1"/>
    <xf numFmtId="0" fontId="16" fillId="5" borderId="0" xfId="0" applyFont="1" applyFill="1" applyAlignment="1">
      <alignment horizontal="left" vertical="top" wrapText="1"/>
    </xf>
    <xf numFmtId="0" fontId="14" fillId="5" borderId="0" xfId="0" applyFont="1" applyFill="1" applyAlignment="1">
      <alignment horizontal="left" vertical="top"/>
    </xf>
    <xf numFmtId="0" fontId="14" fillId="5" borderId="4" xfId="0" applyFont="1" applyFill="1" applyBorder="1" applyAlignment="1">
      <alignment horizontal="left" vertical="top"/>
    </xf>
    <xf numFmtId="0" fontId="0" fillId="0" borderId="0" xfId="0" applyNumberFormat="1"/>
    <xf numFmtId="0" fontId="0" fillId="5" borderId="0" xfId="0" applyFill="1" applyBorder="1"/>
    <xf numFmtId="0" fontId="17" fillId="5" borderId="0" xfId="0" applyFont="1" applyFill="1" applyBorder="1"/>
  </cellXfs>
  <cellStyles count="2">
    <cellStyle name="Normal" xfId="0" builtinId="0"/>
    <cellStyle name="Percent" xfId="1" builtinId="5"/>
  </cellStyles>
  <dxfs count="156">
    <dxf>
      <numFmt numFmtId="166" formatCode="\₹#,##0"/>
    </dxf>
    <dxf>
      <numFmt numFmtId="166" formatCode="\₹#,##0"/>
    </dxf>
    <dxf>
      <numFmt numFmtId="166" formatCode="\₹#,##0"/>
    </dxf>
    <dxf>
      <numFmt numFmtId="166" formatCode="\₹#,##0"/>
    </dxf>
    <dxf>
      <numFmt numFmtId="13" formatCode="0%"/>
    </dxf>
    <dxf>
      <numFmt numFmtId="166" formatCode="\₹#,##0"/>
    </dxf>
    <dxf>
      <numFmt numFmtId="166" formatCode="\₹#,##0"/>
    </dxf>
    <dxf>
      <numFmt numFmtId="166" formatCode="\₹#,##0"/>
    </dxf>
    <dxf>
      <numFmt numFmtId="166" formatCode="\₹#,##0"/>
    </dxf>
    <dxf>
      <numFmt numFmtId="13" formatCode="0%"/>
    </dxf>
    <dxf>
      <numFmt numFmtId="166" formatCode="\₹#,##0"/>
    </dxf>
    <dxf>
      <numFmt numFmtId="166" formatCode="\₹#,##0"/>
    </dxf>
    <dxf>
      <numFmt numFmtId="166" formatCode="\₹#,##0"/>
    </dxf>
    <dxf>
      <numFmt numFmtId="166" formatCode="\₹#,##0"/>
    </dxf>
    <dxf>
      <numFmt numFmtId="13" formatCode="0%"/>
    </dxf>
    <dxf>
      <numFmt numFmtId="166" formatCode="\₹#,##0"/>
    </dxf>
    <dxf>
      <numFmt numFmtId="166" formatCode="\₹#,##0"/>
    </dxf>
    <dxf>
      <numFmt numFmtId="166" formatCode="\₹#,##0"/>
    </dxf>
    <dxf>
      <numFmt numFmtId="166" formatCode="\₹#,##0"/>
    </dxf>
    <dxf>
      <numFmt numFmtId="13" formatCode="0%"/>
    </dxf>
    <dxf>
      <numFmt numFmtId="166" formatCode="\₹#,##0"/>
    </dxf>
    <dxf>
      <numFmt numFmtId="166" formatCode="\₹#,##0"/>
    </dxf>
    <dxf>
      <numFmt numFmtId="166" formatCode="\₹#,##0"/>
    </dxf>
    <dxf>
      <numFmt numFmtId="166" formatCode="\₹#,##0"/>
    </dxf>
    <dxf>
      <numFmt numFmtId="13" formatCode="0%"/>
    </dxf>
    <dxf>
      <font>
        <b/>
        <i val="0"/>
        <color rgb="FFFF9900"/>
      </font>
      <fill>
        <patternFill>
          <bgColor rgb="FF3A2A00"/>
        </patternFill>
      </fill>
    </dxf>
    <dxf>
      <font>
        <b/>
        <i val="0"/>
        <color rgb="FF445566"/>
      </font>
    </dxf>
    <dxf>
      <font>
        <b/>
        <i val="0"/>
        <color rgb="FFFF9900"/>
      </font>
    </dxf>
    <dxf>
      <font>
        <b/>
        <i val="0"/>
        <color rgb="FF6B6B6B"/>
      </font>
    </dxf>
    <dxf>
      <font>
        <b/>
        <i val="0"/>
        <color rgb="FFFF0000"/>
      </font>
    </dxf>
    <dxf>
      <font>
        <b/>
        <i val="0"/>
        <color rgb="FF757575"/>
      </font>
    </dxf>
    <dxf>
      <font>
        <b/>
        <i val="0"/>
        <color rgb="FF00C853"/>
      </font>
    </dxf>
    <dxf>
      <font>
        <color rgb="FFAA00FF"/>
      </font>
    </dxf>
    <dxf>
      <font>
        <b/>
        <i val="0"/>
        <color rgb="FF00BCD4"/>
      </font>
    </dxf>
    <dxf>
      <font>
        <b/>
        <i val="0"/>
        <color rgb="FF00C853"/>
      </font>
      <fill>
        <patternFill>
          <bgColor rgb="FF3A3010"/>
        </patternFill>
      </fill>
    </dxf>
    <dxf>
      <font>
        <color rgb="FF00C853"/>
      </font>
      <fill>
        <patternFill>
          <bgColor rgb="FF1A3A2A"/>
        </patternFill>
      </fill>
    </dxf>
    <dxf>
      <font>
        <b/>
        <i val="0"/>
        <color rgb="FFFFC107"/>
      </font>
      <fill>
        <patternFill>
          <bgColor rgb="FF3A3010"/>
        </patternFill>
      </fill>
    </dxf>
    <dxf>
      <font>
        <b/>
        <i val="0"/>
        <color rgb="FF757575"/>
      </font>
      <fill>
        <patternFill>
          <bgColor rgb="FF1E1E1E"/>
        </patternFill>
      </fill>
    </dxf>
    <dxf>
      <font>
        <b/>
        <i val="0"/>
        <color rgb="FFFF1744"/>
      </font>
      <fill>
        <patternFill>
          <bgColor rgb="FF3A0D0D"/>
        </patternFill>
      </fill>
    </dxf>
    <dxf>
      <font>
        <b/>
        <i val="0"/>
        <color rgb="FF00C853"/>
      </font>
      <fill>
        <patternFill>
          <bgColor rgb="FF1A3A2A"/>
        </patternFill>
      </fill>
    </dxf>
    <dxf>
      <font>
        <b/>
        <i val="0"/>
        <color rgb="FF2979FF"/>
      </font>
      <fill>
        <patternFill>
          <bgColor rgb="FF0D1F3A"/>
        </patternFill>
      </fill>
    </dxf>
    <dxf>
      <fill>
        <patternFill>
          <bgColor rgb="FF1E2535"/>
        </patternFill>
      </fill>
    </dxf>
    <dxf>
      <numFmt numFmtId="19" formatCode="m/d/yyyy"/>
    </dxf>
    <dxf>
      <numFmt numFmtId="166" formatCode="\₹#,##0"/>
    </dxf>
    <dxf>
      <numFmt numFmtId="166" formatCode="\₹#,##0"/>
    </dxf>
    <dxf>
      <numFmt numFmtId="13" formatCode="0%"/>
    </dxf>
    <dxf>
      <numFmt numFmtId="166" formatCode="\₹#,##0"/>
    </dxf>
    <dxf>
      <numFmt numFmtId="166" formatCode="\₹#,##0"/>
    </dxf>
    <dxf>
      <border diagonalUp="0" diagonalDown="0" outline="0">
        <left/>
        <right/>
        <top/>
        <bottom/>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5" formatCode="0.0&quot;%&quo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5" formatCode="0.0&quot;%&quo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5" formatCode="0.0&quot;%&quo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5" formatCode="0.0&quot;%&quo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5" formatCode="0.0&quot;%&quo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5" formatCode="0.0&quot;%&quo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i val="0"/>
        <strike val="0"/>
        <condense val="0"/>
        <extend val="0"/>
        <outline val="0"/>
        <shadow val="0"/>
        <u val="none"/>
        <vertAlign val="baseline"/>
        <sz val="9"/>
        <color rgb="FF16A34A"/>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i val="0"/>
        <strike val="0"/>
        <condense val="0"/>
        <extend val="0"/>
        <outline val="0"/>
        <shadow val="0"/>
        <u val="none"/>
        <vertAlign val="baseline"/>
        <sz val="9"/>
        <color rgb="FF16A34A"/>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5" formatCode="0.0&quot;%&quo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5" formatCode="0.0&quot;%&quo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64" formatCode="\₹#,##0.00"/>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E2E8F0"/>
        </left>
        <right style="thin">
          <color rgb="FFE2E8F0"/>
        </right>
        <top style="thin">
          <color rgb="FFE2E8F0"/>
        </top>
        <bottom style="thin">
          <color rgb="FFE2E8F0"/>
        </bottom>
        <vertical/>
        <horizontal/>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style="thin">
          <color rgb="FFE2E8F0"/>
        </bottom>
      </border>
    </dxf>
    <dxf>
      <font>
        <b val="0"/>
        <i val="0"/>
        <strike val="0"/>
        <condense val="0"/>
        <extend val="0"/>
        <outline val="0"/>
        <shadow val="0"/>
        <u val="none"/>
        <vertAlign val="baseline"/>
        <sz val="9"/>
        <color rgb="FF1F2937"/>
        <name val="Calibri"/>
        <family val="2"/>
        <scheme val="none"/>
      </font>
      <numFmt numFmtId="19" formatCode="m/d/yyyy"/>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numFmt numFmtId="19" formatCode="m/d/yyyy"/>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style="thin">
          <color rgb="FFE2E8F0"/>
        </bottom>
      </border>
    </dxf>
    <dxf>
      <font>
        <b val="0"/>
        <i val="0"/>
        <strike val="0"/>
        <condense val="0"/>
        <extend val="0"/>
        <outline val="0"/>
        <shadow val="0"/>
        <u val="none"/>
        <vertAlign val="baseline"/>
        <sz val="9"/>
        <color rgb="FF1F2937"/>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E2E8F0"/>
        </left>
        <right style="thin">
          <color rgb="FFE2E8F0"/>
        </right>
        <top style="thin">
          <color rgb="FFE2E8F0"/>
        </top>
        <bottom style="thin">
          <color rgb="FFE2E8F0"/>
        </bottom>
      </border>
    </dxf>
    <dxf>
      <border outline="0">
        <top style="thin">
          <color rgb="FFE2E8F0"/>
        </top>
      </border>
    </dxf>
    <dxf>
      <border outline="0">
        <top style="thin">
          <color rgb="FFFFFFFF"/>
        </top>
        <bottom style="thin">
          <color rgb="FFE2E8F0"/>
        </bottom>
      </border>
    </dxf>
    <dxf>
      <font>
        <b val="0"/>
        <i val="0"/>
        <strike val="0"/>
        <condense val="0"/>
        <extend val="0"/>
        <outline val="0"/>
        <shadow val="0"/>
        <u val="none"/>
        <vertAlign val="baseline"/>
        <sz val="9"/>
        <color rgb="FF1F2937"/>
        <name val="Calibri"/>
        <scheme val="none"/>
      </font>
      <fill>
        <patternFill patternType="solid">
          <fgColor indexed="64"/>
          <bgColor rgb="FFFFFFFF"/>
        </patternFill>
      </fill>
      <alignment horizontal="center" vertical="center" textRotation="0" wrapText="0" indent="0" justifyLastLine="0" shrinkToFit="0" readingOrder="0"/>
    </dxf>
    <dxf>
      <border outline="0">
        <bottom style="thin">
          <color rgb="FFFFFFFF"/>
        </bottom>
      </border>
    </dxf>
    <dxf>
      <font>
        <b/>
        <i val="0"/>
        <strike val="0"/>
        <condense val="0"/>
        <extend val="0"/>
        <outline val="0"/>
        <shadow val="0"/>
        <u val="none"/>
        <vertAlign val="baseline"/>
        <sz val="9"/>
        <color rgb="FF131921"/>
        <name val="Calibri"/>
        <scheme val="none"/>
      </font>
      <fill>
        <patternFill patternType="solid">
          <fgColor indexed="64"/>
          <bgColor rgb="FFFF99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strike val="0"/>
        <outline val="0"/>
        <shadow val="0"/>
        <u val="none"/>
        <vertAlign val="baseline"/>
        <sz val="11"/>
        <color theme="0"/>
        <name val="Calibri"/>
        <family val="2"/>
        <scheme val="minor"/>
      </font>
      <fill>
        <patternFill patternType="solid">
          <fgColor indexed="64"/>
          <bgColor theme="1"/>
        </patternFill>
      </fill>
    </dxf>
    <dxf>
      <font>
        <strike val="0"/>
        <outline val="0"/>
        <shadow val="0"/>
        <u val="none"/>
        <vertAlign val="baseline"/>
        <sz val="11"/>
        <color theme="0"/>
        <name val="Calibri"/>
        <family val="2"/>
        <scheme val="minor"/>
      </font>
      <fill>
        <patternFill patternType="solid">
          <fgColor indexed="64"/>
          <bgColor theme="1"/>
        </patternFill>
      </fill>
    </dxf>
    <dxf>
      <font>
        <strike val="0"/>
        <outline val="0"/>
        <shadow val="0"/>
        <u val="none"/>
        <vertAlign val="baseline"/>
        <sz val="11"/>
        <color theme="0"/>
        <name val="Calibri"/>
        <family val="2"/>
        <scheme val="minor"/>
      </font>
      <fill>
        <patternFill patternType="solid">
          <fgColor indexed="64"/>
          <bgColor theme="1"/>
        </patternFill>
      </fill>
    </dxf>
    <dxf>
      <font>
        <strike val="0"/>
        <outline val="0"/>
        <shadow val="0"/>
        <u val="none"/>
        <vertAlign val="baseline"/>
        <sz val="11"/>
        <color theme="0"/>
        <name val="Calibri"/>
        <family val="2"/>
        <scheme val="minor"/>
      </font>
      <fill>
        <patternFill patternType="solid">
          <fgColor indexed="64"/>
          <bgColor theme="1"/>
        </patternFill>
      </fill>
    </dxf>
    <dxf>
      <font>
        <strike val="0"/>
        <outline val="0"/>
        <shadow val="0"/>
        <u val="none"/>
        <vertAlign val="baseline"/>
        <sz val="11"/>
        <color theme="0"/>
        <name val="Calibri"/>
        <family val="2"/>
        <scheme val="minor"/>
      </font>
      <fill>
        <patternFill patternType="solid">
          <fgColor indexed="64"/>
          <bgColor theme="1"/>
        </patternFill>
      </fill>
    </dxf>
    <dxf>
      <font>
        <strike val="0"/>
        <outline val="0"/>
        <shadow val="0"/>
        <u val="none"/>
        <vertAlign val="baseline"/>
        <sz val="11"/>
        <color theme="0"/>
        <name val="Calibri"/>
        <family val="2"/>
        <scheme val="minor"/>
      </font>
      <numFmt numFmtId="0" formatCode="General"/>
      <fill>
        <patternFill patternType="solid">
          <fgColor indexed="64"/>
          <bgColor theme="1"/>
        </patternFill>
      </fill>
    </dxf>
    <dxf>
      <font>
        <strike val="0"/>
        <outline val="0"/>
        <shadow val="0"/>
        <u val="none"/>
        <vertAlign val="baseline"/>
        <sz val="11"/>
        <color theme="0"/>
        <name val="Calibri"/>
        <family val="2"/>
        <scheme val="minor"/>
      </font>
      <numFmt numFmtId="0" formatCode="General"/>
      <fill>
        <patternFill patternType="solid">
          <fgColor indexed="64"/>
          <bgColor theme="1"/>
        </patternFill>
      </fill>
    </dxf>
    <dxf>
      <font>
        <strike val="0"/>
        <outline val="0"/>
        <shadow val="0"/>
        <u val="none"/>
        <vertAlign val="baseline"/>
        <sz val="11"/>
        <color theme="0"/>
        <name val="Calibri"/>
        <family val="2"/>
        <scheme val="minor"/>
      </font>
      <numFmt numFmtId="0" formatCode="General"/>
      <fill>
        <patternFill patternType="solid">
          <fgColor indexed="64"/>
          <bgColor theme="1"/>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numFmt numFmtId="19" formatCode="m/d/yyyy"/>
      <fill>
        <patternFill patternType="solid">
          <fgColor indexed="64"/>
          <bgColor rgb="FF0F1117"/>
        </patternFill>
      </fill>
    </dxf>
    <dxf>
      <font>
        <b/>
        <strike val="0"/>
        <outline val="0"/>
        <shadow val="0"/>
        <u val="none"/>
        <vertAlign val="baseline"/>
        <sz val="11"/>
        <color rgb="FFFF9900"/>
        <name val="Calibri"/>
        <family val="2"/>
        <scheme val="minor"/>
      </font>
      <numFmt numFmtId="0" formatCode="General"/>
      <fill>
        <patternFill patternType="solid">
          <fgColor indexed="64"/>
          <bgColor rgb="FF0F1117"/>
        </patternFill>
      </fill>
    </dxf>
    <dxf>
      <font>
        <strike val="0"/>
        <outline val="0"/>
        <shadow val="0"/>
        <u val="none"/>
        <vertAlign val="baseline"/>
        <sz val="11"/>
        <color theme="0"/>
        <name val="Calibri"/>
        <family val="2"/>
        <scheme val="minor"/>
      </font>
      <fill>
        <patternFill patternType="solid">
          <fgColor indexed="64"/>
          <bgColor rgb="FF0F1117"/>
        </patternFill>
      </fill>
    </dxf>
    <dxf>
      <fill>
        <patternFill patternType="solid">
          <fgColor indexed="64"/>
          <bgColor rgb="FF0F1117"/>
        </patternFill>
      </fill>
    </dxf>
    <dxf>
      <font>
        <b/>
        <i val="0"/>
        <sz val="9"/>
        <color rgb="FF8899AA"/>
        <name val="Calibri"/>
        <family val="2"/>
        <scheme val="minor"/>
      </font>
      <fill>
        <patternFill>
          <bgColor rgb="FF12182A"/>
        </patternFill>
      </fill>
    </dxf>
    <dxf>
      <fill>
        <patternFill patternType="solid">
          <fgColor theme="0"/>
          <bgColor rgb="FF1A1F2E"/>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9"/>
        <color rgb="FF8899AA"/>
      </font>
      <fill>
        <patternFill>
          <bgColor rgb="FF12182A"/>
        </patternFill>
      </fill>
    </dxf>
    <dxf>
      <fill>
        <patternFill>
          <bgColor rgb="FF1A1F2E"/>
        </patternFill>
      </fill>
      <border>
        <left style="medium">
          <color auto="1"/>
        </left>
        <right style="medium">
          <color auto="1"/>
        </right>
        <top style="medium">
          <color auto="1"/>
        </top>
        <bottom style="medium">
          <color auto="1"/>
        </bottom>
      </border>
    </dxf>
  </dxfs>
  <tableStyles count="2" defaultTableStyle="TableStyleMedium9" defaultPivotStyle="PivotStyleLight16">
    <tableStyle name="MY STYLE" pivot="0" table="0" count="8" xr9:uid="{539E0ECB-3488-473C-AD88-F3CEC9869EA4}">
      <tableStyleElement type="wholeTable" dxfId="155"/>
      <tableStyleElement type="headerRow" dxfId="154"/>
    </tableStyle>
    <tableStyle name="Timeline Style 1" pivot="0" table="0" count="9" xr9:uid="{225EB298-90A0-4737-A307-71F4B7313B76}">
      <tableStyleElement type="wholeTable" dxfId="153"/>
      <tableStyleElement type="headerRow" dxfId="152"/>
    </tableStyle>
  </tableStyles>
  <colors>
    <mruColors>
      <color rgb="FFFF9900"/>
      <color rgb="FF2A3347"/>
      <color rgb="FF1E2535"/>
      <color rgb="FF6688AA"/>
      <color rgb="FFCCD6E0"/>
      <color rgb="FF8899AA"/>
      <color rgb="FF12182A"/>
      <color rgb="FF1A1F2E"/>
      <color rgb="FFFFFFFF"/>
      <color rgb="FF000000"/>
    </mruColors>
  </colors>
  <extLst>
    <ext xmlns:x14="http://schemas.microsoft.com/office/spreadsheetml/2009/9/main" uri="{46F421CA-312F-682f-3DD2-61675219B42D}">
      <x14:dxfs count="6">
        <dxf>
          <font>
            <b/>
            <i val="0"/>
            <color rgb="FF000000"/>
          </font>
          <fill>
            <patternFill>
              <bgColor rgb="FFFFB733"/>
            </patternFill>
          </fill>
        </dxf>
        <dxf>
          <font>
            <color rgb="FFFFFFFF"/>
          </font>
          <fill>
            <patternFill>
              <bgColor rgb="FF2A3347"/>
            </patternFill>
          </fill>
        </dxf>
        <dxf>
          <font>
            <color rgb="FFFF9900"/>
          </font>
          <fill>
            <patternFill>
              <bgColor rgb="FF332200"/>
            </patternFill>
          </fill>
        </dxf>
        <dxf>
          <font>
            <b/>
            <i val="0"/>
            <color rgb="FF000000"/>
          </font>
          <fill>
            <patternFill>
              <bgColor rgb="FFFF9900"/>
            </patternFill>
          </fill>
        </dxf>
        <dxf>
          <font>
            <color rgb="FF445566"/>
          </font>
          <fill>
            <patternFill>
              <bgColor rgb="FF161B27"/>
            </patternFill>
          </fill>
        </dxf>
        <dxf>
          <font>
            <b/>
            <i val="0"/>
            <sz val="10"/>
            <color rgb="FF000000"/>
          </font>
          <fill>
            <patternFill>
              <bgColor rgb="FFFF9900"/>
            </patternFill>
          </fill>
        </dxf>
      </x14:dxfs>
    </ext>
    <ext xmlns:x14="http://schemas.microsoft.com/office/spreadsheetml/2009/9/main" uri="{EB79DEF2-80B8-43e5-95BD-54CBDDF9020C}">
      <x14:slicerStyles defaultSlicerStyle="SlicerStyleLight1">
        <x14:slicerStyle name="MY STYLE">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patternType="solid">
              <bgColor rgb="FFFF9900"/>
            </patternFill>
          </fill>
        </dxf>
        <dxf>
          <fill>
            <patternFill patternType="solid">
              <fgColor theme="0" tint="-0.14996795556505021"/>
              <bgColor rgb="FF1E2535"/>
            </patternFill>
          </fill>
        </dxf>
        <dxf>
          <fill>
            <patternFill patternType="solid">
              <fgColor theme="0"/>
              <bgColor rgb="FFFF9900"/>
            </patternFill>
          </fill>
        </dxf>
        <dxf>
          <font>
            <sz val="8"/>
            <color rgb="FF6688AA"/>
            <name val="Calibri"/>
            <family val="2"/>
            <scheme val="minor"/>
          </font>
        </dxf>
        <dxf>
          <font>
            <sz val="9"/>
            <color rgb="FFCCD6E0"/>
            <name val="Calibri"/>
            <family val="2"/>
            <scheme val="minor"/>
          </font>
        </dxf>
        <dxf>
          <font>
            <sz val="8"/>
            <color rgb="FF8899AA"/>
            <name val="Calibri"/>
            <family val="2"/>
            <scheme val="minor"/>
          </font>
        </dxf>
        <dxf>
          <font>
            <b/>
            <i val="0"/>
            <sz val="9"/>
            <color rgb="FFFF990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[Amazon_Seller_Data.xlsx]Pivot tables!PivotTable9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Monthly</a:t>
            </a:r>
            <a:r>
              <a:rPr lang="en-US" b="1" baseline="0">
                <a:solidFill>
                  <a:schemeClr val="bg1"/>
                </a:solidFill>
              </a:rPr>
              <a:t> Sales Trend (</a:t>
            </a:r>
            <a:r>
              <a:rPr lang="en-US" sz="1400" b="1" i="0" u="none" strike="noStrike" kern="1200" cap="all" spc="0" baseline="0">
                <a:solidFill>
                  <a:schemeClr val="bg1"/>
                </a:solidFill>
                <a:effectLst/>
              </a:rPr>
              <a:t>₹)</a:t>
            </a:r>
            <a:r>
              <a:rPr lang="en-US" b="1" baseline="0">
                <a:solidFill>
                  <a:schemeClr val="bg1"/>
                </a:solidFill>
              </a:rPr>
              <a:t> </a:t>
            </a:r>
            <a:endParaRPr lang="en-US" b="1">
              <a:solidFill>
                <a:schemeClr val="bg1"/>
              </a:solidFill>
            </a:endParaRPr>
          </a:p>
        </c:rich>
      </c:tx>
      <c:layout>
        <c:manualLayout>
          <c:xMode val="edge"/>
          <c:yMode val="edge"/>
          <c:x val="3.9644912244984239E-2"/>
          <c:y val="2.7777917039390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28575" cap="rnd">
              <a:solidFill>
                <a:srgbClr val="FF9900"/>
              </a:solidFill>
              <a:round/>
            </a:ln>
            <a:effectLst/>
          </c:spPr>
          <c:marker>
            <c:symbol val="none"/>
          </c:marker>
          <c:cat>
            <c:multiLvlStrRef>
              <c:f>'Pivot tables'!$A$3:$A$28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 tables'!$B$3:$B$28</c:f>
              <c:numCache>
                <c:formatCode>\₹#,##0.00</c:formatCode>
                <c:ptCount val="24"/>
                <c:pt idx="0">
                  <c:v>244711</c:v>
                </c:pt>
                <c:pt idx="1">
                  <c:v>47866</c:v>
                </c:pt>
                <c:pt idx="2">
                  <c:v>106422</c:v>
                </c:pt>
                <c:pt idx="3">
                  <c:v>128814</c:v>
                </c:pt>
                <c:pt idx="4">
                  <c:v>146258</c:v>
                </c:pt>
                <c:pt idx="5">
                  <c:v>91177</c:v>
                </c:pt>
                <c:pt idx="6">
                  <c:v>127412</c:v>
                </c:pt>
                <c:pt idx="7">
                  <c:v>97421</c:v>
                </c:pt>
                <c:pt idx="8">
                  <c:v>245775</c:v>
                </c:pt>
                <c:pt idx="9">
                  <c:v>95607</c:v>
                </c:pt>
                <c:pt idx="10">
                  <c:v>111631</c:v>
                </c:pt>
                <c:pt idx="11">
                  <c:v>162730</c:v>
                </c:pt>
                <c:pt idx="12">
                  <c:v>128112</c:v>
                </c:pt>
                <c:pt idx="13">
                  <c:v>147928</c:v>
                </c:pt>
                <c:pt idx="14">
                  <c:v>209410</c:v>
                </c:pt>
                <c:pt idx="15">
                  <c:v>205238</c:v>
                </c:pt>
                <c:pt idx="16">
                  <c:v>183817</c:v>
                </c:pt>
                <c:pt idx="17">
                  <c:v>304142</c:v>
                </c:pt>
                <c:pt idx="18">
                  <c:v>130344</c:v>
                </c:pt>
                <c:pt idx="19">
                  <c:v>130362</c:v>
                </c:pt>
                <c:pt idx="20">
                  <c:v>125375</c:v>
                </c:pt>
                <c:pt idx="21">
                  <c:v>125246</c:v>
                </c:pt>
                <c:pt idx="22">
                  <c:v>159255</c:v>
                </c:pt>
                <c:pt idx="23">
                  <c:v>149742</c:v>
                </c:pt>
              </c:numCache>
            </c:numRef>
          </c:val>
          <c:smooth val="1"/>
          <c:extLst>
            <c:ext xmlns:c16="http://schemas.microsoft.com/office/drawing/2014/chart" uri="{C3380CC4-5D6E-409C-BE32-E72D297353CC}">
              <c16:uniqueId val="{00000000-CAA6-4C3A-A0B2-F749EB8F6882}"/>
            </c:ext>
          </c:extLst>
        </c:ser>
        <c:dLbls>
          <c:showLegendKey val="0"/>
          <c:showVal val="0"/>
          <c:showCatName val="0"/>
          <c:showSerName val="0"/>
          <c:showPercent val="0"/>
          <c:showBubbleSize val="0"/>
        </c:dLbls>
        <c:smooth val="0"/>
        <c:axId val="1524633296"/>
        <c:axId val="1524627536"/>
      </c:lineChart>
      <c:catAx>
        <c:axId val="1524633296"/>
        <c:scaling>
          <c:orientation val="minMax"/>
        </c:scaling>
        <c:delete val="0"/>
        <c:axPos val="b"/>
        <c:numFmt formatCode="General" sourceLinked="1"/>
        <c:majorTickMark val="none"/>
        <c:minorTickMark val="none"/>
        <c:tickLblPos val="nextTo"/>
        <c:spPr>
          <a:noFill/>
          <a:ln w="9525" cap="flat" cmpd="sng" algn="ctr">
            <a:solidFill>
              <a:srgbClr val="2A3347"/>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627536"/>
        <c:crosses val="autoZero"/>
        <c:auto val="1"/>
        <c:lblAlgn val="ctr"/>
        <c:lblOffset val="100"/>
        <c:noMultiLvlLbl val="0"/>
      </c:catAx>
      <c:valAx>
        <c:axId val="1524627536"/>
        <c:scaling>
          <c:orientation val="minMax"/>
        </c:scaling>
        <c:delete val="0"/>
        <c:axPos val="l"/>
        <c:majorGridlines>
          <c:spPr>
            <a:ln w="9525" cap="flat" cmpd="sng" algn="ctr">
              <a:solidFill>
                <a:srgbClr val="2A3347">
                  <a:alpha val="50000"/>
                </a:srgbClr>
              </a:solidFill>
              <a:round/>
            </a:ln>
            <a:effectLst/>
          </c:spPr>
        </c:majorGridlines>
        <c:numFmt formatCode="\₹#,##0.00" sourceLinked="1"/>
        <c:majorTickMark val="none"/>
        <c:minorTickMark val="none"/>
        <c:tickLblPos val="nextTo"/>
        <c:spPr>
          <a:noFill/>
          <a:ln>
            <a:solidFill>
              <a:srgbClr val="2A3347"/>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633296"/>
        <c:crosses val="autoZero"/>
        <c:crossBetween val="between"/>
      </c:valAx>
      <c:spPr>
        <a:solidFill>
          <a:srgbClr val="161B2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F2E"/>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[Amazon_Seller_Data.xlsx]Pivot tables!PivotTable10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Category (</a:t>
            </a:r>
            <a:r>
              <a:rPr lang="en-US" sz="1400" b="1" i="0" u="none" strike="noStrike" cap="all" baseline="0">
                <a:solidFill>
                  <a:schemeClr val="bg1"/>
                </a:solidFill>
                <a:effectLst/>
              </a:rPr>
              <a:t>₹)</a:t>
            </a:r>
            <a:endParaRPr lang="en-US">
              <a:solidFill>
                <a:schemeClr val="bg1"/>
              </a:solidFill>
            </a:endParaRPr>
          </a:p>
        </c:rich>
      </c:tx>
      <c:layout>
        <c:manualLayout>
          <c:xMode val="edge"/>
          <c:yMode val="edge"/>
          <c:x val="2.96541279496461E-2"/>
          <c:y val="2.75232641374373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c:f>
              <c:strCache>
                <c:ptCount val="1"/>
                <c:pt idx="0">
                  <c:v>Sales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tables'!$D$3:$D$9</c:f>
              <c:strCache>
                <c:ptCount val="6"/>
                <c:pt idx="0">
                  <c:v>Beauty</c:v>
                </c:pt>
                <c:pt idx="1">
                  <c:v>Electronics</c:v>
                </c:pt>
                <c:pt idx="2">
                  <c:v>Fashion</c:v>
                </c:pt>
                <c:pt idx="3">
                  <c:v>Home &amp; Kitchen</c:v>
                </c:pt>
                <c:pt idx="4">
                  <c:v>Office Supplies</c:v>
                </c:pt>
                <c:pt idx="5">
                  <c:v>Sports</c:v>
                </c:pt>
              </c:strCache>
            </c:strRef>
          </c:cat>
          <c:val>
            <c:numRef>
              <c:f>'Pivot tables'!$E$3:$E$9</c:f>
              <c:numCache>
                <c:formatCode>\₹#,##0.00</c:formatCode>
                <c:ptCount val="6"/>
                <c:pt idx="0">
                  <c:v>627713</c:v>
                </c:pt>
                <c:pt idx="1">
                  <c:v>658019</c:v>
                </c:pt>
                <c:pt idx="2">
                  <c:v>620222</c:v>
                </c:pt>
                <c:pt idx="3">
                  <c:v>538243</c:v>
                </c:pt>
                <c:pt idx="4">
                  <c:v>504137</c:v>
                </c:pt>
                <c:pt idx="5">
                  <c:v>656461</c:v>
                </c:pt>
              </c:numCache>
            </c:numRef>
          </c:val>
          <c:extLst>
            <c:ext xmlns:c16="http://schemas.microsoft.com/office/drawing/2014/chart" uri="{C3380CC4-5D6E-409C-BE32-E72D297353CC}">
              <c16:uniqueId val="{00000000-AADE-48C5-A116-62BFB166E828}"/>
            </c:ext>
          </c:extLst>
        </c:ser>
        <c:dLbls>
          <c:showLegendKey val="0"/>
          <c:showVal val="0"/>
          <c:showCatName val="0"/>
          <c:showSerName val="0"/>
          <c:showPercent val="0"/>
          <c:showBubbleSize val="0"/>
        </c:dLbls>
        <c:gapWidth val="60"/>
        <c:axId val="1524633776"/>
        <c:axId val="1524621296"/>
      </c:barChart>
      <c:barChart>
        <c:barDir val="col"/>
        <c:grouping val="clustered"/>
        <c:varyColors val="0"/>
        <c:ser>
          <c:idx val="1"/>
          <c:order val="1"/>
          <c:tx>
            <c:strRef>
              <c:f>'Pivot tables'!$F$2</c:f>
              <c:strCache>
                <c:ptCount val="1"/>
                <c:pt idx="0">
                  <c:v>Profit</c:v>
                </c:pt>
              </c:strCache>
            </c:strRef>
          </c:tx>
          <c:spPr>
            <a:solidFill>
              <a:srgbClr val="00B050"/>
            </a:solidFill>
            <a:ln>
              <a:noFill/>
            </a:ln>
            <a:effectLst/>
          </c:spPr>
          <c:invertIfNegative val="0"/>
          <c:cat>
            <c:strRef>
              <c:f>'Pivot tables'!$D$3:$D$9</c:f>
              <c:strCache>
                <c:ptCount val="6"/>
                <c:pt idx="0">
                  <c:v>Beauty</c:v>
                </c:pt>
                <c:pt idx="1">
                  <c:v>Electronics</c:v>
                </c:pt>
                <c:pt idx="2">
                  <c:v>Fashion</c:v>
                </c:pt>
                <c:pt idx="3">
                  <c:v>Home &amp; Kitchen</c:v>
                </c:pt>
                <c:pt idx="4">
                  <c:v>Office Supplies</c:v>
                </c:pt>
                <c:pt idx="5">
                  <c:v>Sports</c:v>
                </c:pt>
              </c:strCache>
            </c:strRef>
          </c:cat>
          <c:val>
            <c:numRef>
              <c:f>'Pivot tables'!$F$3:$F$9</c:f>
              <c:numCache>
                <c:formatCode>\₹#,##0.00</c:formatCode>
                <c:ptCount val="6"/>
                <c:pt idx="0">
                  <c:v>207624.94999999992</c:v>
                </c:pt>
                <c:pt idx="1">
                  <c:v>244177.43000000008</c:v>
                </c:pt>
                <c:pt idx="2">
                  <c:v>188849.92000000007</c:v>
                </c:pt>
                <c:pt idx="3">
                  <c:v>207400.26999999996</c:v>
                </c:pt>
                <c:pt idx="4">
                  <c:v>122735.16999999998</c:v>
                </c:pt>
                <c:pt idx="5">
                  <c:v>244223.23000000004</c:v>
                </c:pt>
              </c:numCache>
            </c:numRef>
          </c:val>
          <c:extLst>
            <c:ext xmlns:c16="http://schemas.microsoft.com/office/drawing/2014/chart" uri="{C3380CC4-5D6E-409C-BE32-E72D297353CC}">
              <c16:uniqueId val="{00000001-AADE-48C5-A116-62BFB166E828}"/>
            </c:ext>
          </c:extLst>
        </c:ser>
        <c:dLbls>
          <c:showLegendKey val="0"/>
          <c:showVal val="0"/>
          <c:showCatName val="0"/>
          <c:showSerName val="0"/>
          <c:showPercent val="0"/>
          <c:showBubbleSize val="0"/>
        </c:dLbls>
        <c:gapWidth val="100"/>
        <c:axId val="1684732880"/>
        <c:axId val="1684719920"/>
      </c:barChart>
      <c:catAx>
        <c:axId val="1524633776"/>
        <c:scaling>
          <c:orientation val="minMax"/>
        </c:scaling>
        <c:delete val="0"/>
        <c:axPos val="b"/>
        <c:numFmt formatCode="General" sourceLinked="1"/>
        <c:majorTickMark val="none"/>
        <c:minorTickMark val="none"/>
        <c:tickLblPos val="nextTo"/>
        <c:spPr>
          <a:solidFill>
            <a:srgbClr val="2A3347"/>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621296"/>
        <c:crosses val="autoZero"/>
        <c:auto val="1"/>
        <c:lblAlgn val="ctr"/>
        <c:lblOffset val="100"/>
        <c:noMultiLvlLbl val="0"/>
      </c:catAx>
      <c:valAx>
        <c:axId val="1524621296"/>
        <c:scaling>
          <c:orientation val="minMax"/>
        </c:scaling>
        <c:delete val="0"/>
        <c:axPos val="l"/>
        <c:majorGridlines>
          <c:spPr>
            <a:ln w="9525" cap="flat" cmpd="sng" algn="ctr">
              <a:solidFill>
                <a:srgbClr val="2A3347">
                  <a:alpha val="50000"/>
                </a:srgbClr>
              </a:solidFill>
              <a:round/>
            </a:ln>
            <a:effectLst/>
          </c:spPr>
        </c:majorGridlines>
        <c:numFmt formatCode="\₹#,##0.00" sourceLinked="1"/>
        <c:majorTickMark val="none"/>
        <c:minorTickMark val="none"/>
        <c:tickLblPos val="nextTo"/>
        <c:spPr>
          <a:solidFill>
            <a:srgbClr val="161B27"/>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633776"/>
        <c:crosses val="autoZero"/>
        <c:crossBetween val="between"/>
      </c:valAx>
      <c:valAx>
        <c:axId val="1684719920"/>
        <c:scaling>
          <c:orientation val="minMax"/>
        </c:scaling>
        <c:delete val="1"/>
        <c:axPos val="r"/>
        <c:numFmt formatCode="\₹#,##0.00" sourceLinked="1"/>
        <c:majorTickMark val="out"/>
        <c:minorTickMark val="none"/>
        <c:tickLblPos val="nextTo"/>
        <c:crossAx val="1684732880"/>
        <c:crosses val="max"/>
        <c:crossBetween val="between"/>
      </c:valAx>
      <c:catAx>
        <c:axId val="1684732880"/>
        <c:scaling>
          <c:orientation val="minMax"/>
        </c:scaling>
        <c:delete val="1"/>
        <c:axPos val="b"/>
        <c:numFmt formatCode="General" sourceLinked="1"/>
        <c:majorTickMark val="out"/>
        <c:minorTickMark val="none"/>
        <c:tickLblPos val="nextTo"/>
        <c:crossAx val="16847199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AABBC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F2E"/>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[Amazon_Seller_Data.xlsx]Pivot tables!PivotTable11</c:name>
    <c:fmtId val="15"/>
  </c:pivotSource>
  <c:chart>
    <c:title>
      <c:tx>
        <c:rich>
          <a:bodyPr rot="0" spcFirstLastPara="1" vertOverflow="ellipsis" vert="horz" wrap="square" anchor="ctr" anchorCtr="1"/>
          <a:lstStyle/>
          <a:p>
            <a:pPr>
              <a:defRPr sz="1050" b="1" i="0" u="none" strike="noStrike" kern="1200" spc="0" baseline="0">
                <a:solidFill>
                  <a:srgbClr val="CCD6E0"/>
                </a:solidFill>
                <a:latin typeface="+mn-lt"/>
                <a:ea typeface="+mn-ea"/>
                <a:cs typeface="+mn-cs"/>
              </a:defRPr>
            </a:pPr>
            <a:r>
              <a:rPr lang="en-US" sz="1050" b="1" i="0" baseline="0">
                <a:solidFill>
                  <a:srgbClr val="CCD6E0"/>
                </a:solidFill>
              </a:rPr>
              <a:t>Sales by State - Top 10 (</a:t>
            </a:r>
            <a:r>
              <a:rPr lang="en-US" sz="1050" b="1" i="0" u="none" strike="noStrike" kern="1200" cap="all" spc="0" baseline="0">
                <a:solidFill>
                  <a:srgbClr val="CCD6E0"/>
                </a:solidFill>
                <a:effectLst/>
              </a:rPr>
              <a:t>₹)</a:t>
            </a:r>
            <a:endParaRPr lang="en-US" sz="1050" b="1" i="0" baseline="0">
              <a:solidFill>
                <a:srgbClr val="CCD6E0"/>
              </a:solidFill>
            </a:endParaRPr>
          </a:p>
        </c:rich>
      </c:tx>
      <c:layout>
        <c:manualLayout>
          <c:xMode val="edge"/>
          <c:yMode val="edge"/>
          <c:x val="3.1029775173399585E-2"/>
          <c:y val="2.607851397998228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rgbClr val="CCD6E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91E63"/>
          </a:solidFill>
          <a:ln>
            <a:noFill/>
          </a:ln>
          <a:effectLst/>
        </c:spPr>
      </c:pivotFmt>
      <c:pivotFmt>
        <c:idx val="4"/>
        <c:spPr>
          <a:solidFill>
            <a:srgbClr val="CE93D8"/>
          </a:solidFill>
          <a:ln>
            <a:noFill/>
          </a:ln>
          <a:effectLst/>
        </c:spPr>
      </c:pivotFmt>
      <c:pivotFmt>
        <c:idx val="5"/>
        <c:spPr>
          <a:solidFill>
            <a:srgbClr val="AB47BC"/>
          </a:solidFill>
          <a:ln>
            <a:noFill/>
          </a:ln>
          <a:effectLst/>
        </c:spPr>
      </c:pivotFmt>
      <c:pivotFmt>
        <c:idx val="6"/>
        <c:spPr>
          <a:solidFill>
            <a:srgbClr val="2979FF"/>
          </a:solidFill>
          <a:ln>
            <a:noFill/>
          </a:ln>
          <a:effectLst/>
        </c:spPr>
      </c:pivotFmt>
      <c:pivotFmt>
        <c:idx val="7"/>
        <c:spPr>
          <a:solidFill>
            <a:srgbClr val="FF1744"/>
          </a:solidFill>
          <a:ln>
            <a:noFill/>
          </a:ln>
          <a:effectLst/>
        </c:spPr>
      </c:pivotFmt>
      <c:pivotFmt>
        <c:idx val="8"/>
        <c:spPr>
          <a:solidFill>
            <a:srgbClr val="5C6BC0"/>
          </a:solidFill>
          <a:ln>
            <a:noFill/>
          </a:ln>
          <a:effectLst/>
        </c:spPr>
      </c:pivotFmt>
      <c:pivotFmt>
        <c:idx val="9"/>
        <c:spPr>
          <a:solidFill>
            <a:srgbClr val="9C27B0"/>
          </a:solidFill>
          <a:ln>
            <a:noFill/>
          </a:ln>
          <a:effectLst/>
        </c:spPr>
      </c:pivotFmt>
      <c:pivotFmt>
        <c:idx val="10"/>
        <c:spPr>
          <a:solidFill>
            <a:srgbClr val="00E5FF"/>
          </a:solidFill>
          <a:ln>
            <a:noFill/>
          </a:ln>
          <a:effectLst/>
        </c:spPr>
      </c:pivotFmt>
      <c:pivotFmt>
        <c:idx val="11"/>
        <c:spPr>
          <a:solidFill>
            <a:srgbClr val="7C4DFF"/>
          </a:solidFill>
          <a:ln>
            <a:noFill/>
          </a:ln>
          <a:effectLst/>
        </c:spPr>
      </c:pivotFmt>
      <c:pivotFmt>
        <c:idx val="12"/>
        <c:spPr>
          <a:solidFill>
            <a:srgbClr val="00BCD4"/>
          </a:solidFill>
          <a:ln>
            <a:noFill/>
          </a:ln>
          <a:effectLst/>
        </c:spPr>
      </c:pivotFmt>
      <c:pivotFmt>
        <c:idx val="13"/>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CD4"/>
          </a:solidFill>
          <a:ln>
            <a:noFill/>
          </a:ln>
          <a:effectLst/>
        </c:spPr>
      </c:pivotFmt>
      <c:pivotFmt>
        <c:idx val="15"/>
        <c:spPr>
          <a:solidFill>
            <a:srgbClr val="7C4DFF"/>
          </a:solidFill>
          <a:ln>
            <a:noFill/>
          </a:ln>
          <a:effectLst/>
        </c:spPr>
      </c:pivotFmt>
      <c:pivotFmt>
        <c:idx val="16"/>
        <c:spPr>
          <a:solidFill>
            <a:srgbClr val="00E5FF"/>
          </a:solidFill>
          <a:ln>
            <a:noFill/>
          </a:ln>
          <a:effectLst/>
        </c:spPr>
      </c:pivotFmt>
      <c:pivotFmt>
        <c:idx val="17"/>
        <c:spPr>
          <a:solidFill>
            <a:srgbClr val="9C27B0"/>
          </a:solidFill>
          <a:ln>
            <a:noFill/>
          </a:ln>
          <a:effectLst/>
        </c:spPr>
      </c:pivotFmt>
      <c:pivotFmt>
        <c:idx val="18"/>
        <c:spPr>
          <a:solidFill>
            <a:srgbClr val="5C6BC0"/>
          </a:solidFill>
          <a:ln>
            <a:noFill/>
          </a:ln>
          <a:effectLst/>
        </c:spPr>
      </c:pivotFmt>
      <c:pivotFmt>
        <c:idx val="19"/>
        <c:spPr>
          <a:solidFill>
            <a:srgbClr val="FF1744"/>
          </a:solidFill>
          <a:ln>
            <a:noFill/>
          </a:ln>
          <a:effectLst/>
        </c:spPr>
      </c:pivotFmt>
      <c:pivotFmt>
        <c:idx val="20"/>
        <c:spPr>
          <a:solidFill>
            <a:srgbClr val="2979FF"/>
          </a:solidFill>
          <a:ln>
            <a:noFill/>
          </a:ln>
          <a:effectLst/>
        </c:spPr>
      </c:pivotFmt>
      <c:pivotFmt>
        <c:idx val="21"/>
        <c:spPr>
          <a:solidFill>
            <a:srgbClr val="AB47BC"/>
          </a:solidFill>
          <a:ln>
            <a:noFill/>
          </a:ln>
          <a:effectLst/>
        </c:spPr>
      </c:pivotFmt>
      <c:pivotFmt>
        <c:idx val="22"/>
        <c:spPr>
          <a:solidFill>
            <a:srgbClr val="CE93D8"/>
          </a:solidFill>
          <a:ln>
            <a:noFill/>
          </a:ln>
          <a:effectLst/>
        </c:spPr>
      </c:pivotFmt>
      <c:pivotFmt>
        <c:idx val="23"/>
        <c:spPr>
          <a:solidFill>
            <a:srgbClr val="E91E63"/>
          </a:solidFill>
          <a:ln>
            <a:noFill/>
          </a:ln>
          <a:effectLst/>
        </c:spPr>
      </c:pivotFmt>
      <c:pivotFmt>
        <c:idx val="24"/>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BCD4"/>
          </a:solidFill>
          <a:ln>
            <a:noFill/>
          </a:ln>
          <a:effectLst/>
        </c:spPr>
      </c:pivotFmt>
      <c:pivotFmt>
        <c:idx val="26"/>
        <c:spPr>
          <a:solidFill>
            <a:srgbClr val="7C4DFF"/>
          </a:solidFill>
          <a:ln>
            <a:noFill/>
          </a:ln>
          <a:effectLst/>
        </c:spPr>
      </c:pivotFmt>
      <c:pivotFmt>
        <c:idx val="27"/>
        <c:spPr>
          <a:solidFill>
            <a:srgbClr val="00E5FF"/>
          </a:solidFill>
          <a:ln>
            <a:noFill/>
          </a:ln>
          <a:effectLst/>
        </c:spPr>
      </c:pivotFmt>
      <c:pivotFmt>
        <c:idx val="28"/>
        <c:spPr>
          <a:solidFill>
            <a:srgbClr val="9C27B0"/>
          </a:solidFill>
          <a:ln>
            <a:noFill/>
          </a:ln>
          <a:effectLst/>
        </c:spPr>
      </c:pivotFmt>
      <c:pivotFmt>
        <c:idx val="29"/>
        <c:spPr>
          <a:solidFill>
            <a:srgbClr val="5C6BC0"/>
          </a:solidFill>
          <a:ln>
            <a:noFill/>
          </a:ln>
          <a:effectLst/>
        </c:spPr>
      </c:pivotFmt>
      <c:pivotFmt>
        <c:idx val="30"/>
        <c:spPr>
          <a:solidFill>
            <a:srgbClr val="FF1744"/>
          </a:solidFill>
          <a:ln>
            <a:noFill/>
          </a:ln>
          <a:effectLst/>
        </c:spPr>
      </c:pivotFmt>
      <c:pivotFmt>
        <c:idx val="31"/>
        <c:spPr>
          <a:solidFill>
            <a:srgbClr val="2979FF"/>
          </a:solidFill>
          <a:ln>
            <a:noFill/>
          </a:ln>
          <a:effectLst/>
        </c:spPr>
      </c:pivotFmt>
      <c:pivotFmt>
        <c:idx val="32"/>
        <c:spPr>
          <a:solidFill>
            <a:srgbClr val="AB47BC"/>
          </a:solidFill>
          <a:ln>
            <a:noFill/>
          </a:ln>
          <a:effectLst/>
        </c:spPr>
      </c:pivotFmt>
      <c:pivotFmt>
        <c:idx val="33"/>
        <c:spPr>
          <a:solidFill>
            <a:srgbClr val="CE93D8"/>
          </a:solidFill>
          <a:ln>
            <a:noFill/>
          </a:ln>
          <a:effectLst/>
        </c:spPr>
      </c:pivotFmt>
      <c:pivotFmt>
        <c:idx val="34"/>
        <c:spPr>
          <a:solidFill>
            <a:srgbClr val="E91E63"/>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s>
    <c:plotArea>
      <c:layout/>
      <c:barChart>
        <c:barDir val="bar"/>
        <c:grouping val="clustered"/>
        <c:varyColors val="1"/>
        <c:ser>
          <c:idx val="0"/>
          <c:order val="0"/>
          <c:tx>
            <c:strRef>
              <c:f>'Pivot tables'!$I$2</c:f>
              <c:strCache>
                <c:ptCount val="1"/>
                <c:pt idx="0">
                  <c:v>Total</c:v>
                </c:pt>
              </c:strCache>
            </c:strRef>
          </c:tx>
          <c:invertIfNegative val="0"/>
          <c:dPt>
            <c:idx val="0"/>
            <c:invertIfNegative val="0"/>
            <c:bubble3D val="0"/>
            <c:spPr>
              <a:solidFill>
                <a:srgbClr val="00BCD4"/>
              </a:solidFill>
              <a:ln>
                <a:noFill/>
              </a:ln>
              <a:effectLst/>
            </c:spPr>
            <c:extLst>
              <c:ext xmlns:c16="http://schemas.microsoft.com/office/drawing/2014/chart" uri="{C3380CC4-5D6E-409C-BE32-E72D297353CC}">
                <c16:uniqueId val="{00000001-F620-47B5-A2F7-BCAFDA3F8C75}"/>
              </c:ext>
            </c:extLst>
          </c:dPt>
          <c:dPt>
            <c:idx val="1"/>
            <c:invertIfNegative val="0"/>
            <c:bubble3D val="0"/>
            <c:spPr>
              <a:solidFill>
                <a:srgbClr val="7C4DFF"/>
              </a:solidFill>
              <a:ln>
                <a:noFill/>
              </a:ln>
              <a:effectLst/>
            </c:spPr>
            <c:extLst>
              <c:ext xmlns:c16="http://schemas.microsoft.com/office/drawing/2014/chart" uri="{C3380CC4-5D6E-409C-BE32-E72D297353CC}">
                <c16:uniqueId val="{00000003-F620-47B5-A2F7-BCAFDA3F8C75}"/>
              </c:ext>
            </c:extLst>
          </c:dPt>
          <c:dPt>
            <c:idx val="2"/>
            <c:invertIfNegative val="0"/>
            <c:bubble3D val="0"/>
            <c:spPr>
              <a:solidFill>
                <a:srgbClr val="00E5FF"/>
              </a:solidFill>
              <a:ln>
                <a:noFill/>
              </a:ln>
              <a:effectLst/>
            </c:spPr>
            <c:extLst>
              <c:ext xmlns:c16="http://schemas.microsoft.com/office/drawing/2014/chart" uri="{C3380CC4-5D6E-409C-BE32-E72D297353CC}">
                <c16:uniqueId val="{00000005-F620-47B5-A2F7-BCAFDA3F8C75}"/>
              </c:ext>
            </c:extLst>
          </c:dPt>
          <c:dPt>
            <c:idx val="3"/>
            <c:invertIfNegative val="0"/>
            <c:bubble3D val="0"/>
            <c:spPr>
              <a:solidFill>
                <a:srgbClr val="9C27B0"/>
              </a:solidFill>
              <a:ln>
                <a:noFill/>
              </a:ln>
              <a:effectLst/>
            </c:spPr>
            <c:extLst>
              <c:ext xmlns:c16="http://schemas.microsoft.com/office/drawing/2014/chart" uri="{C3380CC4-5D6E-409C-BE32-E72D297353CC}">
                <c16:uniqueId val="{00000007-F620-47B5-A2F7-BCAFDA3F8C75}"/>
              </c:ext>
            </c:extLst>
          </c:dPt>
          <c:dPt>
            <c:idx val="4"/>
            <c:invertIfNegative val="0"/>
            <c:bubble3D val="0"/>
            <c:spPr>
              <a:solidFill>
                <a:srgbClr val="5C6BC0"/>
              </a:solidFill>
              <a:ln>
                <a:noFill/>
              </a:ln>
              <a:effectLst/>
            </c:spPr>
            <c:extLst>
              <c:ext xmlns:c16="http://schemas.microsoft.com/office/drawing/2014/chart" uri="{C3380CC4-5D6E-409C-BE32-E72D297353CC}">
                <c16:uniqueId val="{00000009-F620-47B5-A2F7-BCAFDA3F8C75}"/>
              </c:ext>
            </c:extLst>
          </c:dPt>
          <c:dPt>
            <c:idx val="5"/>
            <c:invertIfNegative val="0"/>
            <c:bubble3D val="0"/>
            <c:spPr>
              <a:solidFill>
                <a:srgbClr val="FF1744"/>
              </a:solidFill>
              <a:ln>
                <a:noFill/>
              </a:ln>
              <a:effectLst/>
            </c:spPr>
            <c:extLst>
              <c:ext xmlns:c16="http://schemas.microsoft.com/office/drawing/2014/chart" uri="{C3380CC4-5D6E-409C-BE32-E72D297353CC}">
                <c16:uniqueId val="{0000000B-F620-47B5-A2F7-BCAFDA3F8C75}"/>
              </c:ext>
            </c:extLst>
          </c:dPt>
          <c:dPt>
            <c:idx val="6"/>
            <c:invertIfNegative val="0"/>
            <c:bubble3D val="0"/>
            <c:spPr>
              <a:solidFill>
                <a:srgbClr val="2979FF"/>
              </a:solidFill>
              <a:ln>
                <a:noFill/>
              </a:ln>
              <a:effectLst/>
            </c:spPr>
            <c:extLst>
              <c:ext xmlns:c16="http://schemas.microsoft.com/office/drawing/2014/chart" uri="{C3380CC4-5D6E-409C-BE32-E72D297353CC}">
                <c16:uniqueId val="{0000000D-F620-47B5-A2F7-BCAFDA3F8C75}"/>
              </c:ext>
            </c:extLst>
          </c:dPt>
          <c:dPt>
            <c:idx val="7"/>
            <c:invertIfNegative val="0"/>
            <c:bubble3D val="0"/>
            <c:spPr>
              <a:solidFill>
                <a:srgbClr val="AB47BC"/>
              </a:solidFill>
              <a:ln>
                <a:noFill/>
              </a:ln>
              <a:effectLst/>
            </c:spPr>
            <c:extLst>
              <c:ext xmlns:c16="http://schemas.microsoft.com/office/drawing/2014/chart" uri="{C3380CC4-5D6E-409C-BE32-E72D297353CC}">
                <c16:uniqueId val="{0000000F-F620-47B5-A2F7-BCAFDA3F8C75}"/>
              </c:ext>
            </c:extLst>
          </c:dPt>
          <c:dPt>
            <c:idx val="8"/>
            <c:invertIfNegative val="0"/>
            <c:bubble3D val="0"/>
            <c:spPr>
              <a:solidFill>
                <a:srgbClr val="CE93D8"/>
              </a:solidFill>
              <a:ln>
                <a:noFill/>
              </a:ln>
              <a:effectLst/>
            </c:spPr>
            <c:extLst>
              <c:ext xmlns:c16="http://schemas.microsoft.com/office/drawing/2014/chart" uri="{C3380CC4-5D6E-409C-BE32-E72D297353CC}">
                <c16:uniqueId val="{00000011-F620-47B5-A2F7-BCAFDA3F8C75}"/>
              </c:ext>
            </c:extLst>
          </c:dPt>
          <c:dPt>
            <c:idx val="9"/>
            <c:invertIfNegative val="0"/>
            <c:bubble3D val="0"/>
            <c:spPr>
              <a:solidFill>
                <a:srgbClr val="E91E63"/>
              </a:solidFill>
              <a:ln>
                <a:noFill/>
              </a:ln>
              <a:effectLst/>
            </c:spPr>
            <c:extLst>
              <c:ext xmlns:c16="http://schemas.microsoft.com/office/drawing/2014/chart" uri="{C3380CC4-5D6E-409C-BE32-E72D297353CC}">
                <c16:uniqueId val="{00000013-F620-47B5-A2F7-BCAFDA3F8C75}"/>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F523-4939-A13A-712D09CDCC6C}"/>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F523-4939-A13A-712D09CDCC6C}"/>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F523-4939-A13A-712D09CDCC6C}"/>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F523-4939-A13A-712D09CDCC6C}"/>
              </c:ext>
            </c:extLst>
          </c:dPt>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tables'!$H$3:$H$16</c:f>
              <c:strCache>
                <c:ptCount val="14"/>
                <c:pt idx="0">
                  <c:v>Karnataka</c:v>
                </c:pt>
                <c:pt idx="1">
                  <c:v>Tamil Nadu</c:v>
                </c:pt>
                <c:pt idx="2">
                  <c:v>Rajasthan</c:v>
                </c:pt>
                <c:pt idx="3">
                  <c:v>Gujarat</c:v>
                </c:pt>
                <c:pt idx="4">
                  <c:v>Madhya Pradesh</c:v>
                </c:pt>
                <c:pt idx="5">
                  <c:v>Kerala</c:v>
                </c:pt>
                <c:pt idx="6">
                  <c:v>West Bengal</c:v>
                </c:pt>
                <c:pt idx="7">
                  <c:v>Telangana</c:v>
                </c:pt>
                <c:pt idx="8">
                  <c:v>Bihar</c:v>
                </c:pt>
                <c:pt idx="9">
                  <c:v>Maharashtra</c:v>
                </c:pt>
                <c:pt idx="10">
                  <c:v>Delhi</c:v>
                </c:pt>
                <c:pt idx="11">
                  <c:v>Uttar Pradesh</c:v>
                </c:pt>
                <c:pt idx="12">
                  <c:v>Punjab</c:v>
                </c:pt>
                <c:pt idx="13">
                  <c:v>Haryana</c:v>
                </c:pt>
              </c:strCache>
            </c:strRef>
          </c:cat>
          <c:val>
            <c:numRef>
              <c:f>'Pivot tables'!$I$3:$I$16</c:f>
              <c:numCache>
                <c:formatCode>\₹#,##0.00</c:formatCode>
                <c:ptCount val="14"/>
                <c:pt idx="0">
                  <c:v>476993</c:v>
                </c:pt>
                <c:pt idx="1">
                  <c:v>447588</c:v>
                </c:pt>
                <c:pt idx="2">
                  <c:v>359690</c:v>
                </c:pt>
                <c:pt idx="3">
                  <c:v>325649</c:v>
                </c:pt>
                <c:pt idx="4">
                  <c:v>302807</c:v>
                </c:pt>
                <c:pt idx="5">
                  <c:v>241545</c:v>
                </c:pt>
                <c:pt idx="6">
                  <c:v>239123</c:v>
                </c:pt>
                <c:pt idx="7">
                  <c:v>206445</c:v>
                </c:pt>
                <c:pt idx="8">
                  <c:v>202344</c:v>
                </c:pt>
                <c:pt idx="9">
                  <c:v>189707</c:v>
                </c:pt>
                <c:pt idx="10">
                  <c:v>184905</c:v>
                </c:pt>
                <c:pt idx="11">
                  <c:v>178862</c:v>
                </c:pt>
                <c:pt idx="12">
                  <c:v>143166</c:v>
                </c:pt>
                <c:pt idx="13">
                  <c:v>105971</c:v>
                </c:pt>
              </c:numCache>
            </c:numRef>
          </c:val>
          <c:extLst>
            <c:ext xmlns:c16="http://schemas.microsoft.com/office/drawing/2014/chart" uri="{C3380CC4-5D6E-409C-BE32-E72D297353CC}">
              <c16:uniqueId val="{00000014-F620-47B5-A2F7-BCAFDA3F8C75}"/>
            </c:ext>
          </c:extLst>
        </c:ser>
        <c:dLbls>
          <c:showLegendKey val="0"/>
          <c:showVal val="0"/>
          <c:showCatName val="0"/>
          <c:showSerName val="0"/>
          <c:showPercent val="0"/>
          <c:showBubbleSize val="0"/>
        </c:dLbls>
        <c:gapWidth val="219"/>
        <c:axId val="1524612656"/>
        <c:axId val="1524609776"/>
      </c:barChart>
      <c:catAx>
        <c:axId val="1524612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609776"/>
        <c:crosses val="autoZero"/>
        <c:auto val="1"/>
        <c:lblAlgn val="ctr"/>
        <c:lblOffset val="100"/>
        <c:noMultiLvlLbl val="0"/>
      </c:catAx>
      <c:valAx>
        <c:axId val="1524609776"/>
        <c:scaling>
          <c:orientation val="minMax"/>
        </c:scaling>
        <c:delete val="1"/>
        <c:axPos val="b"/>
        <c:majorGridlines>
          <c:spPr>
            <a:ln w="9525" cap="flat" cmpd="sng" algn="ctr">
              <a:solidFill>
                <a:srgbClr val="2A3347">
                  <a:alpha val="50000"/>
                </a:srgbClr>
              </a:solidFill>
              <a:round/>
            </a:ln>
            <a:effectLst/>
          </c:spPr>
        </c:majorGridlines>
        <c:numFmt formatCode="\₹#,##0.00" sourceLinked="1"/>
        <c:majorTickMark val="out"/>
        <c:minorTickMark val="none"/>
        <c:tickLblPos val="nextTo"/>
        <c:crossAx val="1524612656"/>
        <c:crosses val="autoZero"/>
        <c:crossBetween val="between"/>
      </c:valAx>
      <c:spPr>
        <a:solidFill>
          <a:srgbClr val="161B2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F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[Amazon_Seller_Data.xlsx]Pivot tables!PivotTable12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Order</a:t>
            </a:r>
            <a:r>
              <a:rPr lang="en-US" sz="1600" b="1" baseline="0">
                <a:solidFill>
                  <a:schemeClr val="bg1"/>
                </a:solidFill>
              </a:rPr>
              <a:t> Status</a:t>
            </a:r>
            <a:endParaRPr lang="en-US" sz="1600" b="1">
              <a:solidFill>
                <a:schemeClr val="bg1"/>
              </a:solidFill>
            </a:endParaRPr>
          </a:p>
        </c:rich>
      </c:tx>
      <c:layout>
        <c:manualLayout>
          <c:xMode val="edge"/>
          <c:yMode val="edge"/>
          <c:x val="4.3141717111950605E-2"/>
          <c:y val="3.8167938931297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1">
              <a:lumMod val="75000"/>
            </a:schemeClr>
          </a:solidFill>
          <a:ln w="19050">
            <a:solidFill>
              <a:schemeClr val="lt1"/>
            </a:solidFill>
          </a:ln>
          <a:effectLst/>
        </c:spPr>
        <c:dLbl>
          <c:idx val="0"/>
          <c:layout>
            <c:manualLayout>
              <c:x val="0.13845371929664851"/>
              <c:y val="-5.8991003987097029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B050"/>
          </a:solidFill>
          <a:ln w="19050">
            <a:solidFill>
              <a:schemeClr val="lt1"/>
            </a:solidFill>
          </a:ln>
          <a:effectLst/>
        </c:spPr>
        <c:dLbl>
          <c:idx val="0"/>
          <c:layout>
            <c:manualLayout>
              <c:x val="0.12850467289719633"/>
              <c:y val="4.9937578027465665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E5FF"/>
          </a:solidFill>
          <a:ln w="19050">
            <a:solidFill>
              <a:schemeClr val="lt1"/>
            </a:solidFill>
          </a:ln>
          <a:effectLst/>
        </c:spPr>
        <c:dLbl>
          <c:idx val="0"/>
          <c:layout>
            <c:manualLayout>
              <c:x val="-0.10493756922003247"/>
              <c:y val="5.8657744117863127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C000"/>
          </a:solidFill>
          <a:ln w="19050">
            <a:solidFill>
              <a:schemeClr val="lt1"/>
            </a:solidFill>
          </a:ln>
          <a:effectLst/>
        </c:spPr>
        <c:dLbl>
          <c:idx val="0"/>
          <c:layout>
            <c:manualLayout>
              <c:x val="-0.1278970005916891"/>
              <c:y val="-6.5709963735449142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0000"/>
          </a:solidFill>
          <a:ln w="19050">
            <a:solidFill>
              <a:schemeClr val="lt1"/>
            </a:solidFill>
          </a:ln>
          <a:effectLst/>
        </c:spPr>
        <c:dLbl>
          <c:idx val="0"/>
          <c:layout>
            <c:manualLayout>
              <c:x val="-7.7071290944123308E-2"/>
              <c:y val="-9.4681199201244903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dLbl>
          <c:idx val="0"/>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bg1">
              <a:lumMod val="75000"/>
            </a:schemeClr>
          </a:solidFill>
          <a:ln w="19050">
            <a:solidFill>
              <a:schemeClr val="lt1"/>
            </a:solidFill>
          </a:ln>
          <a:effectLst/>
        </c:spPr>
        <c:dLbl>
          <c:idx val="0"/>
          <c:layout>
            <c:manualLayout>
              <c:x val="0.13845371929664851"/>
              <c:y val="-5.8991003987097029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B050"/>
          </a:solidFill>
          <a:ln w="19050">
            <a:solidFill>
              <a:schemeClr val="lt1"/>
            </a:solidFill>
          </a:ln>
          <a:effectLst/>
        </c:spPr>
        <c:dLbl>
          <c:idx val="0"/>
          <c:layout>
            <c:manualLayout>
              <c:x val="0.12850467289719633"/>
              <c:y val="4.9937578027465665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00E5FF"/>
          </a:solidFill>
          <a:ln w="19050">
            <a:solidFill>
              <a:schemeClr val="lt1"/>
            </a:solidFill>
          </a:ln>
          <a:effectLst/>
        </c:spPr>
        <c:dLbl>
          <c:idx val="0"/>
          <c:layout>
            <c:manualLayout>
              <c:x val="-0.10493756922003247"/>
              <c:y val="5.8657744117863127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FC000"/>
          </a:solidFill>
          <a:ln w="19050">
            <a:solidFill>
              <a:schemeClr val="lt1"/>
            </a:solidFill>
          </a:ln>
          <a:effectLst/>
        </c:spPr>
        <c:dLbl>
          <c:idx val="0"/>
          <c:layout>
            <c:manualLayout>
              <c:x val="-0.1278970005916891"/>
              <c:y val="-6.5709963735449142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F0000"/>
          </a:solidFill>
          <a:ln w="19050">
            <a:solidFill>
              <a:schemeClr val="lt1"/>
            </a:solidFill>
          </a:ln>
          <a:effectLst/>
        </c:spPr>
        <c:dLbl>
          <c:idx val="0"/>
          <c:layout>
            <c:manualLayout>
              <c:x val="-7.7071290944123308E-2"/>
              <c:y val="-9.4681199201244903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bg1">
              <a:lumMod val="75000"/>
            </a:schemeClr>
          </a:solidFill>
          <a:ln w="19050">
            <a:solidFill>
              <a:schemeClr val="lt1"/>
            </a:solidFill>
          </a:ln>
          <a:effectLst/>
        </c:spPr>
        <c:dLbl>
          <c:idx val="0"/>
          <c:layout>
            <c:manualLayout>
              <c:x val="0.13845371929664851"/>
              <c:y val="-5.8991003987097029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00B050"/>
          </a:solidFill>
          <a:ln w="19050">
            <a:solidFill>
              <a:schemeClr val="lt1"/>
            </a:solidFill>
          </a:ln>
          <a:effectLst/>
        </c:spPr>
        <c:dLbl>
          <c:idx val="0"/>
          <c:layout>
            <c:manualLayout>
              <c:x val="0.12850467289719633"/>
              <c:y val="4.9937578027465665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00E5FF"/>
          </a:solidFill>
          <a:ln w="19050">
            <a:solidFill>
              <a:schemeClr val="lt1"/>
            </a:solidFill>
          </a:ln>
          <a:effectLst/>
        </c:spPr>
        <c:dLbl>
          <c:idx val="0"/>
          <c:layout>
            <c:manualLayout>
              <c:x val="-0.10493756922003247"/>
              <c:y val="5.8657744117863127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FFC000"/>
          </a:solidFill>
          <a:ln w="19050">
            <a:solidFill>
              <a:schemeClr val="lt1"/>
            </a:solidFill>
          </a:ln>
          <a:effectLst/>
        </c:spPr>
        <c:dLbl>
          <c:idx val="0"/>
          <c:layout>
            <c:manualLayout>
              <c:x val="-0.1278970005916891"/>
              <c:y val="-6.5709963735449142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FF0000"/>
          </a:solidFill>
          <a:ln w="19050">
            <a:solidFill>
              <a:schemeClr val="lt1"/>
            </a:solidFill>
          </a:ln>
          <a:effectLst/>
        </c:spPr>
        <c:dLbl>
          <c:idx val="0"/>
          <c:layout>
            <c:manualLayout>
              <c:x val="-7.7071290944123308E-2"/>
              <c:y val="-9.4681199201244903E-2"/>
            </c:manualLayout>
          </c:layout>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tables'!$L$2</c:f>
              <c:strCache>
                <c:ptCount val="1"/>
                <c:pt idx="0">
                  <c:v>Total</c:v>
                </c:pt>
              </c:strCache>
            </c:strRef>
          </c:tx>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62CE-4411-9E5B-E882F6D9C03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62CE-4411-9E5B-E882F6D9C03B}"/>
              </c:ext>
            </c:extLst>
          </c:dPt>
          <c:dPt>
            <c:idx val="2"/>
            <c:bubble3D val="0"/>
            <c:spPr>
              <a:solidFill>
                <a:srgbClr val="00E5FF"/>
              </a:solidFill>
              <a:ln w="19050">
                <a:solidFill>
                  <a:schemeClr val="lt1"/>
                </a:solidFill>
              </a:ln>
              <a:effectLst/>
            </c:spPr>
            <c:extLst>
              <c:ext xmlns:c16="http://schemas.microsoft.com/office/drawing/2014/chart" uri="{C3380CC4-5D6E-409C-BE32-E72D297353CC}">
                <c16:uniqueId val="{00000005-62CE-4411-9E5B-E882F6D9C03B}"/>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62CE-4411-9E5B-E882F6D9C03B}"/>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62CE-4411-9E5B-E882F6D9C03B}"/>
              </c:ext>
            </c:extLst>
          </c:dPt>
          <c:dLbls>
            <c:dLbl>
              <c:idx val="0"/>
              <c:layout>
                <c:manualLayout>
                  <c:x val="0.13845371929664851"/>
                  <c:y val="-5.89910039870970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2CE-4411-9E5B-E882F6D9C03B}"/>
                </c:ext>
              </c:extLst>
            </c:dLbl>
            <c:dLbl>
              <c:idx val="1"/>
              <c:layout>
                <c:manualLayout>
                  <c:x val="0.12850467289719633"/>
                  <c:y val="4.99375780274656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CE-4411-9E5B-E882F6D9C03B}"/>
                </c:ext>
              </c:extLst>
            </c:dLbl>
            <c:dLbl>
              <c:idx val="2"/>
              <c:layout>
                <c:manualLayout>
                  <c:x val="-0.10493756922003247"/>
                  <c:y val="5.865774411786312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2CE-4411-9E5B-E882F6D9C03B}"/>
                </c:ext>
              </c:extLst>
            </c:dLbl>
            <c:dLbl>
              <c:idx val="3"/>
              <c:layout>
                <c:manualLayout>
                  <c:x val="-0.1278970005916891"/>
                  <c:y val="-6.57099637354491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2CE-4411-9E5B-E882F6D9C03B}"/>
                </c:ext>
              </c:extLst>
            </c:dLbl>
            <c:dLbl>
              <c:idx val="4"/>
              <c:layout>
                <c:manualLayout>
                  <c:x val="-7.7071290944123308E-2"/>
                  <c:y val="-9.46811992012449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2CE-4411-9E5B-E882F6D9C03B}"/>
                </c:ext>
              </c:extLst>
            </c:dLbl>
            <c:spPr>
              <a:solidFill>
                <a:srgbClr val="002060"/>
              </a:solidFill>
              <a:ln w="254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tables'!$K$3:$K$8</c:f>
              <c:strCache>
                <c:ptCount val="5"/>
                <c:pt idx="0">
                  <c:v>Cancelled</c:v>
                </c:pt>
                <c:pt idx="1">
                  <c:v>Delivered</c:v>
                </c:pt>
                <c:pt idx="2">
                  <c:v>In Transit</c:v>
                </c:pt>
                <c:pt idx="3">
                  <c:v>Pending</c:v>
                </c:pt>
                <c:pt idx="4">
                  <c:v>Returned</c:v>
                </c:pt>
              </c:strCache>
            </c:strRef>
          </c:cat>
          <c:val>
            <c:numRef>
              <c:f>'Pivot tables'!$L$3:$L$8</c:f>
              <c:numCache>
                <c:formatCode>General</c:formatCode>
                <c:ptCount val="5"/>
                <c:pt idx="0">
                  <c:v>39</c:v>
                </c:pt>
                <c:pt idx="1">
                  <c:v>156</c:v>
                </c:pt>
                <c:pt idx="2">
                  <c:v>38</c:v>
                </c:pt>
                <c:pt idx="3">
                  <c:v>33</c:v>
                </c:pt>
                <c:pt idx="4">
                  <c:v>34</c:v>
                </c:pt>
              </c:numCache>
            </c:numRef>
          </c:val>
          <c:extLst>
            <c:ext xmlns:c16="http://schemas.microsoft.com/office/drawing/2014/chart" uri="{C3380CC4-5D6E-409C-BE32-E72D297353CC}">
              <c16:uniqueId val="{0000000A-62CE-4411-9E5B-E882F6D9C03B}"/>
            </c:ext>
          </c:extLst>
        </c:ser>
        <c:dLbls>
          <c:showLegendKey val="0"/>
          <c:showVal val="0"/>
          <c:showCatName val="0"/>
          <c:showSerName val="0"/>
          <c:showPercent val="0"/>
          <c:showBubbleSize val="0"/>
          <c:showLeaderLines val="0"/>
        </c:dLbls>
        <c:firstSliceAng val="10"/>
        <c:holeSize val="60"/>
      </c:doughnutChart>
      <c:spPr>
        <a:solidFill>
          <a:srgbClr val="1A1F2E"/>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F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[Amazon_Seller_Data.xlsx]Pivot tables!PivotTable13</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FBA</a:t>
            </a:r>
            <a:r>
              <a:rPr lang="en-US" baseline="0">
                <a:solidFill>
                  <a:schemeClr val="bg1"/>
                </a:solidFill>
              </a:rPr>
              <a:t> vs FBM Sales</a:t>
            </a:r>
            <a:endParaRPr lang="en-US">
              <a:solidFill>
                <a:schemeClr val="bg1"/>
              </a:solidFill>
            </a:endParaRPr>
          </a:p>
        </c:rich>
      </c:tx>
      <c:layout>
        <c:manualLayout>
          <c:xMode val="edge"/>
          <c:yMode val="edge"/>
          <c:x val="6.0170603674540697E-2"/>
          <c:y val="4.76190476190476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
        <c:spPr>
          <a:solidFill>
            <a:srgbClr val="9C27B0"/>
          </a:solidFill>
          <a:ln w="19050">
            <a:solidFill>
              <a:schemeClr val="lt1"/>
            </a:solidFill>
          </a:ln>
          <a:effectLst/>
        </c:spPr>
        <c:dLbl>
          <c:idx val="0"/>
          <c:layout>
            <c:manualLayout>
              <c:x val="0.16605166051660505"/>
              <c:y val="-0.11904761904761904"/>
            </c:manualLayout>
          </c:layout>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2"/>
        <c:spPr>
          <a:solidFill>
            <a:srgbClr val="00B0F0"/>
          </a:solidFill>
          <a:ln w="19050">
            <a:solidFill>
              <a:schemeClr val="lt1"/>
            </a:solidFill>
          </a:ln>
          <a:effectLst/>
        </c:spPr>
        <c:dLbl>
          <c:idx val="0"/>
          <c:layout>
            <c:manualLayout>
              <c:x val="-0.12607626076260764"/>
              <c:y val="0.16666666666666657"/>
            </c:manualLayout>
          </c:layout>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4"/>
        <c:spPr>
          <a:solidFill>
            <a:srgbClr val="9C27B0"/>
          </a:solidFill>
          <a:ln w="19050">
            <a:solidFill>
              <a:schemeClr val="lt1"/>
            </a:solidFill>
          </a:ln>
          <a:effectLst/>
        </c:spPr>
        <c:dLbl>
          <c:idx val="0"/>
          <c:layout>
            <c:manualLayout>
              <c:x val="0.16605166051660505"/>
              <c:y val="-0.11904761904761904"/>
            </c:manualLayout>
          </c:layout>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5"/>
        <c:spPr>
          <a:solidFill>
            <a:srgbClr val="00B0F0"/>
          </a:solidFill>
          <a:ln w="19050">
            <a:solidFill>
              <a:schemeClr val="lt1"/>
            </a:solidFill>
          </a:ln>
          <a:effectLst/>
        </c:spPr>
        <c:dLbl>
          <c:idx val="0"/>
          <c:layout>
            <c:manualLayout>
              <c:x val="-0.12607626076260764"/>
              <c:y val="0.16666666666666657"/>
            </c:manualLayout>
          </c:layout>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7"/>
        <c:spPr>
          <a:solidFill>
            <a:srgbClr val="9C27B0"/>
          </a:solidFill>
          <a:ln w="19050">
            <a:solidFill>
              <a:schemeClr val="lt1"/>
            </a:solidFill>
          </a:ln>
          <a:effectLst/>
        </c:spPr>
        <c:dLbl>
          <c:idx val="0"/>
          <c:layout>
            <c:manualLayout>
              <c:x val="0.16605166051660505"/>
              <c:y val="-0.11904761904761904"/>
            </c:manualLayout>
          </c:layout>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8"/>
        <c:spPr>
          <a:solidFill>
            <a:srgbClr val="00B0F0"/>
          </a:solidFill>
          <a:ln w="19050">
            <a:solidFill>
              <a:schemeClr val="lt1"/>
            </a:solidFill>
          </a:ln>
          <a:effectLst/>
        </c:spPr>
        <c:dLbl>
          <c:idx val="0"/>
          <c:layout>
            <c:manualLayout>
              <c:x val="-0.16386294904959067"/>
              <c:y val="0.10409973416396966"/>
            </c:manualLayout>
          </c:layout>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s>
    <c:plotArea>
      <c:layout/>
      <c:doughnutChart>
        <c:varyColors val="1"/>
        <c:ser>
          <c:idx val="0"/>
          <c:order val="0"/>
          <c:tx>
            <c:strRef>
              <c:f>'Pivot tables'!$P$2</c:f>
              <c:strCache>
                <c:ptCount val="1"/>
                <c:pt idx="0">
                  <c:v>Total</c:v>
                </c:pt>
              </c:strCache>
            </c:strRef>
          </c:tx>
          <c:dPt>
            <c:idx val="0"/>
            <c:bubble3D val="0"/>
            <c:spPr>
              <a:solidFill>
                <a:srgbClr val="9C27B0"/>
              </a:solidFill>
              <a:ln w="19050">
                <a:solidFill>
                  <a:schemeClr val="lt1"/>
                </a:solidFill>
              </a:ln>
              <a:effectLst/>
            </c:spPr>
            <c:extLst>
              <c:ext xmlns:c16="http://schemas.microsoft.com/office/drawing/2014/chart" uri="{C3380CC4-5D6E-409C-BE32-E72D297353CC}">
                <c16:uniqueId val="{00000001-F1BF-41A4-8C3F-D49F74597930}"/>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F1BF-41A4-8C3F-D49F74597930}"/>
              </c:ext>
            </c:extLst>
          </c:dPt>
          <c:dLbls>
            <c:dLbl>
              <c:idx val="0"/>
              <c:layout>
                <c:manualLayout>
                  <c:x val="0.16605166051660505"/>
                  <c:y val="-0.1190476190476190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BF-41A4-8C3F-D49F74597930}"/>
                </c:ext>
              </c:extLst>
            </c:dLbl>
            <c:dLbl>
              <c:idx val="1"/>
              <c:layout>
                <c:manualLayout>
                  <c:x val="-0.16386294904959067"/>
                  <c:y val="0.1040997341639696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BF-41A4-8C3F-D49F74597930}"/>
                </c:ext>
              </c:extLst>
            </c:dLbl>
            <c:spPr>
              <a:solidFill>
                <a:srgbClr val="12182A"/>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borderCallout1">
                    <a:avLst/>
                  </a:prstGeom>
                  <a:noFill/>
                  <a:ln>
                    <a:noFill/>
                  </a:ln>
                </c15:spPr>
              </c:ext>
            </c:extLst>
          </c:dLbls>
          <c:cat>
            <c:strRef>
              <c:f>'Pivot tables'!$O$3:$O$4</c:f>
              <c:strCache>
                <c:ptCount val="2"/>
                <c:pt idx="0">
                  <c:v>FBA</c:v>
                </c:pt>
                <c:pt idx="1">
                  <c:v>FBM</c:v>
                </c:pt>
              </c:strCache>
            </c:strRef>
          </c:cat>
          <c:val>
            <c:numRef>
              <c:f>'Pivot tables'!$P$3:$P$4</c:f>
              <c:numCache>
                <c:formatCode>\₹#,##0</c:formatCode>
                <c:ptCount val="2"/>
                <c:pt idx="0">
                  <c:v>2221502</c:v>
                </c:pt>
                <c:pt idx="1">
                  <c:v>1383293</c:v>
                </c:pt>
              </c:numCache>
            </c:numRef>
          </c:val>
          <c:extLst>
            <c:ext xmlns:c16="http://schemas.microsoft.com/office/drawing/2014/chart" uri="{C3380CC4-5D6E-409C-BE32-E72D297353CC}">
              <c16:uniqueId val="{00000004-F1BF-41A4-8C3F-D49F745979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8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[Amazon_Seller_Data.xlsx]Pivot tables!PivotTable17</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AD</a:t>
            </a:r>
            <a:r>
              <a:rPr lang="en-US" b="1" baseline="0">
                <a:solidFill>
                  <a:schemeClr val="bg1"/>
                </a:solidFill>
              </a:rPr>
              <a:t> Spent by Type (</a:t>
            </a:r>
            <a:r>
              <a:rPr lang="en-US" sz="1400" b="1" i="0" u="none" strike="noStrike" kern="1200" cap="all" spc="0" baseline="0">
                <a:solidFill>
                  <a:schemeClr val="bg1"/>
                </a:solidFill>
                <a:effectLst/>
              </a:rPr>
              <a:t>₹)</a:t>
            </a:r>
            <a:endParaRPr lang="en-US" b="1">
              <a:solidFill>
                <a:schemeClr val="bg1"/>
              </a:solidFill>
            </a:endParaRPr>
          </a:p>
        </c:rich>
      </c:tx>
      <c:layout>
        <c:manualLayout>
          <c:xMode val="edge"/>
          <c:yMode val="edge"/>
          <c:x val="4.813888888888889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12182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E91E63"/>
          </a:solidFill>
          <a:ln>
            <a:noFill/>
          </a:ln>
          <a:effectLst/>
        </c:spPr>
      </c:pivotFmt>
      <c:pivotFmt>
        <c:idx val="3"/>
        <c:spPr>
          <a:solidFill>
            <a:srgbClr val="9C27B0"/>
          </a:solidFill>
          <a:ln>
            <a:noFill/>
          </a:ln>
          <a:effectLst/>
        </c:spPr>
      </c:pivotFmt>
      <c:pivotFmt>
        <c:idx val="4"/>
        <c:spPr>
          <a:solidFill>
            <a:schemeClr val="tx1">
              <a:lumMod val="50000"/>
              <a:lumOff val="50000"/>
            </a:schemeClr>
          </a:solidFill>
          <a:ln>
            <a:noFill/>
          </a:ln>
          <a:effectLst/>
        </c:spPr>
      </c:pivotFmt>
      <c:pivotFmt>
        <c:idx val="5"/>
        <c:spPr>
          <a:solidFill>
            <a:schemeClr val="accent1"/>
          </a:solidFill>
          <a:ln>
            <a:noFill/>
          </a:ln>
          <a:effectLst/>
        </c:spPr>
        <c:marker>
          <c:symbol val="none"/>
        </c:marker>
        <c:dLbl>
          <c:idx val="0"/>
          <c:spPr>
            <a:solidFill>
              <a:srgbClr val="12182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rgbClr val="E91E63"/>
          </a:solidFill>
          <a:ln>
            <a:noFill/>
          </a:ln>
          <a:effectLst/>
        </c:spPr>
      </c:pivotFmt>
      <c:pivotFmt>
        <c:idx val="8"/>
        <c:spPr>
          <a:solidFill>
            <a:srgbClr val="9C27B0"/>
          </a:solidFill>
          <a:ln>
            <a:noFill/>
          </a:ln>
          <a:effectLst/>
        </c:spPr>
      </c:pivotFmt>
      <c:pivotFmt>
        <c:idx val="9"/>
        <c:spPr>
          <a:solidFill>
            <a:schemeClr val="tx1">
              <a:lumMod val="50000"/>
              <a:lumOff val="50000"/>
            </a:schemeClr>
          </a:solidFill>
          <a:ln>
            <a:noFill/>
          </a:ln>
          <a:effectLst/>
        </c:spPr>
      </c:pivotFmt>
      <c:pivotFmt>
        <c:idx val="10"/>
        <c:spPr>
          <a:solidFill>
            <a:schemeClr val="accent1"/>
          </a:solidFill>
          <a:ln>
            <a:noFill/>
          </a:ln>
          <a:effectLst/>
        </c:spPr>
        <c:marker>
          <c:symbol val="none"/>
        </c:marker>
        <c:dLbl>
          <c:idx val="0"/>
          <c:spPr>
            <a:solidFill>
              <a:srgbClr val="12182A"/>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pivotFmt>
      <c:pivotFmt>
        <c:idx val="12"/>
        <c:spPr>
          <a:solidFill>
            <a:srgbClr val="E91E63"/>
          </a:solidFill>
          <a:ln>
            <a:noFill/>
          </a:ln>
          <a:effectLst/>
        </c:spPr>
      </c:pivotFmt>
      <c:pivotFmt>
        <c:idx val="13"/>
        <c:spPr>
          <a:solidFill>
            <a:srgbClr val="9C27B0"/>
          </a:solidFill>
          <a:ln>
            <a:noFill/>
          </a:ln>
          <a:effectLst/>
        </c:spPr>
      </c:pivotFmt>
      <c:pivotFmt>
        <c:idx val="14"/>
        <c:spPr>
          <a:solidFill>
            <a:schemeClr val="tx1">
              <a:lumMod val="50000"/>
              <a:lumOff val="50000"/>
            </a:schemeClr>
          </a:solidFill>
          <a:ln>
            <a:noFill/>
          </a:ln>
          <a:effectLst/>
        </c:spPr>
      </c:pivotFmt>
    </c:pivotFmts>
    <c:plotArea>
      <c:layout/>
      <c:barChart>
        <c:barDir val="col"/>
        <c:grouping val="clustered"/>
        <c:varyColors val="0"/>
        <c:ser>
          <c:idx val="0"/>
          <c:order val="0"/>
          <c:tx>
            <c:strRef>
              <c:f>'Pivot tables'!$P$7</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CB52-4EC1-8B51-D53968396A37}"/>
              </c:ext>
            </c:extLst>
          </c:dPt>
          <c:dPt>
            <c:idx val="1"/>
            <c:invertIfNegative val="0"/>
            <c:bubble3D val="0"/>
            <c:spPr>
              <a:solidFill>
                <a:srgbClr val="E91E63"/>
              </a:solidFill>
              <a:ln>
                <a:noFill/>
              </a:ln>
              <a:effectLst/>
            </c:spPr>
            <c:extLst>
              <c:ext xmlns:c16="http://schemas.microsoft.com/office/drawing/2014/chart" uri="{C3380CC4-5D6E-409C-BE32-E72D297353CC}">
                <c16:uniqueId val="{00000003-CB52-4EC1-8B51-D53968396A37}"/>
              </c:ext>
            </c:extLst>
          </c:dPt>
          <c:dPt>
            <c:idx val="2"/>
            <c:invertIfNegative val="0"/>
            <c:bubble3D val="0"/>
            <c:spPr>
              <a:solidFill>
                <a:srgbClr val="9C27B0"/>
              </a:solidFill>
              <a:ln>
                <a:noFill/>
              </a:ln>
              <a:effectLst/>
            </c:spPr>
            <c:extLst>
              <c:ext xmlns:c16="http://schemas.microsoft.com/office/drawing/2014/chart" uri="{C3380CC4-5D6E-409C-BE32-E72D297353CC}">
                <c16:uniqueId val="{00000005-CB52-4EC1-8B51-D53968396A37}"/>
              </c:ext>
            </c:extLst>
          </c:dPt>
          <c:dPt>
            <c:idx val="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7-CB52-4EC1-8B51-D53968396A37}"/>
              </c:ext>
            </c:extLst>
          </c:dPt>
          <c:dLbls>
            <c:spPr>
              <a:solidFill>
                <a:srgbClr val="12182A"/>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tables'!$O$8:$O$11</c:f>
              <c:strCache>
                <c:ptCount val="4"/>
                <c:pt idx="0">
                  <c:v>Sponsored Brands</c:v>
                </c:pt>
                <c:pt idx="1">
                  <c:v>Sponsored Products</c:v>
                </c:pt>
                <c:pt idx="2">
                  <c:v>Sponsored Display</c:v>
                </c:pt>
                <c:pt idx="3">
                  <c:v>None</c:v>
                </c:pt>
              </c:strCache>
            </c:strRef>
          </c:cat>
          <c:val>
            <c:numRef>
              <c:f>'Pivot tables'!$P$8:$P$11</c:f>
              <c:numCache>
                <c:formatCode>\₹#,##0</c:formatCode>
                <c:ptCount val="4"/>
                <c:pt idx="0">
                  <c:v>13716.499999999996</c:v>
                </c:pt>
                <c:pt idx="1">
                  <c:v>12262.339999999997</c:v>
                </c:pt>
                <c:pt idx="2">
                  <c:v>8027.6</c:v>
                </c:pt>
                <c:pt idx="3">
                  <c:v>22834.769999999997</c:v>
                </c:pt>
              </c:numCache>
            </c:numRef>
          </c:val>
          <c:extLst>
            <c:ext xmlns:c16="http://schemas.microsoft.com/office/drawing/2014/chart" uri="{C3380CC4-5D6E-409C-BE32-E72D297353CC}">
              <c16:uniqueId val="{00000008-CB52-4EC1-8B51-D53968396A37}"/>
            </c:ext>
          </c:extLst>
        </c:ser>
        <c:dLbls>
          <c:showLegendKey val="0"/>
          <c:showVal val="0"/>
          <c:showCatName val="0"/>
          <c:showSerName val="0"/>
          <c:showPercent val="0"/>
          <c:showBubbleSize val="0"/>
        </c:dLbls>
        <c:gapWidth val="50"/>
        <c:overlap val="-27"/>
        <c:axId val="1854008688"/>
        <c:axId val="1854005808"/>
      </c:barChart>
      <c:catAx>
        <c:axId val="185400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05808"/>
        <c:crosses val="autoZero"/>
        <c:auto val="1"/>
        <c:lblAlgn val="ctr"/>
        <c:lblOffset val="100"/>
        <c:noMultiLvlLbl val="0"/>
      </c:catAx>
      <c:valAx>
        <c:axId val="1854005808"/>
        <c:scaling>
          <c:orientation val="minMax"/>
        </c:scaling>
        <c:delete val="0"/>
        <c:axPos val="l"/>
        <c:majorGridlines>
          <c:spPr>
            <a:ln w="9525" cap="flat" cmpd="sng" algn="ctr">
              <a:solidFill>
                <a:srgbClr val="002060">
                  <a:alpha val="50000"/>
                </a:srgb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4008688"/>
        <c:crosses val="autoZero"/>
        <c:crossBetween val="between"/>
      </c:valAx>
      <c:spPr>
        <a:solidFill>
          <a:srgbClr val="12182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8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[Amazon_Seller_Data.xlsx]Pivot tables!PivotTable14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- 8 Product by Sales </a:t>
            </a:r>
            <a:r>
              <a:rPr lang="en-US" sz="1400" b="1" i="0" u="none" strike="noStrike" kern="1200" spc="0" baseline="0">
                <a:solidFill>
                  <a:schemeClr val="bg1"/>
                </a:solidFill>
              </a:rPr>
              <a:t>(</a:t>
            </a:r>
            <a:r>
              <a:rPr lang="en-US" sz="1400" b="1" i="0" u="none" strike="noStrike" kern="1200" cap="all" spc="0" baseline="0">
                <a:solidFill>
                  <a:schemeClr val="bg1"/>
                </a:solidFill>
                <a:effectLst/>
              </a:rPr>
              <a:t>₹)</a:t>
            </a:r>
            <a:endParaRPr lang="en-US" b="1">
              <a:solidFill>
                <a:schemeClr val="bg1"/>
              </a:solidFill>
            </a:endParaRPr>
          </a:p>
        </c:rich>
      </c:tx>
      <c:layout>
        <c:manualLayout>
          <c:xMode val="edge"/>
          <c:yMode val="edge"/>
          <c:x val="3.3797261828757891E-2"/>
          <c:y val="3.29566854990583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pivotFmt>
      <c:pivotFmt>
        <c:idx val="2"/>
        <c:spPr>
          <a:solidFill>
            <a:srgbClr val="FFD600">
              <a:alpha val="96863"/>
            </a:srgbClr>
          </a:solidFill>
          <a:ln>
            <a:noFill/>
          </a:ln>
          <a:effectLst/>
        </c:spPr>
      </c:pivotFmt>
      <c:pivotFmt>
        <c:idx val="3"/>
        <c:spPr>
          <a:solidFill>
            <a:srgbClr val="AEEA00"/>
          </a:solidFill>
          <a:ln>
            <a:noFill/>
          </a:ln>
          <a:effectLst/>
        </c:spPr>
      </c:pivotFmt>
      <c:pivotFmt>
        <c:idx val="4"/>
        <c:spPr>
          <a:solidFill>
            <a:srgbClr val="76FF03"/>
          </a:solidFill>
          <a:ln>
            <a:noFill/>
          </a:ln>
          <a:effectLst/>
        </c:spPr>
      </c:pivotFmt>
      <c:pivotFmt>
        <c:idx val="5"/>
        <c:spPr>
          <a:solidFill>
            <a:srgbClr val="00E676"/>
          </a:solidFill>
          <a:ln>
            <a:noFill/>
          </a:ln>
          <a:effectLst/>
        </c:spPr>
      </c:pivotFmt>
      <c:pivotFmt>
        <c:idx val="6"/>
        <c:spPr>
          <a:solidFill>
            <a:srgbClr val="1DE9B6"/>
          </a:solidFill>
          <a:ln>
            <a:noFill/>
          </a:ln>
          <a:effectLst/>
        </c:spPr>
      </c:pivotFmt>
      <c:pivotFmt>
        <c:idx val="7"/>
        <c:spPr>
          <a:solidFill>
            <a:srgbClr val="00E5FF"/>
          </a:solidFill>
          <a:ln>
            <a:noFill/>
          </a:ln>
          <a:effectLst/>
        </c:spPr>
      </c:pivotFmt>
      <c:pivotFmt>
        <c:idx val="8"/>
        <c:spPr>
          <a:solidFill>
            <a:srgbClr val="2979FF"/>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9900"/>
          </a:solidFill>
          <a:ln>
            <a:noFill/>
          </a:ln>
          <a:effectLst/>
        </c:spPr>
      </c:pivotFmt>
      <c:pivotFmt>
        <c:idx val="11"/>
        <c:spPr>
          <a:solidFill>
            <a:srgbClr val="FFD600">
              <a:alpha val="96863"/>
            </a:srgbClr>
          </a:solidFill>
          <a:ln>
            <a:noFill/>
          </a:ln>
          <a:effectLst/>
        </c:spPr>
      </c:pivotFmt>
      <c:pivotFmt>
        <c:idx val="12"/>
        <c:spPr>
          <a:solidFill>
            <a:srgbClr val="AEEA00"/>
          </a:solidFill>
          <a:ln>
            <a:noFill/>
          </a:ln>
          <a:effectLst/>
        </c:spPr>
      </c:pivotFmt>
      <c:pivotFmt>
        <c:idx val="13"/>
        <c:spPr>
          <a:solidFill>
            <a:srgbClr val="76FF03"/>
          </a:solidFill>
          <a:ln>
            <a:noFill/>
          </a:ln>
          <a:effectLst/>
        </c:spPr>
      </c:pivotFmt>
      <c:pivotFmt>
        <c:idx val="14"/>
        <c:spPr>
          <a:solidFill>
            <a:srgbClr val="00E676"/>
          </a:solidFill>
          <a:ln>
            <a:noFill/>
          </a:ln>
          <a:effectLst/>
        </c:spPr>
      </c:pivotFmt>
      <c:pivotFmt>
        <c:idx val="15"/>
        <c:spPr>
          <a:solidFill>
            <a:srgbClr val="1DE9B6"/>
          </a:solidFill>
          <a:ln>
            <a:noFill/>
          </a:ln>
          <a:effectLst/>
        </c:spPr>
      </c:pivotFmt>
      <c:pivotFmt>
        <c:idx val="16"/>
        <c:spPr>
          <a:solidFill>
            <a:srgbClr val="00E5FF"/>
          </a:solidFill>
          <a:ln>
            <a:noFill/>
          </a:ln>
          <a:effectLst/>
        </c:spPr>
      </c:pivotFmt>
      <c:pivotFmt>
        <c:idx val="17"/>
        <c:spPr>
          <a:solidFill>
            <a:srgbClr val="2979FF"/>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9900"/>
          </a:solidFill>
          <a:ln>
            <a:noFill/>
          </a:ln>
          <a:effectLst/>
        </c:spPr>
      </c:pivotFmt>
      <c:pivotFmt>
        <c:idx val="20"/>
        <c:spPr>
          <a:solidFill>
            <a:srgbClr val="FFD600">
              <a:alpha val="96863"/>
            </a:srgbClr>
          </a:solidFill>
          <a:ln>
            <a:noFill/>
          </a:ln>
          <a:effectLst/>
        </c:spPr>
      </c:pivotFmt>
      <c:pivotFmt>
        <c:idx val="21"/>
        <c:spPr>
          <a:solidFill>
            <a:srgbClr val="AEEA00"/>
          </a:solidFill>
          <a:ln>
            <a:noFill/>
          </a:ln>
          <a:effectLst/>
        </c:spPr>
      </c:pivotFmt>
      <c:pivotFmt>
        <c:idx val="22"/>
        <c:spPr>
          <a:solidFill>
            <a:srgbClr val="76FF03"/>
          </a:solidFill>
          <a:ln>
            <a:noFill/>
          </a:ln>
          <a:effectLst/>
        </c:spPr>
      </c:pivotFmt>
      <c:pivotFmt>
        <c:idx val="23"/>
        <c:spPr>
          <a:solidFill>
            <a:srgbClr val="00E676"/>
          </a:solidFill>
          <a:ln>
            <a:noFill/>
          </a:ln>
          <a:effectLst/>
        </c:spPr>
      </c:pivotFmt>
      <c:pivotFmt>
        <c:idx val="24"/>
        <c:spPr>
          <a:solidFill>
            <a:srgbClr val="1DE9B6"/>
          </a:solidFill>
          <a:ln>
            <a:noFill/>
          </a:ln>
          <a:effectLst/>
        </c:spPr>
      </c:pivotFmt>
      <c:pivotFmt>
        <c:idx val="25"/>
        <c:spPr>
          <a:solidFill>
            <a:srgbClr val="00E5FF"/>
          </a:solidFill>
          <a:ln>
            <a:noFill/>
          </a:ln>
          <a:effectLst/>
        </c:spPr>
      </c:pivotFmt>
      <c:pivotFmt>
        <c:idx val="26"/>
        <c:spPr>
          <a:solidFill>
            <a:srgbClr val="2979FF"/>
          </a:solidFill>
          <a:ln>
            <a:noFill/>
          </a:ln>
          <a:effectLst/>
        </c:spPr>
      </c:pivotFmt>
    </c:pivotFmts>
    <c:plotArea>
      <c:layout/>
      <c:barChart>
        <c:barDir val="col"/>
        <c:grouping val="clustered"/>
        <c:varyColors val="0"/>
        <c:ser>
          <c:idx val="0"/>
          <c:order val="0"/>
          <c:tx>
            <c:strRef>
              <c:f>'Pivot tables'!$S$2</c:f>
              <c:strCache>
                <c:ptCount val="1"/>
                <c:pt idx="0">
                  <c:v>Total</c:v>
                </c:pt>
              </c:strCache>
            </c:strRef>
          </c:tx>
          <c:spPr>
            <a:solidFill>
              <a:schemeClr val="accent1"/>
            </a:solidFill>
            <a:ln>
              <a:noFill/>
            </a:ln>
            <a:effectLst/>
          </c:spPr>
          <c:invertIfNegative val="0"/>
          <c:dPt>
            <c:idx val="0"/>
            <c:invertIfNegative val="0"/>
            <c:bubble3D val="0"/>
            <c:spPr>
              <a:solidFill>
                <a:srgbClr val="FF9900"/>
              </a:solidFill>
              <a:ln>
                <a:noFill/>
              </a:ln>
              <a:effectLst/>
            </c:spPr>
            <c:extLst>
              <c:ext xmlns:c16="http://schemas.microsoft.com/office/drawing/2014/chart" uri="{C3380CC4-5D6E-409C-BE32-E72D297353CC}">
                <c16:uniqueId val="{00000001-2CB8-435D-A7B3-35977B9D1230}"/>
              </c:ext>
            </c:extLst>
          </c:dPt>
          <c:dPt>
            <c:idx val="1"/>
            <c:invertIfNegative val="0"/>
            <c:bubble3D val="0"/>
            <c:spPr>
              <a:solidFill>
                <a:srgbClr val="FFD600">
                  <a:alpha val="96863"/>
                </a:srgbClr>
              </a:solidFill>
              <a:ln>
                <a:noFill/>
              </a:ln>
              <a:effectLst/>
            </c:spPr>
            <c:extLst>
              <c:ext xmlns:c16="http://schemas.microsoft.com/office/drawing/2014/chart" uri="{C3380CC4-5D6E-409C-BE32-E72D297353CC}">
                <c16:uniqueId val="{00000003-2CB8-435D-A7B3-35977B9D1230}"/>
              </c:ext>
            </c:extLst>
          </c:dPt>
          <c:dPt>
            <c:idx val="2"/>
            <c:invertIfNegative val="0"/>
            <c:bubble3D val="0"/>
            <c:spPr>
              <a:solidFill>
                <a:srgbClr val="AEEA00"/>
              </a:solidFill>
              <a:ln>
                <a:noFill/>
              </a:ln>
              <a:effectLst/>
            </c:spPr>
            <c:extLst>
              <c:ext xmlns:c16="http://schemas.microsoft.com/office/drawing/2014/chart" uri="{C3380CC4-5D6E-409C-BE32-E72D297353CC}">
                <c16:uniqueId val="{00000005-2CB8-435D-A7B3-35977B9D1230}"/>
              </c:ext>
            </c:extLst>
          </c:dPt>
          <c:dPt>
            <c:idx val="3"/>
            <c:invertIfNegative val="0"/>
            <c:bubble3D val="0"/>
            <c:spPr>
              <a:solidFill>
                <a:srgbClr val="76FF03"/>
              </a:solidFill>
              <a:ln>
                <a:noFill/>
              </a:ln>
              <a:effectLst/>
            </c:spPr>
            <c:extLst>
              <c:ext xmlns:c16="http://schemas.microsoft.com/office/drawing/2014/chart" uri="{C3380CC4-5D6E-409C-BE32-E72D297353CC}">
                <c16:uniqueId val="{00000007-2CB8-435D-A7B3-35977B9D1230}"/>
              </c:ext>
            </c:extLst>
          </c:dPt>
          <c:dPt>
            <c:idx val="4"/>
            <c:invertIfNegative val="0"/>
            <c:bubble3D val="0"/>
            <c:spPr>
              <a:solidFill>
                <a:srgbClr val="00E676"/>
              </a:solidFill>
              <a:ln>
                <a:noFill/>
              </a:ln>
              <a:effectLst/>
            </c:spPr>
            <c:extLst>
              <c:ext xmlns:c16="http://schemas.microsoft.com/office/drawing/2014/chart" uri="{C3380CC4-5D6E-409C-BE32-E72D297353CC}">
                <c16:uniqueId val="{00000009-2CB8-435D-A7B3-35977B9D1230}"/>
              </c:ext>
            </c:extLst>
          </c:dPt>
          <c:dPt>
            <c:idx val="5"/>
            <c:invertIfNegative val="0"/>
            <c:bubble3D val="0"/>
            <c:spPr>
              <a:solidFill>
                <a:srgbClr val="1DE9B6"/>
              </a:solidFill>
              <a:ln>
                <a:noFill/>
              </a:ln>
              <a:effectLst/>
            </c:spPr>
            <c:extLst>
              <c:ext xmlns:c16="http://schemas.microsoft.com/office/drawing/2014/chart" uri="{C3380CC4-5D6E-409C-BE32-E72D297353CC}">
                <c16:uniqueId val="{0000000B-2CB8-435D-A7B3-35977B9D1230}"/>
              </c:ext>
            </c:extLst>
          </c:dPt>
          <c:dPt>
            <c:idx val="6"/>
            <c:invertIfNegative val="0"/>
            <c:bubble3D val="0"/>
            <c:spPr>
              <a:solidFill>
                <a:srgbClr val="00E5FF"/>
              </a:solidFill>
              <a:ln>
                <a:noFill/>
              </a:ln>
              <a:effectLst/>
            </c:spPr>
            <c:extLst>
              <c:ext xmlns:c16="http://schemas.microsoft.com/office/drawing/2014/chart" uri="{C3380CC4-5D6E-409C-BE32-E72D297353CC}">
                <c16:uniqueId val="{0000000D-2CB8-435D-A7B3-35977B9D1230}"/>
              </c:ext>
            </c:extLst>
          </c:dPt>
          <c:dPt>
            <c:idx val="7"/>
            <c:invertIfNegative val="0"/>
            <c:bubble3D val="0"/>
            <c:spPr>
              <a:solidFill>
                <a:srgbClr val="2979FF"/>
              </a:solidFill>
              <a:ln>
                <a:noFill/>
              </a:ln>
              <a:effectLst/>
            </c:spPr>
            <c:extLst>
              <c:ext xmlns:c16="http://schemas.microsoft.com/office/drawing/2014/chart" uri="{C3380CC4-5D6E-409C-BE32-E72D297353CC}">
                <c16:uniqueId val="{0000000F-2CB8-435D-A7B3-35977B9D123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tables'!$R$3:$R$10</c:f>
              <c:strCache>
                <c:ptCount val="8"/>
                <c:pt idx="0">
                  <c:v>Webcam</c:v>
                </c:pt>
                <c:pt idx="1">
                  <c:v>Sports Shoes</c:v>
                </c:pt>
                <c:pt idx="2">
                  <c:v>Water Bottle</c:v>
                </c:pt>
                <c:pt idx="3">
                  <c:v>Smart Watch</c:v>
                </c:pt>
                <c:pt idx="4">
                  <c:v>Desk Organizer</c:v>
                </c:pt>
                <c:pt idx="5">
                  <c:v>Protein Shaker</c:v>
                </c:pt>
                <c:pt idx="6">
                  <c:v>File Folder</c:v>
                </c:pt>
                <c:pt idx="7">
                  <c:v>Face Serum</c:v>
                </c:pt>
              </c:strCache>
            </c:strRef>
          </c:cat>
          <c:val>
            <c:numRef>
              <c:f>'Pivot tables'!$S$3:$S$10</c:f>
              <c:numCache>
                <c:formatCode>\₹#,##0.00</c:formatCode>
                <c:ptCount val="8"/>
                <c:pt idx="0">
                  <c:v>135707</c:v>
                </c:pt>
                <c:pt idx="1">
                  <c:v>122609</c:v>
                </c:pt>
                <c:pt idx="2">
                  <c:v>121935</c:v>
                </c:pt>
                <c:pt idx="3">
                  <c:v>121102</c:v>
                </c:pt>
                <c:pt idx="4">
                  <c:v>118873</c:v>
                </c:pt>
                <c:pt idx="5">
                  <c:v>115308</c:v>
                </c:pt>
                <c:pt idx="6">
                  <c:v>110961</c:v>
                </c:pt>
                <c:pt idx="7">
                  <c:v>110258</c:v>
                </c:pt>
              </c:numCache>
            </c:numRef>
          </c:val>
          <c:extLst>
            <c:ext xmlns:c16="http://schemas.microsoft.com/office/drawing/2014/chart" uri="{C3380CC4-5D6E-409C-BE32-E72D297353CC}">
              <c16:uniqueId val="{00000010-2CB8-435D-A7B3-35977B9D1230}"/>
            </c:ext>
          </c:extLst>
        </c:ser>
        <c:dLbls>
          <c:showLegendKey val="0"/>
          <c:showVal val="0"/>
          <c:showCatName val="0"/>
          <c:showSerName val="0"/>
          <c:showPercent val="0"/>
          <c:showBubbleSize val="0"/>
        </c:dLbls>
        <c:gapWidth val="219"/>
        <c:overlap val="-27"/>
        <c:axId val="561049600"/>
        <c:axId val="561045280"/>
      </c:barChart>
      <c:catAx>
        <c:axId val="56104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45280"/>
        <c:crosses val="autoZero"/>
        <c:auto val="1"/>
        <c:lblAlgn val="ctr"/>
        <c:lblOffset val="100"/>
        <c:noMultiLvlLbl val="0"/>
      </c:catAx>
      <c:valAx>
        <c:axId val="561045280"/>
        <c:scaling>
          <c:orientation val="minMax"/>
        </c:scaling>
        <c:delete val="0"/>
        <c:axPos val="l"/>
        <c:majorGridlines>
          <c:spPr>
            <a:ln w="9525" cap="flat" cmpd="sng" algn="ctr">
              <a:solidFill>
                <a:srgbClr val="002060">
                  <a:alpha val="70000"/>
                </a:srgb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10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8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12</xdr:row>
      <xdr:rowOff>60960</xdr:rowOff>
    </xdr:from>
    <xdr:to>
      <xdr:col>3</xdr:col>
      <xdr:colOff>434340</xdr:colOff>
      <xdr:row>18</xdr:row>
      <xdr:rowOff>22860</xdr:rowOff>
    </xdr:to>
    <xdr:sp macro="" textlink="">
      <xdr:nvSpPr>
        <xdr:cNvPr id="2" name="Rectangle 1">
          <a:extLst>
            <a:ext uri="{FF2B5EF4-FFF2-40B4-BE49-F238E27FC236}">
              <a16:creationId xmlns:a16="http://schemas.microsoft.com/office/drawing/2014/main" id="{9529DC14-4D77-0D0B-F8D8-7EBD32E3AADE}"/>
            </a:ext>
          </a:extLst>
        </xdr:cNvPr>
        <xdr:cNvSpPr/>
      </xdr:nvSpPr>
      <xdr:spPr>
        <a:xfrm>
          <a:off x="53340" y="2281646"/>
          <a:ext cx="3026229" cy="1072243"/>
        </a:xfrm>
        <a:prstGeom prst="rect">
          <a:avLst/>
        </a:prstGeom>
        <a:solidFill>
          <a:srgbClr val="0F1117"/>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lumMod val="75000"/>
                </a:schemeClr>
              </a:solidFill>
            </a:rPr>
            <a:t>Total Sales</a:t>
          </a:r>
        </a:p>
      </xdr:txBody>
    </xdr:sp>
    <xdr:clientData/>
  </xdr:twoCellAnchor>
  <xdr:twoCellAnchor>
    <xdr:from>
      <xdr:col>3</xdr:col>
      <xdr:colOff>548640</xdr:colOff>
      <xdr:row>12</xdr:row>
      <xdr:rowOff>68580</xdr:rowOff>
    </xdr:from>
    <xdr:to>
      <xdr:col>7</xdr:col>
      <xdr:colOff>320040</xdr:colOff>
      <xdr:row>18</xdr:row>
      <xdr:rowOff>30480</xdr:rowOff>
    </xdr:to>
    <xdr:sp macro="" textlink="">
      <xdr:nvSpPr>
        <xdr:cNvPr id="13" name="Rectangle 12">
          <a:extLst>
            <a:ext uri="{FF2B5EF4-FFF2-40B4-BE49-F238E27FC236}">
              <a16:creationId xmlns:a16="http://schemas.microsoft.com/office/drawing/2014/main" id="{52164D10-73A2-A934-A5C5-786E7AC71E98}"/>
            </a:ext>
          </a:extLst>
        </xdr:cNvPr>
        <xdr:cNvSpPr/>
      </xdr:nvSpPr>
      <xdr:spPr>
        <a:xfrm>
          <a:off x="3193228" y="2220109"/>
          <a:ext cx="3527612" cy="1037665"/>
        </a:xfrm>
        <a:prstGeom prst="rect">
          <a:avLst/>
        </a:prstGeom>
        <a:solidFill>
          <a:srgbClr val="0F1117"/>
        </a:solidFill>
        <a:ln w="285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a:solidFill>
                <a:schemeClr val="bg1">
                  <a:lumMod val="75000"/>
                </a:schemeClr>
              </a:solidFill>
            </a:rPr>
            <a:t>Net Profit</a:t>
          </a:r>
        </a:p>
      </xdr:txBody>
    </xdr:sp>
    <xdr:clientData/>
  </xdr:twoCellAnchor>
  <xdr:twoCellAnchor>
    <xdr:from>
      <xdr:col>7</xdr:col>
      <xdr:colOff>434340</xdr:colOff>
      <xdr:row>12</xdr:row>
      <xdr:rowOff>60960</xdr:rowOff>
    </xdr:from>
    <xdr:to>
      <xdr:col>11</xdr:col>
      <xdr:colOff>205740</xdr:colOff>
      <xdr:row>18</xdr:row>
      <xdr:rowOff>22860</xdr:rowOff>
    </xdr:to>
    <xdr:sp macro="" textlink="">
      <xdr:nvSpPr>
        <xdr:cNvPr id="14" name="Rectangle 13">
          <a:extLst>
            <a:ext uri="{FF2B5EF4-FFF2-40B4-BE49-F238E27FC236}">
              <a16:creationId xmlns:a16="http://schemas.microsoft.com/office/drawing/2014/main" id="{518AC2B8-FE6A-E076-3531-333AED3E16F0}"/>
            </a:ext>
          </a:extLst>
        </xdr:cNvPr>
        <xdr:cNvSpPr/>
      </xdr:nvSpPr>
      <xdr:spPr>
        <a:xfrm>
          <a:off x="6846026" y="2281646"/>
          <a:ext cx="2710543" cy="1072243"/>
        </a:xfrm>
        <a:prstGeom prst="rect">
          <a:avLst/>
        </a:prstGeom>
        <a:solidFill>
          <a:srgbClr val="0F1117"/>
        </a:solid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lumMod val="75000"/>
                </a:schemeClr>
              </a:solidFill>
            </a:rPr>
            <a:t>Total Orders</a:t>
          </a:r>
        </a:p>
      </xdr:txBody>
    </xdr:sp>
    <xdr:clientData/>
  </xdr:twoCellAnchor>
  <xdr:twoCellAnchor>
    <xdr:from>
      <xdr:col>11</xdr:col>
      <xdr:colOff>327660</xdr:colOff>
      <xdr:row>12</xdr:row>
      <xdr:rowOff>83820</xdr:rowOff>
    </xdr:from>
    <xdr:to>
      <xdr:col>15</xdr:col>
      <xdr:colOff>99060</xdr:colOff>
      <xdr:row>18</xdr:row>
      <xdr:rowOff>45720</xdr:rowOff>
    </xdr:to>
    <xdr:sp macro="" textlink="">
      <xdr:nvSpPr>
        <xdr:cNvPr id="15" name="Rectangle 14">
          <a:extLst>
            <a:ext uri="{FF2B5EF4-FFF2-40B4-BE49-F238E27FC236}">
              <a16:creationId xmlns:a16="http://schemas.microsoft.com/office/drawing/2014/main" id="{77761C83-E114-926F-CD01-237C3C8B8F5A}"/>
            </a:ext>
          </a:extLst>
        </xdr:cNvPr>
        <xdr:cNvSpPr/>
      </xdr:nvSpPr>
      <xdr:spPr>
        <a:xfrm>
          <a:off x="9678489" y="2304506"/>
          <a:ext cx="3526971" cy="1072243"/>
        </a:xfrm>
        <a:prstGeom prst="rect">
          <a:avLst/>
        </a:prstGeom>
        <a:solidFill>
          <a:srgbClr val="0F1117"/>
        </a:solid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lumMod val="75000"/>
                </a:schemeClr>
              </a:solidFill>
            </a:rPr>
            <a:t>AVG Margin %</a:t>
          </a:r>
        </a:p>
      </xdr:txBody>
    </xdr:sp>
    <xdr:clientData/>
  </xdr:twoCellAnchor>
  <xdr:twoCellAnchor>
    <xdr:from>
      <xdr:col>15</xdr:col>
      <xdr:colOff>205740</xdr:colOff>
      <xdr:row>12</xdr:row>
      <xdr:rowOff>76200</xdr:rowOff>
    </xdr:from>
    <xdr:to>
      <xdr:col>18</xdr:col>
      <xdr:colOff>586740</xdr:colOff>
      <xdr:row>18</xdr:row>
      <xdr:rowOff>38100</xdr:rowOff>
    </xdr:to>
    <xdr:sp macro="" textlink="">
      <xdr:nvSpPr>
        <xdr:cNvPr id="16" name="Rectangle 15">
          <a:extLst>
            <a:ext uri="{FF2B5EF4-FFF2-40B4-BE49-F238E27FC236}">
              <a16:creationId xmlns:a16="http://schemas.microsoft.com/office/drawing/2014/main" id="{E81E0D1B-5C15-962B-B55B-8F75133BCAB3}"/>
            </a:ext>
          </a:extLst>
        </xdr:cNvPr>
        <xdr:cNvSpPr/>
      </xdr:nvSpPr>
      <xdr:spPr>
        <a:xfrm>
          <a:off x="13312140" y="2296886"/>
          <a:ext cx="3211286" cy="1072243"/>
        </a:xfrm>
        <a:prstGeom prst="rect">
          <a:avLst/>
        </a:prstGeom>
        <a:solidFill>
          <a:srgbClr val="0F1117"/>
        </a:solid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lumMod val="75000"/>
                </a:schemeClr>
              </a:solidFill>
            </a:rPr>
            <a:t>Units Sold</a:t>
          </a:r>
        </a:p>
      </xdr:txBody>
    </xdr:sp>
    <xdr:clientData/>
  </xdr:twoCellAnchor>
  <xdr:twoCellAnchor>
    <xdr:from>
      <xdr:col>19</xdr:col>
      <xdr:colOff>76200</xdr:colOff>
      <xdr:row>12</xdr:row>
      <xdr:rowOff>60960</xdr:rowOff>
    </xdr:from>
    <xdr:to>
      <xdr:col>22</xdr:col>
      <xdr:colOff>457200</xdr:colOff>
      <xdr:row>18</xdr:row>
      <xdr:rowOff>22860</xdr:rowOff>
    </xdr:to>
    <xdr:sp macro="" textlink="">
      <xdr:nvSpPr>
        <xdr:cNvPr id="17" name="Rectangle 16">
          <a:extLst>
            <a:ext uri="{FF2B5EF4-FFF2-40B4-BE49-F238E27FC236}">
              <a16:creationId xmlns:a16="http://schemas.microsoft.com/office/drawing/2014/main" id="{F0A7A313-C7B0-3E42-2052-8985161C40ED}"/>
            </a:ext>
          </a:extLst>
        </xdr:cNvPr>
        <xdr:cNvSpPr/>
      </xdr:nvSpPr>
      <xdr:spPr>
        <a:xfrm>
          <a:off x="16796657" y="2281646"/>
          <a:ext cx="2732314" cy="1072243"/>
        </a:xfrm>
        <a:prstGeom prst="rect">
          <a:avLst/>
        </a:prstGeom>
        <a:solidFill>
          <a:srgbClr val="0F1117"/>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1">
                  <a:lumMod val="75000"/>
                </a:schemeClr>
              </a:solidFill>
            </a:rPr>
            <a:t>Returns</a:t>
          </a:r>
        </a:p>
      </xdr:txBody>
    </xdr:sp>
    <xdr:clientData/>
  </xdr:twoCellAnchor>
  <xdr:twoCellAnchor>
    <xdr:from>
      <xdr:col>0</xdr:col>
      <xdr:colOff>522513</xdr:colOff>
      <xdr:row>14</xdr:row>
      <xdr:rowOff>95793</xdr:rowOff>
    </xdr:from>
    <xdr:to>
      <xdr:col>2</xdr:col>
      <xdr:colOff>870856</xdr:colOff>
      <xdr:row>17</xdr:row>
      <xdr:rowOff>10885</xdr:rowOff>
    </xdr:to>
    <xdr:sp macro="" textlink="'KPI formulas'!A3">
      <xdr:nvSpPr>
        <xdr:cNvPr id="18" name="TextBox 17">
          <a:extLst>
            <a:ext uri="{FF2B5EF4-FFF2-40B4-BE49-F238E27FC236}">
              <a16:creationId xmlns:a16="http://schemas.microsoft.com/office/drawing/2014/main" id="{1E321CBD-A5CF-FDB5-FBB7-3F0C5F5D1707}"/>
            </a:ext>
          </a:extLst>
        </xdr:cNvPr>
        <xdr:cNvSpPr txBox="1"/>
      </xdr:nvSpPr>
      <xdr:spPr>
        <a:xfrm>
          <a:off x="522513" y="2686593"/>
          <a:ext cx="2111829" cy="470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F5C4EE9-DC56-4063-BCFC-8CE4574D8FB1}" type="TxLink">
            <a:rPr lang="en-US" sz="2400" b="0" i="0" u="none" strike="noStrike">
              <a:solidFill>
                <a:schemeClr val="bg1"/>
              </a:solidFill>
              <a:latin typeface="Calibri"/>
              <a:ea typeface="Calibri"/>
              <a:cs typeface="Calibri"/>
            </a:rPr>
            <a:pPr algn="ctr"/>
            <a:t>₹3,604,795</a:t>
          </a:fld>
          <a:endParaRPr lang="en-US" sz="2400">
            <a:solidFill>
              <a:schemeClr val="bg1"/>
            </a:solidFill>
          </a:endParaRPr>
        </a:p>
      </xdr:txBody>
    </xdr:sp>
    <xdr:clientData/>
  </xdr:twoCellAnchor>
  <xdr:twoCellAnchor>
    <xdr:from>
      <xdr:col>3</xdr:col>
      <xdr:colOff>898071</xdr:colOff>
      <xdr:row>14</xdr:row>
      <xdr:rowOff>52251</xdr:rowOff>
    </xdr:from>
    <xdr:to>
      <xdr:col>7</xdr:col>
      <xdr:colOff>34834</xdr:colOff>
      <xdr:row>17</xdr:row>
      <xdr:rowOff>97972</xdr:rowOff>
    </xdr:to>
    <xdr:sp macro="" textlink="'KPI formulas'!A6">
      <xdr:nvSpPr>
        <xdr:cNvPr id="20" name="TextBox 19">
          <a:extLst>
            <a:ext uri="{FF2B5EF4-FFF2-40B4-BE49-F238E27FC236}">
              <a16:creationId xmlns:a16="http://schemas.microsoft.com/office/drawing/2014/main" id="{222157E3-11B0-1CFC-0196-A33423384E7C}"/>
            </a:ext>
          </a:extLst>
        </xdr:cNvPr>
        <xdr:cNvSpPr txBox="1"/>
      </xdr:nvSpPr>
      <xdr:spPr>
        <a:xfrm>
          <a:off x="3543300" y="2643051"/>
          <a:ext cx="2903220" cy="600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7C0DDE-76D0-4A61-852C-1951BCDD95A2}" type="TxLink">
            <a:rPr lang="en-US" sz="2400" b="0" i="0" u="none" strike="noStrike">
              <a:solidFill>
                <a:schemeClr val="bg1"/>
              </a:solidFill>
              <a:latin typeface="Calibri"/>
              <a:ea typeface="Calibri"/>
              <a:cs typeface="Calibri"/>
            </a:rPr>
            <a:pPr algn="ctr"/>
            <a:t>₹1,215,011</a:t>
          </a:fld>
          <a:endParaRPr lang="en-US" sz="2400">
            <a:solidFill>
              <a:schemeClr val="bg1"/>
            </a:solidFill>
          </a:endParaRPr>
        </a:p>
      </xdr:txBody>
    </xdr:sp>
    <xdr:clientData/>
  </xdr:twoCellAnchor>
  <xdr:twoCellAnchor>
    <xdr:from>
      <xdr:col>12</xdr:col>
      <xdr:colOff>470263</xdr:colOff>
      <xdr:row>14</xdr:row>
      <xdr:rowOff>111034</xdr:rowOff>
    </xdr:from>
    <xdr:to>
      <xdr:col>14</xdr:col>
      <xdr:colOff>396239</xdr:colOff>
      <xdr:row>16</xdr:row>
      <xdr:rowOff>141514</xdr:rowOff>
    </xdr:to>
    <xdr:sp macro="" textlink="'KPI formulas'!A12">
      <xdr:nvSpPr>
        <xdr:cNvPr id="24" name="TextBox 23">
          <a:extLst>
            <a:ext uri="{FF2B5EF4-FFF2-40B4-BE49-F238E27FC236}">
              <a16:creationId xmlns:a16="http://schemas.microsoft.com/office/drawing/2014/main" id="{6D8A9F6A-3E41-0955-3AD4-00D6D10D1C4C}"/>
            </a:ext>
          </a:extLst>
        </xdr:cNvPr>
        <xdr:cNvSpPr txBox="1"/>
      </xdr:nvSpPr>
      <xdr:spPr>
        <a:xfrm>
          <a:off x="10604863" y="2701834"/>
          <a:ext cx="1689462" cy="40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08BC31-CB8C-4DE4-8505-3EC285F3DDA2}" type="TxLink">
            <a:rPr lang="en-US" sz="2400" b="0" i="0" u="none" strike="noStrike">
              <a:solidFill>
                <a:schemeClr val="bg1"/>
              </a:solidFill>
              <a:latin typeface="Calibri"/>
              <a:ea typeface="Calibri"/>
              <a:cs typeface="Calibri"/>
            </a:rPr>
            <a:pPr algn="ctr"/>
            <a:t>27.8%</a:t>
          </a:fld>
          <a:endParaRPr lang="en-US" sz="2400">
            <a:solidFill>
              <a:schemeClr val="bg1"/>
            </a:solidFill>
          </a:endParaRPr>
        </a:p>
      </xdr:txBody>
    </xdr:sp>
    <xdr:clientData/>
  </xdr:twoCellAnchor>
  <xdr:twoCellAnchor>
    <xdr:from>
      <xdr:col>15</xdr:col>
      <xdr:colOff>598714</xdr:colOff>
      <xdr:row>14</xdr:row>
      <xdr:rowOff>66403</xdr:rowOff>
    </xdr:from>
    <xdr:to>
      <xdr:col>18</xdr:col>
      <xdr:colOff>157842</xdr:colOff>
      <xdr:row>16</xdr:row>
      <xdr:rowOff>112123</xdr:rowOff>
    </xdr:to>
    <xdr:sp macro="" textlink="'KPI formulas'!A15">
      <xdr:nvSpPr>
        <xdr:cNvPr id="26" name="TextBox 25">
          <a:extLst>
            <a:ext uri="{FF2B5EF4-FFF2-40B4-BE49-F238E27FC236}">
              <a16:creationId xmlns:a16="http://schemas.microsoft.com/office/drawing/2014/main" id="{7D957060-A78B-627A-25F9-5E8E79B55F35}"/>
            </a:ext>
          </a:extLst>
        </xdr:cNvPr>
        <xdr:cNvSpPr txBox="1"/>
      </xdr:nvSpPr>
      <xdr:spPr>
        <a:xfrm>
          <a:off x="13705114" y="2657203"/>
          <a:ext cx="2389414" cy="415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995BDF-D3B3-4C6C-8E25-3C7BA12FFC45}" type="TxLink">
            <a:rPr lang="en-US" sz="2400" b="0" i="0" u="none" strike="noStrike">
              <a:solidFill>
                <a:schemeClr val="bg1"/>
              </a:solidFill>
              <a:latin typeface="Calibri"/>
              <a:ea typeface="Calibri"/>
              <a:cs typeface="Calibri"/>
            </a:rPr>
            <a:pPr algn="ctr"/>
            <a:t>1686</a:t>
          </a:fld>
          <a:endParaRPr lang="en-US" sz="2400">
            <a:solidFill>
              <a:schemeClr val="bg1"/>
            </a:solidFill>
          </a:endParaRPr>
        </a:p>
      </xdr:txBody>
    </xdr:sp>
    <xdr:clientData/>
  </xdr:twoCellAnchor>
  <xdr:twoCellAnchor>
    <xdr:from>
      <xdr:col>20</xdr:col>
      <xdr:colOff>341811</xdr:colOff>
      <xdr:row>14</xdr:row>
      <xdr:rowOff>103414</xdr:rowOff>
    </xdr:from>
    <xdr:to>
      <xdr:col>21</xdr:col>
      <xdr:colOff>60960</xdr:colOff>
      <xdr:row>16</xdr:row>
      <xdr:rowOff>179614</xdr:rowOff>
    </xdr:to>
    <xdr:sp macro="" textlink="'KPI formulas'!A18">
      <xdr:nvSpPr>
        <xdr:cNvPr id="28" name="TextBox 27">
          <a:extLst>
            <a:ext uri="{FF2B5EF4-FFF2-40B4-BE49-F238E27FC236}">
              <a16:creationId xmlns:a16="http://schemas.microsoft.com/office/drawing/2014/main" id="{21BDAF3E-4C13-246A-7F26-12B6F8BDB3F6}"/>
            </a:ext>
          </a:extLst>
        </xdr:cNvPr>
        <xdr:cNvSpPr txBox="1"/>
      </xdr:nvSpPr>
      <xdr:spPr>
        <a:xfrm>
          <a:off x="17846040" y="2694214"/>
          <a:ext cx="502920"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483319-199B-459F-9849-7484F4D5AB7D}" type="TxLink">
            <a:rPr lang="en-US" sz="2400" b="0" i="0" u="none" strike="noStrike">
              <a:solidFill>
                <a:schemeClr val="bg1"/>
              </a:solidFill>
              <a:latin typeface="Calibri"/>
              <a:ea typeface="Calibri"/>
              <a:cs typeface="Calibri"/>
            </a:rPr>
            <a:pPr algn="ctr"/>
            <a:t>91</a:t>
          </a:fld>
          <a:endParaRPr lang="en-US" sz="2400">
            <a:solidFill>
              <a:schemeClr val="bg1"/>
            </a:solidFill>
          </a:endParaRPr>
        </a:p>
      </xdr:txBody>
    </xdr:sp>
    <xdr:clientData/>
  </xdr:twoCellAnchor>
  <xdr:twoCellAnchor>
    <xdr:from>
      <xdr:col>0</xdr:col>
      <xdr:colOff>71269</xdr:colOff>
      <xdr:row>18</xdr:row>
      <xdr:rowOff>123265</xdr:rowOff>
    </xdr:from>
    <xdr:to>
      <xdr:col>11</xdr:col>
      <xdr:colOff>475129</xdr:colOff>
      <xdr:row>34</xdr:row>
      <xdr:rowOff>47065</xdr:rowOff>
    </xdr:to>
    <xdr:graphicFrame macro="">
      <xdr:nvGraphicFramePr>
        <xdr:cNvPr id="30" name="Chart 29">
          <a:extLst>
            <a:ext uri="{FF2B5EF4-FFF2-40B4-BE49-F238E27FC236}">
              <a16:creationId xmlns:a16="http://schemas.microsoft.com/office/drawing/2014/main" id="{ED27B5DD-8595-46EB-B576-AA76A78F5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550882</xdr:colOff>
      <xdr:row>18</xdr:row>
      <xdr:rowOff>108025</xdr:rowOff>
    </xdr:from>
    <xdr:to>
      <xdr:col>22</xdr:col>
      <xdr:colOff>467062</xdr:colOff>
      <xdr:row>34</xdr:row>
      <xdr:rowOff>85165</xdr:rowOff>
    </xdr:to>
    <xdr:graphicFrame macro="">
      <xdr:nvGraphicFramePr>
        <xdr:cNvPr id="31" name="Chart 30">
          <a:extLst>
            <a:ext uri="{FF2B5EF4-FFF2-40B4-BE49-F238E27FC236}">
              <a16:creationId xmlns:a16="http://schemas.microsoft.com/office/drawing/2014/main" id="{0A28FB94-2DB5-4D48-89EB-D749D761D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34</xdr:row>
      <xdr:rowOff>99060</xdr:rowOff>
    </xdr:from>
    <xdr:to>
      <xdr:col>11</xdr:col>
      <xdr:colOff>472440</xdr:colOff>
      <xdr:row>50</xdr:row>
      <xdr:rowOff>114300</xdr:rowOff>
    </xdr:to>
    <xdr:graphicFrame macro="">
      <xdr:nvGraphicFramePr>
        <xdr:cNvPr id="32" name="Chart 31">
          <a:extLst>
            <a:ext uri="{FF2B5EF4-FFF2-40B4-BE49-F238E27FC236}">
              <a16:creationId xmlns:a16="http://schemas.microsoft.com/office/drawing/2014/main" id="{287D440D-0E11-4D1B-ACF3-149B8EC52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601980</xdr:colOff>
      <xdr:row>34</xdr:row>
      <xdr:rowOff>99060</xdr:rowOff>
    </xdr:from>
    <xdr:to>
      <xdr:col>17</xdr:col>
      <xdr:colOff>312420</xdr:colOff>
      <xdr:row>51</xdr:row>
      <xdr:rowOff>0</xdr:rowOff>
    </xdr:to>
    <xdr:graphicFrame macro="">
      <xdr:nvGraphicFramePr>
        <xdr:cNvPr id="33" name="Chart 32">
          <a:extLst>
            <a:ext uri="{FF2B5EF4-FFF2-40B4-BE49-F238E27FC236}">
              <a16:creationId xmlns:a16="http://schemas.microsoft.com/office/drawing/2014/main" id="{DCC16417-D449-4437-95B3-4276C334C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365760</xdr:colOff>
      <xdr:row>34</xdr:row>
      <xdr:rowOff>91440</xdr:rowOff>
    </xdr:from>
    <xdr:to>
      <xdr:col>22</xdr:col>
      <xdr:colOff>480060</xdr:colOff>
      <xdr:row>50</xdr:row>
      <xdr:rowOff>175260</xdr:rowOff>
    </xdr:to>
    <xdr:graphicFrame macro="">
      <xdr:nvGraphicFramePr>
        <xdr:cNvPr id="34" name="Chart 33">
          <a:extLst>
            <a:ext uri="{FF2B5EF4-FFF2-40B4-BE49-F238E27FC236}">
              <a16:creationId xmlns:a16="http://schemas.microsoft.com/office/drawing/2014/main" id="{014510AB-F98F-4119-BF1F-1D9A24351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571500</xdr:colOff>
      <xdr:row>51</xdr:row>
      <xdr:rowOff>76201</xdr:rowOff>
    </xdr:from>
    <xdr:to>
      <xdr:col>22</xdr:col>
      <xdr:colOff>510540</xdr:colOff>
      <xdr:row>67</xdr:row>
      <xdr:rowOff>80684</xdr:rowOff>
    </xdr:to>
    <xdr:graphicFrame macro="">
      <xdr:nvGraphicFramePr>
        <xdr:cNvPr id="35" name="Chart 34">
          <a:extLst>
            <a:ext uri="{FF2B5EF4-FFF2-40B4-BE49-F238E27FC236}">
              <a16:creationId xmlns:a16="http://schemas.microsoft.com/office/drawing/2014/main" id="{1C1360D5-C6A5-454B-844D-3B93F9627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18826</xdr:colOff>
      <xdr:row>50</xdr:row>
      <xdr:rowOff>154643</xdr:rowOff>
    </xdr:from>
    <xdr:to>
      <xdr:col>11</xdr:col>
      <xdr:colOff>476026</xdr:colOff>
      <xdr:row>67</xdr:row>
      <xdr:rowOff>44825</xdr:rowOff>
    </xdr:to>
    <xdr:graphicFrame macro="">
      <xdr:nvGraphicFramePr>
        <xdr:cNvPr id="36" name="Chart 35">
          <a:extLst>
            <a:ext uri="{FF2B5EF4-FFF2-40B4-BE49-F238E27FC236}">
              <a16:creationId xmlns:a16="http://schemas.microsoft.com/office/drawing/2014/main" id="{A3EC18CF-ED08-42D7-8668-120466C3E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17928</xdr:rowOff>
    </xdr:from>
    <xdr:to>
      <xdr:col>22</xdr:col>
      <xdr:colOff>484094</xdr:colOff>
      <xdr:row>3</xdr:row>
      <xdr:rowOff>125506</xdr:rowOff>
    </xdr:to>
    <xdr:sp macro="" textlink="">
      <xdr:nvSpPr>
        <xdr:cNvPr id="37" name="Rectangle: Rounded Corners 36">
          <a:extLst>
            <a:ext uri="{FF2B5EF4-FFF2-40B4-BE49-F238E27FC236}">
              <a16:creationId xmlns:a16="http://schemas.microsoft.com/office/drawing/2014/main" id="{5A1021E5-6269-6174-6C6C-04B88819445A}"/>
            </a:ext>
          </a:extLst>
        </xdr:cNvPr>
        <xdr:cNvSpPr/>
      </xdr:nvSpPr>
      <xdr:spPr>
        <a:xfrm>
          <a:off x="0" y="17928"/>
          <a:ext cx="19686494" cy="6562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              </a:t>
          </a:r>
          <a:r>
            <a:rPr lang="en-US" sz="1000">
              <a:solidFill>
                <a:schemeClr val="accent6"/>
              </a:solidFill>
            </a:rPr>
            <a:t>   </a:t>
          </a:r>
          <a:r>
            <a:rPr lang="en-US" sz="2000">
              <a:solidFill>
                <a:schemeClr val="accent6"/>
              </a:solidFill>
            </a:rPr>
            <a:t>AMAZON </a:t>
          </a:r>
          <a:r>
            <a:rPr lang="en-US" sz="2000"/>
            <a:t>SELLER </a:t>
          </a:r>
          <a:r>
            <a:rPr lang="en-US" sz="2000">
              <a:solidFill>
                <a:schemeClr val="accent6"/>
              </a:solidFill>
            </a:rPr>
            <a:t>ANALYTICS</a:t>
          </a:r>
          <a:endParaRPr lang="en-US" sz="1000">
            <a:solidFill>
              <a:schemeClr val="accent6"/>
            </a:solidFill>
          </a:endParaRPr>
        </a:p>
        <a:p>
          <a:pPr algn="l"/>
          <a:r>
            <a:rPr lang="en-US" sz="1000"/>
            <a:t>                 </a:t>
          </a:r>
          <a:r>
            <a:rPr lang="en-US" sz="1050">
              <a:solidFill>
                <a:schemeClr val="bg1">
                  <a:lumMod val="85000"/>
                </a:schemeClr>
              </a:solidFill>
            </a:rPr>
            <a:t>Interactive Dashboard · 300 Orders · FY 2023–2024</a:t>
          </a:r>
          <a:endParaRPr lang="en-US" sz="1000">
            <a:solidFill>
              <a:schemeClr val="bg1">
                <a:lumMod val="85000"/>
              </a:schemeClr>
            </a:solidFill>
          </a:endParaRPr>
        </a:p>
      </xdr:txBody>
    </xdr:sp>
    <xdr:clientData/>
  </xdr:twoCellAnchor>
  <xdr:twoCellAnchor editAs="oneCell">
    <xdr:from>
      <xdr:col>0</xdr:col>
      <xdr:colOff>0</xdr:colOff>
      <xdr:row>0</xdr:row>
      <xdr:rowOff>53788</xdr:rowOff>
    </xdr:from>
    <xdr:to>
      <xdr:col>0</xdr:col>
      <xdr:colOff>573742</xdr:colOff>
      <xdr:row>3</xdr:row>
      <xdr:rowOff>89647</xdr:rowOff>
    </xdr:to>
    <xdr:pic>
      <xdr:nvPicPr>
        <xdr:cNvPr id="41" name="Picture 40">
          <a:extLst>
            <a:ext uri="{FF2B5EF4-FFF2-40B4-BE49-F238E27FC236}">
              <a16:creationId xmlns:a16="http://schemas.microsoft.com/office/drawing/2014/main" id="{87DE5ED7-A9A3-4BAE-B9E7-0A1FF72344D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53788"/>
          <a:ext cx="573742" cy="573741"/>
        </a:xfrm>
        <a:prstGeom prst="rect">
          <a:avLst/>
        </a:prstGeom>
      </xdr:spPr>
    </xdr:pic>
    <xdr:clientData/>
  </xdr:twoCellAnchor>
  <xdr:twoCellAnchor>
    <xdr:from>
      <xdr:col>0</xdr:col>
      <xdr:colOff>179293</xdr:colOff>
      <xdr:row>35</xdr:row>
      <xdr:rowOff>53788</xdr:rowOff>
    </xdr:from>
    <xdr:to>
      <xdr:col>0</xdr:col>
      <xdr:colOff>304799</xdr:colOff>
      <xdr:row>35</xdr:row>
      <xdr:rowOff>161364</xdr:rowOff>
    </xdr:to>
    <xdr:sp macro="" textlink="">
      <xdr:nvSpPr>
        <xdr:cNvPr id="42" name="Rectangle 41">
          <a:extLst>
            <a:ext uri="{FF2B5EF4-FFF2-40B4-BE49-F238E27FC236}">
              <a16:creationId xmlns:a16="http://schemas.microsoft.com/office/drawing/2014/main" id="{2808E930-74FF-73D9-083F-97C3CA887437}"/>
            </a:ext>
          </a:extLst>
        </xdr:cNvPr>
        <xdr:cNvSpPr/>
      </xdr:nvSpPr>
      <xdr:spPr>
        <a:xfrm>
          <a:off x="179293" y="5611906"/>
          <a:ext cx="125506" cy="107576"/>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627529</xdr:colOff>
      <xdr:row>35</xdr:row>
      <xdr:rowOff>116540</xdr:rowOff>
    </xdr:from>
    <xdr:to>
      <xdr:col>11</xdr:col>
      <xdr:colOff>761999</xdr:colOff>
      <xdr:row>36</xdr:row>
      <xdr:rowOff>71717</xdr:rowOff>
    </xdr:to>
    <xdr:sp macro="" textlink="">
      <xdr:nvSpPr>
        <xdr:cNvPr id="43" name="Rectangle 42">
          <a:extLst>
            <a:ext uri="{FF2B5EF4-FFF2-40B4-BE49-F238E27FC236}">
              <a16:creationId xmlns:a16="http://schemas.microsoft.com/office/drawing/2014/main" id="{2E191B27-E5B8-CEFF-04A4-EB617DBAAE91}"/>
            </a:ext>
          </a:extLst>
        </xdr:cNvPr>
        <xdr:cNvSpPr/>
      </xdr:nvSpPr>
      <xdr:spPr>
        <a:xfrm>
          <a:off x="9968753" y="5674658"/>
          <a:ext cx="134470" cy="134471"/>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430306</xdr:colOff>
      <xdr:row>35</xdr:row>
      <xdr:rowOff>116540</xdr:rowOff>
    </xdr:from>
    <xdr:to>
      <xdr:col>17</xdr:col>
      <xdr:colOff>564776</xdr:colOff>
      <xdr:row>36</xdr:row>
      <xdr:rowOff>71717</xdr:rowOff>
    </xdr:to>
    <xdr:sp macro="" textlink="">
      <xdr:nvSpPr>
        <xdr:cNvPr id="44" name="Rectangle 43">
          <a:extLst>
            <a:ext uri="{FF2B5EF4-FFF2-40B4-BE49-F238E27FC236}">
              <a16:creationId xmlns:a16="http://schemas.microsoft.com/office/drawing/2014/main" id="{93C1031F-FD1D-DB6A-892C-3D957F862BAB}"/>
            </a:ext>
          </a:extLst>
        </xdr:cNvPr>
        <xdr:cNvSpPr/>
      </xdr:nvSpPr>
      <xdr:spPr>
        <a:xfrm>
          <a:off x="14702118" y="5674658"/>
          <a:ext cx="134470" cy="134471"/>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161365</xdr:colOff>
      <xdr:row>51</xdr:row>
      <xdr:rowOff>125505</xdr:rowOff>
    </xdr:from>
    <xdr:to>
      <xdr:col>0</xdr:col>
      <xdr:colOff>277906</xdr:colOff>
      <xdr:row>52</xdr:row>
      <xdr:rowOff>53788</xdr:rowOff>
    </xdr:to>
    <xdr:sp macro="" textlink="">
      <xdr:nvSpPr>
        <xdr:cNvPr id="45" name="Rectangle 44">
          <a:extLst>
            <a:ext uri="{FF2B5EF4-FFF2-40B4-BE49-F238E27FC236}">
              <a16:creationId xmlns:a16="http://schemas.microsoft.com/office/drawing/2014/main" id="{A89DFA44-F787-6BE6-65A2-6A8866A17CF4}"/>
            </a:ext>
          </a:extLst>
        </xdr:cNvPr>
        <xdr:cNvSpPr/>
      </xdr:nvSpPr>
      <xdr:spPr>
        <a:xfrm>
          <a:off x="161365" y="8552329"/>
          <a:ext cx="116541" cy="107577"/>
        </a:xfrm>
        <a:prstGeom prst="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717176</xdr:colOff>
      <xdr:row>52</xdr:row>
      <xdr:rowOff>35858</xdr:rowOff>
    </xdr:from>
    <xdr:to>
      <xdr:col>12</xdr:col>
      <xdr:colOff>80682</xdr:colOff>
      <xdr:row>53</xdr:row>
      <xdr:rowOff>8964</xdr:rowOff>
    </xdr:to>
    <xdr:sp macro="" textlink="">
      <xdr:nvSpPr>
        <xdr:cNvPr id="46" name="Rectangle 45">
          <a:extLst>
            <a:ext uri="{FF2B5EF4-FFF2-40B4-BE49-F238E27FC236}">
              <a16:creationId xmlns:a16="http://schemas.microsoft.com/office/drawing/2014/main" id="{CCED1146-EF5C-F66A-4600-983C2FAA642C}"/>
            </a:ext>
          </a:extLst>
        </xdr:cNvPr>
        <xdr:cNvSpPr/>
      </xdr:nvSpPr>
      <xdr:spPr>
        <a:xfrm>
          <a:off x="10058400" y="8641976"/>
          <a:ext cx="152400" cy="15240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4</xdr:row>
      <xdr:rowOff>80683</xdr:rowOff>
    </xdr:from>
    <xdr:to>
      <xdr:col>4</xdr:col>
      <xdr:colOff>855233</xdr:colOff>
      <xdr:row>11</xdr:row>
      <xdr:rowOff>35859</xdr:rowOff>
    </xdr:to>
    <mc:AlternateContent xmlns:mc="http://schemas.openxmlformats.org/markup-compatibility/2006" xmlns:a14="http://schemas.microsoft.com/office/drawing/2010/main">
      <mc:Choice Requires="a14">
        <xdr:graphicFrame macro="">
          <xdr:nvGraphicFramePr>
            <xdr:cNvPr id="48" name="Customer_State">
              <a:extLst>
                <a:ext uri="{FF2B5EF4-FFF2-40B4-BE49-F238E27FC236}">
                  <a16:creationId xmlns:a16="http://schemas.microsoft.com/office/drawing/2014/main" id="{3FCA3467-4805-40C8-921D-2DE46C20C86E}"/>
                </a:ext>
              </a:extLst>
            </xdr:cNvPr>
            <xdr:cNvGraphicFramePr/>
          </xdr:nvGraphicFramePr>
          <xdr:xfrm>
            <a:off x="0" y="0"/>
            <a:ext cx="0" cy="0"/>
          </xdr:xfrm>
          <a:graphic>
            <a:graphicData uri="http://schemas.microsoft.com/office/drawing/2010/slicer">
              <sle:slicer xmlns:sle="http://schemas.microsoft.com/office/drawing/2010/slicer" name="Customer_State"/>
            </a:graphicData>
          </a:graphic>
        </xdr:graphicFrame>
      </mc:Choice>
      <mc:Fallback xmlns="">
        <xdr:sp macro="" textlink="">
          <xdr:nvSpPr>
            <xdr:cNvPr id="0" name=""/>
            <xdr:cNvSpPr>
              <a:spLocks noTextEdit="1"/>
            </xdr:cNvSpPr>
          </xdr:nvSpPr>
          <xdr:spPr>
            <a:xfrm>
              <a:off x="0" y="820912"/>
              <a:ext cx="4610804" cy="1250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188259</xdr:colOff>
      <xdr:row>4</xdr:row>
      <xdr:rowOff>107578</xdr:rowOff>
    </xdr:from>
    <xdr:to>
      <xdr:col>19</xdr:col>
      <xdr:colOff>627529</xdr:colOff>
      <xdr:row>7</xdr:row>
      <xdr:rowOff>164054</xdr:rowOff>
    </xdr:to>
    <mc:AlternateContent xmlns:mc="http://schemas.openxmlformats.org/markup-compatibility/2006" xmlns:a14="http://schemas.microsoft.com/office/drawing/2010/main">
      <mc:Choice Requires="a14">
        <xdr:graphicFrame macro="">
          <xdr:nvGraphicFramePr>
            <xdr:cNvPr id="49" name="Order_Status">
              <a:extLst>
                <a:ext uri="{FF2B5EF4-FFF2-40B4-BE49-F238E27FC236}">
                  <a16:creationId xmlns:a16="http://schemas.microsoft.com/office/drawing/2014/main" id="{1450F907-2E82-4BC0-A092-7E8E4B8086E6}"/>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0322859" y="847807"/>
              <a:ext cx="7025127" cy="611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295835</xdr:colOff>
      <xdr:row>8</xdr:row>
      <xdr:rowOff>1</xdr:rowOff>
    </xdr:from>
    <xdr:to>
      <xdr:col>19</xdr:col>
      <xdr:colOff>679523</xdr:colOff>
      <xdr:row>11</xdr:row>
      <xdr:rowOff>147918</xdr:rowOff>
    </xdr:to>
    <mc:AlternateContent xmlns:mc="http://schemas.openxmlformats.org/markup-compatibility/2006" xmlns:a14="http://schemas.microsoft.com/office/drawing/2010/main">
      <mc:Choice Requires="a14">
        <xdr:graphicFrame macro="">
          <xdr:nvGraphicFramePr>
            <xdr:cNvPr id="50" name="Category">
              <a:extLst>
                <a:ext uri="{FF2B5EF4-FFF2-40B4-BE49-F238E27FC236}">
                  <a16:creationId xmlns:a16="http://schemas.microsoft.com/office/drawing/2014/main" id="{98D50C0C-F296-4B9F-B594-8D70F709CE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30435" y="1480458"/>
              <a:ext cx="6969545" cy="703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35859</xdr:colOff>
      <xdr:row>0</xdr:row>
      <xdr:rowOff>62754</xdr:rowOff>
    </xdr:from>
    <xdr:to>
      <xdr:col>19</xdr:col>
      <xdr:colOff>663388</xdr:colOff>
      <xdr:row>3</xdr:row>
      <xdr:rowOff>134471</xdr:rowOff>
    </xdr:to>
    <mc:AlternateContent xmlns:mc="http://schemas.openxmlformats.org/markup-compatibility/2006" xmlns:a14="http://schemas.microsoft.com/office/drawing/2010/main">
      <mc:Choice Requires="a14">
        <xdr:graphicFrame macro="">
          <xdr:nvGraphicFramePr>
            <xdr:cNvPr id="51" name="Fulfillment_Type">
              <a:extLst>
                <a:ext uri="{FF2B5EF4-FFF2-40B4-BE49-F238E27FC236}">
                  <a16:creationId xmlns:a16="http://schemas.microsoft.com/office/drawing/2014/main" id="{37275D5E-0B73-421E-8342-272959413226}"/>
                </a:ext>
              </a:extLst>
            </xdr:cNvPr>
            <xdr:cNvGraphicFramePr/>
          </xdr:nvGraphicFramePr>
          <xdr:xfrm>
            <a:off x="0" y="0"/>
            <a:ext cx="0" cy="0"/>
          </xdr:xfrm>
          <a:graphic>
            <a:graphicData uri="http://schemas.microsoft.com/office/drawing/2010/slicer">
              <sle:slicer xmlns:sle="http://schemas.microsoft.com/office/drawing/2010/slicer" name="Fulfillment_Type"/>
            </a:graphicData>
          </a:graphic>
        </xdr:graphicFrame>
      </mc:Choice>
      <mc:Fallback xmlns="">
        <xdr:sp macro="" textlink="">
          <xdr:nvSpPr>
            <xdr:cNvPr id="0" name=""/>
            <xdr:cNvSpPr>
              <a:spLocks noTextEdit="1"/>
            </xdr:cNvSpPr>
          </xdr:nvSpPr>
          <xdr:spPr>
            <a:xfrm>
              <a:off x="11933945" y="62754"/>
              <a:ext cx="5449900" cy="626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851647</xdr:colOff>
      <xdr:row>4</xdr:row>
      <xdr:rowOff>107575</xdr:rowOff>
    </xdr:from>
    <xdr:to>
      <xdr:col>12</xdr:col>
      <xdr:colOff>259976</xdr:colOff>
      <xdr:row>10</xdr:row>
      <xdr:rowOff>170330</xdr:rowOff>
    </xdr:to>
    <mc:AlternateContent xmlns:mc="http://schemas.openxmlformats.org/markup-compatibility/2006" xmlns:tsle="http://schemas.microsoft.com/office/drawing/2012/timeslicer">
      <mc:Choice Requires="tsle">
        <xdr:graphicFrame macro="">
          <xdr:nvGraphicFramePr>
            <xdr:cNvPr id="52" name="Order_Date">
              <a:extLst>
                <a:ext uri="{FF2B5EF4-FFF2-40B4-BE49-F238E27FC236}">
                  <a16:creationId xmlns:a16="http://schemas.microsoft.com/office/drawing/2014/main" id="{A1A53370-B9A8-42CE-8BFD-32F925BF92C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4607218" y="847804"/>
              <a:ext cx="5787358" cy="117309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559012</xdr:colOff>
      <xdr:row>14</xdr:row>
      <xdr:rowOff>48024</xdr:rowOff>
    </xdr:from>
    <xdr:to>
      <xdr:col>11</xdr:col>
      <xdr:colOff>156241</xdr:colOff>
      <xdr:row>16</xdr:row>
      <xdr:rowOff>91567</xdr:rowOff>
    </xdr:to>
    <xdr:sp macro="" textlink="'KPI formulas'!A9">
      <xdr:nvSpPr>
        <xdr:cNvPr id="54" name="TextBox 53">
          <a:extLst>
            <a:ext uri="{FF2B5EF4-FFF2-40B4-BE49-F238E27FC236}">
              <a16:creationId xmlns:a16="http://schemas.microsoft.com/office/drawing/2014/main" id="{8ACEDB8F-471F-7E88-5DA6-7D48DC0ED209}"/>
            </a:ext>
          </a:extLst>
        </xdr:cNvPr>
        <xdr:cNvSpPr txBox="1"/>
      </xdr:nvSpPr>
      <xdr:spPr>
        <a:xfrm>
          <a:off x="6970698" y="2638824"/>
          <a:ext cx="2536372"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837B0B-492C-4162-B094-E4764D9BCE65}" type="TxLink">
            <a:rPr lang="en-US" sz="2400" b="0" i="0" u="none" strike="noStrike">
              <a:solidFill>
                <a:schemeClr val="bg1"/>
              </a:solidFill>
              <a:latin typeface="Calibri"/>
              <a:ea typeface="Calibri"/>
              <a:cs typeface="Calibri"/>
            </a:rPr>
            <a:pPr algn="ctr"/>
            <a:t>300</a:t>
          </a:fld>
          <a:endParaRPr lang="en-US" sz="2400">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0.01464</cdr:x>
      <cdr:y>0.05784</cdr:y>
    </cdr:from>
    <cdr:to>
      <cdr:x>0.03008</cdr:x>
      <cdr:y>0.09673</cdr:y>
    </cdr:to>
    <cdr:sp macro="" textlink="">
      <cdr:nvSpPr>
        <cdr:cNvPr id="2" name="Rectangle: Rounded Corners 1">
          <a:extLst xmlns:a="http://schemas.openxmlformats.org/drawingml/2006/main">
            <a:ext uri="{FF2B5EF4-FFF2-40B4-BE49-F238E27FC236}">
              <a16:creationId xmlns:a16="http://schemas.microsoft.com/office/drawing/2014/main" id="{F647D590-B0B9-679C-E285-A45F1F51DEB0}"/>
            </a:ext>
          </a:extLst>
        </cdr:cNvPr>
        <cdr:cNvSpPr/>
      </cdr:nvSpPr>
      <cdr:spPr>
        <a:xfrm xmlns:a="http://schemas.openxmlformats.org/drawingml/2006/main">
          <a:off x="142659" y="161519"/>
          <a:ext cx="150503" cy="108597"/>
        </a:xfrm>
        <a:prstGeom xmlns:a="http://schemas.openxmlformats.org/drawingml/2006/main" prst="roundRect">
          <a:avLst/>
        </a:prstGeom>
        <a:solidFill xmlns:a="http://schemas.openxmlformats.org/drawingml/2006/main">
          <a:srgbClr val="FF9900"/>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0.00977</cdr:x>
      <cdr:y>0.05742</cdr:y>
    </cdr:from>
    <cdr:to>
      <cdr:x>0.02399</cdr:x>
      <cdr:y>0.09719</cdr:y>
    </cdr:to>
    <cdr:sp macro="" textlink="">
      <cdr:nvSpPr>
        <cdr:cNvPr id="2" name="Rectangle: Rounded Corners 1">
          <a:extLst xmlns:a="http://schemas.openxmlformats.org/drawingml/2006/main">
            <a:ext uri="{FF2B5EF4-FFF2-40B4-BE49-F238E27FC236}">
              <a16:creationId xmlns:a16="http://schemas.microsoft.com/office/drawing/2014/main" id="{F5BABD2A-9F42-9BC2-0A66-53D3158D29B0}"/>
            </a:ext>
          </a:extLst>
        </cdr:cNvPr>
        <cdr:cNvSpPr/>
      </cdr:nvSpPr>
      <cdr:spPr>
        <a:xfrm xmlns:a="http://schemas.openxmlformats.org/drawingml/2006/main">
          <a:off x="85919" y="163401"/>
          <a:ext cx="124994" cy="113187"/>
        </a:xfrm>
        <a:prstGeom xmlns:a="http://schemas.openxmlformats.org/drawingml/2006/main" prst="roundRect">
          <a:avLst/>
        </a:prstGeom>
        <a:solidFill xmlns:a="http://schemas.openxmlformats.org/drawingml/2006/main">
          <a:srgbClr val="00B0F0"/>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 dey" refreshedDate="46188.69713576389" createdVersion="8" refreshedVersion="8" minRefreshableVersion="3" recordCount="300" xr:uid="{698256F7-3DF8-4642-87C8-C9144F670036}">
  <cacheSource type="worksheet">
    <worksheetSource name="SalesData"/>
  </cacheSource>
  <cacheFields count="40">
    <cacheField name="Order_ID" numFmtId="0">
      <sharedItems count="3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haredItems>
    </cacheField>
    <cacheField name="Order_Date" numFmtId="14">
      <sharedItems containsSemiMixedTypes="0" containsNonDate="0" containsDate="1" containsString="0" minDate="2023-01-01T00:00:00" maxDate="2024-12-30T00:00:00" count="253">
        <d v="2023-09-16T00:00:00"/>
        <d v="2023-09-24T00:00:00"/>
        <d v="2024-08-13T00:00:00"/>
        <d v="2023-02-23T00:00:00"/>
        <d v="2023-05-30T00:00:00"/>
        <d v="2023-01-26T00:00:00"/>
        <d v="2023-07-28T00:00:00"/>
        <d v="2024-11-28T00:00:00"/>
        <d v="2024-10-16T00:00:00"/>
        <d v="2023-03-20T00:00:00"/>
        <d v="2024-05-30T00:00:00"/>
        <d v="2024-08-19T00:00:00"/>
        <d v="2024-08-04T00:00:00"/>
        <d v="2023-09-20T00:00:00"/>
        <d v="2024-02-20T00:00:00"/>
        <d v="2024-04-05T00:00:00"/>
        <d v="2023-09-27T00:00:00"/>
        <d v="2023-12-05T00:00:00"/>
        <d v="2024-04-24T00:00:00"/>
        <d v="2023-01-16T00:00:00"/>
        <d v="2024-10-19T00:00:00"/>
        <d v="2024-03-06T00:00:00"/>
        <d v="2023-04-08T00:00:00"/>
        <d v="2024-04-10T00:00:00"/>
        <d v="2024-03-17T00:00:00"/>
        <d v="2024-11-13T00:00:00"/>
        <d v="2024-06-04T00:00:00"/>
        <d v="2024-04-29T00:00:00"/>
        <d v="2024-05-29T00:00:00"/>
        <d v="2024-05-18T00:00:00"/>
        <d v="2024-05-05T00:00:00"/>
        <d v="2024-07-10T00:00:00"/>
        <d v="2023-08-08T00:00:00"/>
        <d v="2024-01-19T00:00:00"/>
        <d v="2024-07-02T00:00:00"/>
        <d v="2023-09-10T00:00:00"/>
        <d v="2023-12-11T00:00:00"/>
        <d v="2024-04-11T00:00:00"/>
        <d v="2024-05-17T00:00:00"/>
        <d v="2024-04-03T00:00:00"/>
        <d v="2023-11-18T00:00:00"/>
        <d v="2024-09-09T00:00:00"/>
        <d v="2024-07-18T00:00:00"/>
        <d v="2023-01-10T00:00:00"/>
        <d v="2024-03-25T00:00:00"/>
        <d v="2023-10-07T00:00:00"/>
        <d v="2024-04-01T00:00:00"/>
        <d v="2024-01-18T00:00:00"/>
        <d v="2023-11-09T00:00:00"/>
        <d v="2023-11-05T00:00:00"/>
        <d v="2024-01-28T00:00:00"/>
        <d v="2023-10-12T00:00:00"/>
        <d v="2023-06-10T00:00:00"/>
        <d v="2023-03-23T00:00:00"/>
        <d v="2023-07-24T00:00:00"/>
        <d v="2024-12-23T00:00:00"/>
        <d v="2024-07-30T00:00:00"/>
        <d v="2024-06-10T00:00:00"/>
        <d v="2024-10-05T00:00:00"/>
        <d v="2023-12-18T00:00:00"/>
        <d v="2024-08-24T00:00:00"/>
        <d v="2024-06-11T00:00:00"/>
        <d v="2024-02-16T00:00:00"/>
        <d v="2023-04-14T00:00:00"/>
        <d v="2024-01-02T00:00:00"/>
        <d v="2024-06-21T00:00:00"/>
        <d v="2023-11-06T00:00:00"/>
        <d v="2023-06-02T00:00:00"/>
        <d v="2024-12-24T00:00:00"/>
        <d v="2023-01-24T00:00:00"/>
        <d v="2024-07-24T00:00:00"/>
        <d v="2024-02-15T00:00:00"/>
        <d v="2023-12-31T00:00:00"/>
        <d v="2024-10-13T00:00:00"/>
        <d v="2024-11-24T00:00:00"/>
        <d v="2024-06-05T00:00:00"/>
        <d v="2023-02-05T00:00:00"/>
        <d v="2024-12-26T00:00:00"/>
        <d v="2024-12-07T00:00:00"/>
        <d v="2023-12-23T00:00:00"/>
        <d v="2023-07-30T00:00:00"/>
        <d v="2024-06-26T00:00:00"/>
        <d v="2023-01-14T00:00:00"/>
        <d v="2023-08-30T00:00:00"/>
        <d v="2023-04-18T00:00:00"/>
        <d v="2023-01-01T00:00:00"/>
        <d v="2024-03-05T00:00:00"/>
        <d v="2024-10-17T00:00:00"/>
        <d v="2023-07-10T00:00:00"/>
        <d v="2024-04-22T00:00:00"/>
        <d v="2023-11-20T00:00:00"/>
        <d v="2024-09-11T00:00:00"/>
        <d v="2023-05-21T00:00:00"/>
        <d v="2024-09-24T00:00:00"/>
        <d v="2023-05-12T00:00:00"/>
        <d v="2023-06-20T00:00:00"/>
        <d v="2023-05-20T00:00:00"/>
        <d v="2024-09-21T00:00:00"/>
        <d v="2024-09-07T00:00:00"/>
        <d v="2023-01-11T00:00:00"/>
        <d v="2023-11-08T00:00:00"/>
        <d v="2023-03-12T00:00:00"/>
        <d v="2024-04-15T00:00:00"/>
        <d v="2024-04-25T00:00:00"/>
        <d v="2023-12-16T00:00:00"/>
        <d v="2024-03-23T00:00:00"/>
        <d v="2023-01-04T00:00:00"/>
        <d v="2024-07-27T00:00:00"/>
        <d v="2023-03-07T00:00:00"/>
        <d v="2024-10-29T00:00:00"/>
        <d v="2024-02-24T00:00:00"/>
        <d v="2023-09-17T00:00:00"/>
        <d v="2023-09-11T00:00:00"/>
        <d v="2023-02-22T00:00:00"/>
        <d v="2023-10-03T00:00:00"/>
        <d v="2023-07-13T00:00:00"/>
        <d v="2023-08-12T00:00:00"/>
        <d v="2023-07-06T00:00:00"/>
        <d v="2024-10-07T00:00:00"/>
        <d v="2023-09-06T00:00:00"/>
        <d v="2023-05-07T00:00:00"/>
        <d v="2024-11-19T00:00:00"/>
        <d v="2024-05-12T00:00:00"/>
        <d v="2023-12-12T00:00:00"/>
        <d v="2024-10-31T00:00:00"/>
        <d v="2023-09-18T00:00:00"/>
        <d v="2023-09-13T00:00:00"/>
        <d v="2024-07-29T00:00:00"/>
        <d v="2024-12-08T00:00:00"/>
        <d v="2023-07-31T00:00:00"/>
        <d v="2024-08-09T00:00:00"/>
        <d v="2024-06-13T00:00:00"/>
        <d v="2024-11-04T00:00:00"/>
        <d v="2023-04-25T00:00:00"/>
        <d v="2023-11-04T00:00:00"/>
        <d v="2023-05-18T00:00:00"/>
        <d v="2023-06-19T00:00:00"/>
        <d v="2024-05-24T00:00:00"/>
        <d v="2024-04-02T00:00:00"/>
        <d v="2024-05-14T00:00:00"/>
        <d v="2024-02-29T00:00:00"/>
        <d v="2023-10-19T00:00:00"/>
        <d v="2024-08-16T00:00:00"/>
        <d v="2024-02-19T00:00:00"/>
        <d v="2023-03-10T00:00:00"/>
        <d v="2024-11-08T00:00:00"/>
        <d v="2023-12-24T00:00:00"/>
        <d v="2023-04-28T00:00:00"/>
        <d v="2023-05-01T00:00:00"/>
        <d v="2024-06-30T00:00:00"/>
        <d v="2023-08-16T00:00:00"/>
        <d v="2024-01-20T00:00:00"/>
        <d v="2024-06-17T00:00:00"/>
        <d v="2023-10-14T00:00:00"/>
        <d v="2024-09-15T00:00:00"/>
        <d v="2024-10-23T00:00:00"/>
        <d v="2024-05-25T00:00:00"/>
        <d v="2024-08-05T00:00:00"/>
        <d v="2024-09-28T00:00:00"/>
        <d v="2023-05-17T00:00:00"/>
        <d v="2023-06-27T00:00:00"/>
        <d v="2023-08-02T00:00:00"/>
        <d v="2023-06-25T00:00:00"/>
        <d v="2024-07-22T00:00:00"/>
        <d v="2024-06-14T00:00:00"/>
        <d v="2023-02-26T00:00:00"/>
        <d v="2023-01-31T00:00:00"/>
        <d v="2024-12-13T00:00:00"/>
        <d v="2024-06-22T00:00:00"/>
        <d v="2023-05-26T00:00:00"/>
        <d v="2023-09-05T00:00:00"/>
        <d v="2024-12-20T00:00:00"/>
        <d v="2024-03-26T00:00:00"/>
        <d v="2023-04-19T00:00:00"/>
        <d v="2024-06-16T00:00:00"/>
        <d v="2023-04-05T00:00:00"/>
        <d v="2023-08-11T00:00:00"/>
        <d v="2024-06-02T00:00:00"/>
        <d v="2024-12-22T00:00:00"/>
        <d v="2023-06-21T00:00:00"/>
        <d v="2024-03-24T00:00:00"/>
        <d v="2023-08-21T00:00:00"/>
        <d v="2024-04-09T00:00:00"/>
        <d v="2024-04-12T00:00:00"/>
        <d v="2024-09-19T00:00:00"/>
        <d v="2024-04-19T00:00:00"/>
        <d v="2023-10-11T00:00:00"/>
        <d v="2023-11-30T00:00:00"/>
        <d v="2024-09-01T00:00:00"/>
        <d v="2024-07-05T00:00:00"/>
        <d v="2023-09-14T00:00:00"/>
        <d v="2023-01-30T00:00:00"/>
        <d v="2023-08-01T00:00:00"/>
        <d v="2024-07-20T00:00:00"/>
        <d v="2024-03-15T00:00:00"/>
        <d v="2023-09-04T00:00:00"/>
        <d v="2024-12-29T00:00:00"/>
        <d v="2024-02-14T00:00:00"/>
        <d v="2024-08-15T00:00:00"/>
        <d v="2024-11-22T00:00:00"/>
        <d v="2023-04-24T00:00:00"/>
        <d v="2024-02-03T00:00:00"/>
        <d v="2024-12-01T00:00:00"/>
        <d v="2023-12-20T00:00:00"/>
        <d v="2024-09-26T00:00:00"/>
        <d v="2024-04-27T00:00:00"/>
        <d v="2024-05-01T00:00:00"/>
        <d v="2023-08-23T00:00:00"/>
        <d v="2024-01-01T00:00:00"/>
        <d v="2024-05-03T00:00:00"/>
        <d v="2023-06-11T00:00:00"/>
        <d v="2024-10-01T00:00:00"/>
        <d v="2023-11-19T00:00:00"/>
        <d v="2023-09-09T00:00:00"/>
        <d v="2024-07-12T00:00:00"/>
        <d v="2024-03-08T00:00:00"/>
        <d v="2023-04-09T00:00:00"/>
        <d v="2024-11-30T00:00:00"/>
        <d v="2023-04-23T00:00:00"/>
        <d v="2024-06-15T00:00:00"/>
        <d v="2023-12-10T00:00:00"/>
        <d v="2023-07-08T00:00:00"/>
        <d v="2023-10-27T00:00:00"/>
        <d v="2024-06-25T00:00:00"/>
        <d v="2024-05-15T00:00:00"/>
        <d v="2023-07-23T00:00:00"/>
        <d v="2024-05-22T00:00:00"/>
        <d v="2024-05-20T00:00:00"/>
        <d v="2023-01-05T00:00:00"/>
        <d v="2024-07-06T00:00:00"/>
        <d v="2024-01-05T00:00:00"/>
        <d v="2024-01-11T00:00:00"/>
        <d v="2024-03-18T00:00:00"/>
        <d v="2024-08-25T00:00:00"/>
        <d v="2023-10-21T00:00:00"/>
        <d v="2024-12-06T00:00:00"/>
        <d v="2024-02-11T00:00:00"/>
        <d v="2024-07-31T00:00:00"/>
        <d v="2024-10-11T00:00:00"/>
        <d v="2023-04-03T00:00:00"/>
        <d v="2024-09-25T00:00:00"/>
        <d v="2024-08-06T00:00:00"/>
        <d v="2024-11-23T00:00:00"/>
        <d v="2024-03-04T00:00:00"/>
        <d v="2024-03-07T00:00:00"/>
        <d v="2023-05-10T00:00:00"/>
        <d v="2023-01-23T00:00:00"/>
        <d v="2024-01-24T00:00:00"/>
        <d v="2023-05-22T00:00:00"/>
        <d v="2023-11-15T00:00:00"/>
        <d v="2023-12-27T00:00:00"/>
        <d v="2023-02-25T00:00:00"/>
        <d v="2023-03-22T00:00:00"/>
      </sharedItems>
      <fieldGroup par="39"/>
    </cacheField>
    <cacheField name="Delivery_Date" numFmtId="0">
      <sharedItems containsBlank="1"/>
    </cacheField>
    <cacheField name="Category" numFmtId="0">
      <sharedItems count="6">
        <s v="Fashion"/>
        <s v="Sports"/>
        <s v="Beauty"/>
        <s v="Electronics"/>
        <s v="Office Supplies"/>
        <s v="Home &amp; Kitchen"/>
      </sharedItems>
    </cacheField>
    <cacheField name="Product_Name" numFmtId="0">
      <sharedItems count="48">
        <s v="Casual Bag"/>
        <s v="Running Belt"/>
        <s v="Moisturizer"/>
        <s v="Face Serum"/>
        <s v="Bluetooth Speaker"/>
        <s v="Earbuds"/>
        <s v="Sticky Notes"/>
        <s v="Body Lotion"/>
        <s v="File Folder"/>
        <s v="Protein Shaker"/>
        <s v="USB Cable"/>
        <s v="Knife Set"/>
        <s v="Resistance Band"/>
        <s v="Tape Dispenser"/>
        <s v="Cap"/>
        <s v="Water Bottle"/>
        <s v="Chopping Board"/>
        <s v="Hair Oil"/>
        <s v="Webcam"/>
        <s v="Dumbbell Set"/>
        <s v="Laptop Stand"/>
        <s v="Women's Kurti"/>
        <s v="Men's T-Shirt"/>
        <s v="Knee Support"/>
        <s v="Power Bank"/>
        <s v="Smart Watch"/>
        <s v="Phone Case"/>
        <s v="Watch Strap"/>
        <s v="Yoga Mat"/>
        <s v="Eye Cream"/>
        <s v="Air Fryer"/>
        <s v="Wallet"/>
        <s v="Face Wash"/>
        <s v="Sports Shoes"/>
        <s v="Highlighter Set"/>
        <s v="Sunglasses"/>
        <s v="Storage Box"/>
        <s v="Coffee Mug"/>
        <s v="Stapler"/>
        <s v="Notebook"/>
        <s v="Pillow Cover"/>
        <s v="Sunscreen"/>
        <s v="Gel Pen Set"/>
        <s v="Lip Balm"/>
        <s v="Desk Organizer"/>
        <s v="Cycling Gloves"/>
        <s v="Jump Rope"/>
        <s v="Bed Sheet"/>
      </sharedItems>
    </cacheField>
    <cacheField name="Brand" numFmtId="0">
      <sharedItems/>
    </cacheField>
    <cacheField name="SKU" numFmtId="0">
      <sharedItems/>
    </cacheField>
    <cacheField name="ASIN" numFmtId="0">
      <sharedItems/>
    </cacheField>
    <cacheField name="Fulfillment_Type" numFmtId="0">
      <sharedItems count="2">
        <s v="FBM"/>
        <s v="FBA"/>
      </sharedItems>
    </cacheField>
    <cacheField name="Order_Status" numFmtId="0">
      <sharedItems count="5">
        <s v="Delivered"/>
        <s v="Pending"/>
        <s v="In Transit"/>
        <s v="Returned"/>
        <s v="Cancelled"/>
      </sharedItems>
    </cacheField>
    <cacheField name="Units_Sold" numFmtId="0">
      <sharedItems containsSemiMixedTypes="0" containsString="0" containsNumber="1" containsInteger="1" minValue="1" maxValue="10"/>
    </cacheField>
    <cacheField name="MRP_INR" numFmtId="164">
      <sharedItems containsSemiMixedTypes="0" containsString="0" containsNumber="1" containsInteger="1" minValue="234" maxValue="4998"/>
    </cacheField>
    <cacheField name="Selling_Price_INR" numFmtId="164">
      <sharedItems containsSemiMixedTypes="0" containsString="0" containsNumber="1" containsInteger="1" minValue="184" maxValue="4668"/>
    </cacheField>
    <cacheField name="Discount_%" numFmtId="165">
      <sharedItems containsSemiMixedTypes="0" containsString="0" containsNumber="1" minValue="5.3" maxValue="30"/>
    </cacheField>
    <cacheField name="Gross_Sales_INR" numFmtId="164">
      <sharedItems containsSemiMixedTypes="0" containsString="0" containsNumber="1" containsInteger="1" minValue="416" maxValue="43830"/>
    </cacheField>
    <cacheField name="Amazon_Commission_INR" numFmtId="164">
      <sharedItems containsSemiMixedTypes="0" containsString="0" containsNumber="1" minValue="47.39" maxValue="6852.4"/>
    </cacheField>
    <cacheField name="FBA_Fee_INR" numFmtId="164">
      <sharedItems containsSemiMixedTypes="0" containsString="0" containsNumber="1" minValue="0" maxValue="2191.5"/>
    </cacheField>
    <cacheField name="Shipping_Cost_INR" numFmtId="164">
      <sharedItems containsSemiMixedTypes="0" containsString="0" containsNumber="1" minValue="0" maxValue="117.66"/>
    </cacheField>
    <cacheField name="COGS_INR" numFmtId="164">
      <sharedItems containsSemiMixedTypes="0" containsString="0" containsNumber="1" minValue="173.97" maxValue="22308.45"/>
    </cacheField>
    <cacheField name="Ad_Spend_INR" numFmtId="164">
      <sharedItems containsSemiMixedTypes="0" containsString="0" containsNumber="1" minValue="0" maxValue="497.55"/>
    </cacheField>
    <cacheField name="Returns_Qty" numFmtId="0">
      <sharedItems containsSemiMixedTypes="0" containsString="0" containsNumber="1" containsInteger="1" minValue="0" maxValue="7"/>
    </cacheField>
    <cacheField name="Return_Value_INR" numFmtId="164">
      <sharedItems containsSemiMixedTypes="0" containsString="0" containsNumber="1" containsInteger="1" minValue="0" maxValue="30681"/>
    </cacheField>
    <cacheField name="Return_Reason" numFmtId="0">
      <sharedItems containsBlank="1"/>
    </cacheField>
    <cacheField name="Net_Sales_INR" numFmtId="164">
      <sharedItems containsSemiMixedTypes="0" containsString="0" containsNumber="1" containsInteger="1" minValue="0" maxValue="41970"/>
    </cacheField>
    <cacheField name="Net_Profit_INR" numFmtId="164">
      <sharedItems containsSemiMixedTypes="0" containsString="0" containsNumber="1" minValue="-12063.19" maxValue="21938.02"/>
    </cacheField>
    <cacheField name="Profit_Margin_%" numFmtId="165">
      <sharedItems containsSemiMixedTypes="0" containsString="0" containsNumber="1" minValue="-386" maxValue="59"/>
    </cacheField>
    <cacheField name="Ad_Type" numFmtId="0">
      <sharedItems count="4">
        <s v="Sponsored Brands"/>
        <s v="None"/>
        <s v="Sponsored Display"/>
        <s v="Sponsored Products"/>
      </sharedItems>
    </cacheField>
    <cacheField name="Ad_Impressions" numFmtId="0">
      <sharedItems containsSemiMixedTypes="0" containsString="0" containsNumber="1" containsInteger="1" minValue="0" maxValue="14907"/>
    </cacheField>
    <cacheField name="Ad_Clicks" numFmtId="0">
      <sharedItems containsSemiMixedTypes="0" containsString="0" containsNumber="1" containsInteger="1" minValue="0" maxValue="1122"/>
    </cacheField>
    <cacheField name="CTR_%" numFmtId="165">
      <sharedItems containsSemiMixedTypes="0" containsString="0" containsNumber="1" minValue="0" maxValue="7.99"/>
    </cacheField>
    <cacheField name="Orders_from_Ads" numFmtId="0">
      <sharedItems containsSemiMixedTypes="0" containsString="0" containsNumber="1" containsInteger="1" minValue="0" maxValue="159"/>
    </cacheField>
    <cacheField name="ACOS_%" numFmtId="165">
      <sharedItems containsSemiMixedTypes="0" containsString="0" containsNumber="1" minValue="0" maxValue="100.4"/>
    </cacheField>
    <cacheField name="Customer_Rating" numFmtId="0">
      <sharedItems containsString="0" containsBlank="1" containsNumber="1" containsInteger="1" minValue="1" maxValue="5"/>
    </cacheField>
    <cacheField name="Review_Received" numFmtId="0">
      <sharedItems/>
    </cacheField>
    <cacheField name="Customer_State" numFmtId="0">
      <sharedItems count="14">
        <s v="Delhi"/>
        <s v="Bihar"/>
        <s v="Rajasthan"/>
        <s v="Maharashtra"/>
        <s v="Karnataka"/>
        <s v="Punjab"/>
        <s v="Gujarat"/>
        <s v="Uttar Pradesh"/>
        <s v="West Bengal"/>
        <s v="Tamil Nadu"/>
        <s v="Haryana"/>
        <s v="Kerala"/>
        <s v="Telangana"/>
        <s v="Madhya Pradesh"/>
      </sharedItems>
    </cacheField>
    <cacheField name="Delivery_Days" numFmtId="0">
      <sharedItems containsSemiMixedTypes="0" containsString="0" containsNumber="1" containsInteger="1" minValue="1" maxValue="7"/>
    </cacheField>
    <cacheField name="Current_Inventory" numFmtId="0">
      <sharedItems containsSemiMixedTypes="0" containsString="0" containsNumber="1" containsInteger="1" minValue="0" maxValue="200"/>
    </cacheField>
    <cacheField name="Reorder_Flag" numFmtId="0">
      <sharedItems/>
    </cacheField>
    <cacheField name="Months (Order_Date)" numFmtId="0" databaseField="0">
      <fieldGroup base="1">
        <rangePr groupBy="months" startDate="2023-01-01T00:00:00" endDate="2024-12-30T00:00:00"/>
        <groupItems count="14">
          <s v="&lt;1/1/2023"/>
          <s v="Jan"/>
          <s v="Feb"/>
          <s v="Mar"/>
          <s v="Apr"/>
          <s v="May"/>
          <s v="Jun"/>
          <s v="Jul"/>
          <s v="Aug"/>
          <s v="Sep"/>
          <s v="Oct"/>
          <s v="Nov"/>
          <s v="Dec"/>
          <s v="&gt;12/30/2024"/>
        </groupItems>
      </fieldGroup>
    </cacheField>
    <cacheField name="Years (Order_Date)" numFmtId="0" databaseField="0">
      <fieldGroup base="1">
        <rangePr groupBy="years" startDate="2023-01-01T00:00:00" endDate="2024-12-30T00:00:00"/>
        <groupItems count="4">
          <s v="&lt;1/1/2023"/>
          <s v="2023"/>
          <s v="2024"/>
          <s v="&gt;12/30/2024"/>
        </groupItems>
      </fieldGroup>
    </cacheField>
  </cacheFields>
  <extLst>
    <ext xmlns:x14="http://schemas.microsoft.com/office/spreadsheetml/2009/9/main" uri="{725AE2AE-9491-48be-B2B4-4EB974FC3084}">
      <x14:pivotCacheDefinition pivotCacheId="1695201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23-09-2023"/>
    <x v="0"/>
    <x v="0"/>
    <s v="Puma"/>
    <s v="SKU-FAS-4164"/>
    <s v="B024406524"/>
    <x v="0"/>
    <x v="0"/>
    <n v="3"/>
    <n v="2867"/>
    <n v="2481"/>
    <n v="13.5"/>
    <n v="7443"/>
    <n v="597.25"/>
    <n v="0"/>
    <n v="55.19"/>
    <n v="3707.43"/>
    <n v="248.58"/>
    <n v="0"/>
    <n v="0"/>
    <m/>
    <n v="7443"/>
    <n v="2834.55"/>
    <n v="38.1"/>
    <x v="0"/>
    <n v="8811"/>
    <n v="407"/>
    <n v="4.62"/>
    <n v="23"/>
    <n v="0.4"/>
    <n v="5"/>
    <s v="No"/>
    <x v="0"/>
    <n v="7"/>
    <n v="199"/>
    <s v="OK"/>
  </r>
  <r>
    <x v="1"/>
    <x v="1"/>
    <s v="25-09-2023"/>
    <x v="1"/>
    <x v="1"/>
    <s v="Milton"/>
    <s v="SKU-SPO-4696"/>
    <s v="B034175374"/>
    <x v="1"/>
    <x v="0"/>
    <n v="9"/>
    <n v="4525"/>
    <n v="3841"/>
    <n v="15.1"/>
    <n v="34569"/>
    <n v="4627.91"/>
    <n v="1728.45"/>
    <n v="0"/>
    <n v="17296.64"/>
    <n v="0"/>
    <n v="0"/>
    <n v="0"/>
    <m/>
    <n v="34569"/>
    <n v="10916"/>
    <n v="31.6"/>
    <x v="1"/>
    <n v="0"/>
    <n v="0"/>
    <n v="0"/>
    <n v="0"/>
    <n v="0"/>
    <n v="4"/>
    <s v="Yes"/>
    <x v="1"/>
    <n v="1"/>
    <n v="24"/>
    <s v="OK"/>
  </r>
  <r>
    <x v="2"/>
    <x v="2"/>
    <s v="16-08-2024"/>
    <x v="2"/>
    <x v="2"/>
    <s v="Wildcraft"/>
    <s v="SKU-BEA-5455"/>
    <s v="B066757529"/>
    <x v="0"/>
    <x v="0"/>
    <n v="6"/>
    <n v="4696"/>
    <n v="3353"/>
    <n v="28.6"/>
    <n v="20118"/>
    <n v="3305.6"/>
    <n v="0"/>
    <n v="117.66"/>
    <n v="8705.91"/>
    <n v="472.93"/>
    <n v="0"/>
    <n v="0"/>
    <m/>
    <n v="20118"/>
    <n v="7515.9"/>
    <n v="37.4"/>
    <x v="0"/>
    <n v="9882"/>
    <n v="493"/>
    <n v="4.99"/>
    <n v="51"/>
    <n v="0.3"/>
    <n v="4"/>
    <s v="Yes"/>
    <x v="2"/>
    <n v="3"/>
    <n v="8"/>
    <s v="⚠️ Reorder"/>
  </r>
  <r>
    <x v="3"/>
    <x v="3"/>
    <m/>
    <x v="2"/>
    <x v="3"/>
    <s v="Cello"/>
    <s v="SKU-BEA-8091"/>
    <s v="B025368476"/>
    <x v="0"/>
    <x v="1"/>
    <n v="1"/>
    <n v="3322"/>
    <n v="3009"/>
    <n v="9.4"/>
    <n v="3009"/>
    <n v="437.66"/>
    <n v="0"/>
    <n v="43.27"/>
    <n v="1267.93"/>
    <n v="8.58"/>
    <n v="0"/>
    <n v="0"/>
    <m/>
    <n v="3009"/>
    <n v="1251.56"/>
    <n v="41.6"/>
    <x v="2"/>
    <n v="13857"/>
    <n v="860"/>
    <n v="6.21"/>
    <n v="147"/>
    <n v="0"/>
    <m/>
    <s v="No"/>
    <x v="3"/>
    <n v="3"/>
    <n v="123"/>
    <s v="OK"/>
  </r>
  <r>
    <x v="4"/>
    <x v="4"/>
    <m/>
    <x v="3"/>
    <x v="4"/>
    <s v="Puma"/>
    <s v="SKU-ELE-2444"/>
    <s v="B095588914"/>
    <x v="1"/>
    <x v="2"/>
    <n v="8"/>
    <n v="694"/>
    <n v="634"/>
    <n v="8.6"/>
    <n v="5072"/>
    <n v="527.16999999999996"/>
    <n v="253.6"/>
    <n v="0"/>
    <n v="2583.6999999999998"/>
    <n v="0"/>
    <n v="0"/>
    <n v="0"/>
    <m/>
    <n v="5072"/>
    <n v="1707.53"/>
    <n v="33.700000000000003"/>
    <x v="1"/>
    <n v="0"/>
    <n v="0"/>
    <n v="0"/>
    <n v="0"/>
    <n v="0"/>
    <m/>
    <s v="No"/>
    <x v="4"/>
    <n v="1"/>
    <n v="38"/>
    <s v="OK"/>
  </r>
  <r>
    <x v="5"/>
    <x v="5"/>
    <s v="27-01-2023"/>
    <x v="3"/>
    <x v="5"/>
    <s v="Fastrack"/>
    <s v="SKU-ELE-7837"/>
    <s v="B072630988"/>
    <x v="1"/>
    <x v="0"/>
    <n v="8"/>
    <n v="3184"/>
    <n v="2464"/>
    <n v="22.6"/>
    <n v="19712"/>
    <n v="2121.52"/>
    <n v="985.6"/>
    <n v="0"/>
    <n v="8830.17"/>
    <n v="94.56"/>
    <n v="0"/>
    <n v="0"/>
    <m/>
    <n v="19712"/>
    <n v="7680.15"/>
    <n v="39"/>
    <x v="3"/>
    <n v="1084"/>
    <n v="12"/>
    <n v="1.1100000000000001"/>
    <n v="2"/>
    <n v="1.9"/>
    <n v="4"/>
    <s v="No"/>
    <x v="5"/>
    <n v="1"/>
    <n v="130"/>
    <s v="OK"/>
  </r>
  <r>
    <x v="6"/>
    <x v="6"/>
    <s v="01-08-2023"/>
    <x v="4"/>
    <x v="6"/>
    <s v="Himalaya"/>
    <s v="SKU-OFF-3709"/>
    <s v="B023796399"/>
    <x v="0"/>
    <x v="3"/>
    <n v="8"/>
    <n v="4410"/>
    <n v="3674"/>
    <n v="16.7"/>
    <n v="29392"/>
    <n v="4755.3100000000004"/>
    <n v="0"/>
    <n v="66.2"/>
    <n v="15029.93"/>
    <n v="324.98"/>
    <n v="4"/>
    <n v="14696"/>
    <s v="Not as Described"/>
    <n v="14696"/>
    <n v="-5480.42"/>
    <n v="-37.299999999999997"/>
    <x v="3"/>
    <n v="14557"/>
    <n v="1082"/>
    <n v="7.43"/>
    <n v="82"/>
    <n v="0.1"/>
    <m/>
    <s v="No"/>
    <x v="6"/>
    <n v="4"/>
    <n v="94"/>
    <s v="OK"/>
  </r>
  <r>
    <x v="7"/>
    <x v="7"/>
    <s v="01-12-2024"/>
    <x v="2"/>
    <x v="7"/>
    <s v="Fastrack"/>
    <s v="SKU-BEA-5176"/>
    <s v="B058882801"/>
    <x v="0"/>
    <x v="3"/>
    <n v="2"/>
    <n v="1516"/>
    <n v="1100"/>
    <n v="27.4"/>
    <n v="2200"/>
    <n v="206.26"/>
    <n v="0"/>
    <n v="113.66"/>
    <n v="1113.33"/>
    <n v="106.06"/>
    <n v="2"/>
    <n v="2200"/>
    <s v="Damaged in Transit"/>
    <n v="0"/>
    <n v="-1539.31"/>
    <n v="0"/>
    <x v="1"/>
    <n v="10414"/>
    <n v="703"/>
    <n v="6.75"/>
    <n v="14"/>
    <n v="0.7"/>
    <m/>
    <s v="No"/>
    <x v="7"/>
    <n v="3"/>
    <n v="30"/>
    <s v="OK"/>
  </r>
  <r>
    <x v="8"/>
    <x v="8"/>
    <m/>
    <x v="4"/>
    <x v="8"/>
    <s v="Lakme"/>
    <s v="SKU-OFF-3636"/>
    <s v="B093459696"/>
    <x v="1"/>
    <x v="2"/>
    <n v="2"/>
    <n v="4422"/>
    <n v="3428"/>
    <n v="22.5"/>
    <n v="6856"/>
    <n v="794.97"/>
    <n v="342.8"/>
    <n v="0"/>
    <n v="2065.5100000000002"/>
    <n v="368.42"/>
    <n v="0"/>
    <n v="0"/>
    <m/>
    <n v="6856"/>
    <n v="3284.3"/>
    <n v="47.9"/>
    <x v="1"/>
    <n v="12763"/>
    <n v="873"/>
    <n v="6.84"/>
    <n v="38"/>
    <n v="0.3"/>
    <m/>
    <s v="No"/>
    <x v="8"/>
    <n v="2"/>
    <n v="136"/>
    <s v="OK"/>
  </r>
  <r>
    <x v="9"/>
    <x v="9"/>
    <s v="23-03-2023"/>
    <x v="2"/>
    <x v="3"/>
    <s v="Wildcraft"/>
    <s v="SKU-BEA-1515"/>
    <s v="B058918796"/>
    <x v="1"/>
    <x v="0"/>
    <n v="5"/>
    <n v="4123"/>
    <n v="3852"/>
    <n v="6.6"/>
    <n v="19260"/>
    <n v="2760.29"/>
    <n v="963"/>
    <n v="0"/>
    <n v="8996.6200000000008"/>
    <n v="271.43"/>
    <n v="0"/>
    <n v="0"/>
    <m/>
    <n v="19260"/>
    <n v="6268.66"/>
    <n v="32.5"/>
    <x v="3"/>
    <n v="1238"/>
    <n v="80"/>
    <n v="6.46"/>
    <n v="12"/>
    <n v="0.6"/>
    <n v="2"/>
    <s v="Yes"/>
    <x v="4"/>
    <n v="3"/>
    <n v="123"/>
    <s v="OK"/>
  </r>
  <r>
    <x v="10"/>
    <x v="6"/>
    <m/>
    <x v="1"/>
    <x v="9"/>
    <s v="Noise"/>
    <s v="SKU-SPO-8680"/>
    <s v="B039299113"/>
    <x v="0"/>
    <x v="2"/>
    <n v="10"/>
    <n v="2055"/>
    <n v="1777"/>
    <n v="13.5"/>
    <n v="17770"/>
    <n v="2410.89"/>
    <n v="0"/>
    <n v="47.61"/>
    <n v="8058.14"/>
    <n v="105.85"/>
    <n v="0"/>
    <n v="0"/>
    <m/>
    <n v="17770"/>
    <n v="7147.51"/>
    <n v="40.200000000000003"/>
    <x v="2"/>
    <n v="11042"/>
    <n v="694"/>
    <n v="6.29"/>
    <n v="84"/>
    <n v="0.1"/>
    <m/>
    <s v="No"/>
    <x v="6"/>
    <n v="6"/>
    <n v="48"/>
    <s v="OK"/>
  </r>
  <r>
    <x v="11"/>
    <x v="10"/>
    <s v="31-05-2024"/>
    <x v="1"/>
    <x v="9"/>
    <s v="Milton"/>
    <s v="SKU-SPO-5165"/>
    <s v="B055935117"/>
    <x v="1"/>
    <x v="0"/>
    <n v="6"/>
    <n v="3416"/>
    <n v="3101"/>
    <n v="9.1999999999999993"/>
    <n v="18606"/>
    <n v="2468.64"/>
    <n v="930.3"/>
    <n v="0"/>
    <n v="6694.98"/>
    <n v="151.22999999999999"/>
    <n v="0"/>
    <n v="0"/>
    <m/>
    <n v="18606"/>
    <n v="8360.85"/>
    <n v="44.9"/>
    <x v="3"/>
    <n v="8361"/>
    <n v="611"/>
    <n v="7.31"/>
    <n v="87"/>
    <n v="0.1"/>
    <n v="3"/>
    <s v="No"/>
    <x v="4"/>
    <n v="1"/>
    <n v="75"/>
    <s v="OK"/>
  </r>
  <r>
    <x v="12"/>
    <x v="11"/>
    <m/>
    <x v="2"/>
    <x v="7"/>
    <s v="Himalaya"/>
    <s v="SKU-BEA-7554"/>
    <s v="B023820418"/>
    <x v="0"/>
    <x v="4"/>
    <n v="8"/>
    <n v="2552"/>
    <n v="2031"/>
    <n v="20.399999999999999"/>
    <n v="16248"/>
    <n v="1575.33"/>
    <n v="0"/>
    <n v="64.95"/>
    <n v="5935.09"/>
    <n v="305.77999999999997"/>
    <n v="0"/>
    <n v="0"/>
    <m/>
    <n v="16248"/>
    <n v="8366.85"/>
    <n v="51.5"/>
    <x v="1"/>
    <n v="5499"/>
    <n v="155"/>
    <n v="2.82"/>
    <n v="28"/>
    <n v="0.5"/>
    <m/>
    <s v="No"/>
    <x v="7"/>
    <n v="6"/>
    <n v="174"/>
    <s v="OK"/>
  </r>
  <r>
    <x v="13"/>
    <x v="12"/>
    <s v="05-08-2024"/>
    <x v="3"/>
    <x v="10"/>
    <s v="Fastrack"/>
    <s v="SKU-ELE-6416"/>
    <s v="B057788901"/>
    <x v="1"/>
    <x v="0"/>
    <n v="6"/>
    <n v="1909"/>
    <n v="1395"/>
    <n v="26.9"/>
    <n v="8370"/>
    <n v="1254.3900000000001"/>
    <n v="418.5"/>
    <n v="0"/>
    <n v="2611.1799999999998"/>
    <n v="0"/>
    <n v="0"/>
    <n v="0"/>
    <m/>
    <n v="8370"/>
    <n v="4085.93"/>
    <n v="48.8"/>
    <x v="1"/>
    <n v="0"/>
    <n v="0"/>
    <n v="0"/>
    <n v="0"/>
    <n v="0"/>
    <n v="1"/>
    <s v="No"/>
    <x v="6"/>
    <n v="1"/>
    <n v="169"/>
    <s v="OK"/>
  </r>
  <r>
    <x v="14"/>
    <x v="13"/>
    <s v="26-09-2023"/>
    <x v="5"/>
    <x v="11"/>
    <s v="Noise"/>
    <s v="SKU-HOM-7986"/>
    <s v="B099125593"/>
    <x v="0"/>
    <x v="0"/>
    <n v="9"/>
    <n v="3238"/>
    <n v="2454"/>
    <n v="24.2"/>
    <n v="22086"/>
    <n v="3356.45"/>
    <n v="0"/>
    <n v="82.76"/>
    <n v="7217.51"/>
    <n v="465.87"/>
    <n v="0"/>
    <n v="0"/>
    <m/>
    <n v="22086"/>
    <n v="10963.41"/>
    <n v="49.6"/>
    <x v="1"/>
    <n v="857"/>
    <n v="15"/>
    <n v="1.75"/>
    <n v="0"/>
    <n v="0"/>
    <n v="3"/>
    <s v="Yes"/>
    <x v="8"/>
    <n v="6"/>
    <n v="71"/>
    <s v="OK"/>
  </r>
  <r>
    <x v="15"/>
    <x v="14"/>
    <s v="22-02-2024"/>
    <x v="1"/>
    <x v="12"/>
    <s v="Milton"/>
    <s v="SKU-SPO-9351"/>
    <s v="B056643489"/>
    <x v="1"/>
    <x v="0"/>
    <n v="10"/>
    <n v="4770"/>
    <n v="4197"/>
    <n v="12"/>
    <n v="41970"/>
    <n v="4108.87"/>
    <n v="2098.5"/>
    <n v="0"/>
    <n v="16270.56"/>
    <n v="106.5"/>
    <n v="0"/>
    <n v="0"/>
    <m/>
    <n v="41970"/>
    <n v="19385.57"/>
    <n v="46.2"/>
    <x v="2"/>
    <n v="1361"/>
    <n v="104"/>
    <n v="7.64"/>
    <n v="17"/>
    <n v="0.1"/>
    <n v="2"/>
    <s v="No"/>
    <x v="9"/>
    <n v="2"/>
    <n v="163"/>
    <s v="OK"/>
  </r>
  <r>
    <x v="16"/>
    <x v="15"/>
    <m/>
    <x v="4"/>
    <x v="13"/>
    <s v="Puma"/>
    <s v="SKU-OFF-2872"/>
    <s v="B079602795"/>
    <x v="0"/>
    <x v="2"/>
    <n v="7"/>
    <n v="3034"/>
    <n v="2197"/>
    <n v="27.6"/>
    <n v="15379"/>
    <n v="1488.68"/>
    <n v="0"/>
    <n v="87.54"/>
    <n v="7713.7"/>
    <n v="0"/>
    <n v="0"/>
    <n v="0"/>
    <m/>
    <n v="15379"/>
    <n v="6089.08"/>
    <n v="39.6"/>
    <x v="1"/>
    <n v="0"/>
    <n v="0"/>
    <n v="0"/>
    <n v="0"/>
    <n v="0"/>
    <m/>
    <s v="No"/>
    <x v="7"/>
    <n v="5"/>
    <n v="190"/>
    <s v="OK"/>
  </r>
  <r>
    <x v="17"/>
    <x v="16"/>
    <s v="28-09-2023"/>
    <x v="0"/>
    <x v="14"/>
    <s v="Cello"/>
    <s v="SKU-FAS-6155"/>
    <s v="B039938226"/>
    <x v="1"/>
    <x v="0"/>
    <n v="1"/>
    <n v="4844"/>
    <n v="4065"/>
    <n v="16.100000000000001"/>
    <n v="4065"/>
    <n v="639.61"/>
    <n v="203.25"/>
    <n v="0"/>
    <n v="1649.49"/>
    <n v="424.55"/>
    <n v="0"/>
    <n v="0"/>
    <m/>
    <n v="4065"/>
    <n v="1148.0999999999999"/>
    <n v="28.2"/>
    <x v="3"/>
    <n v="3874"/>
    <n v="228"/>
    <n v="5.89"/>
    <n v="14"/>
    <n v="0.7"/>
    <n v="1"/>
    <s v="No"/>
    <x v="10"/>
    <n v="1"/>
    <n v="78"/>
    <s v="OK"/>
  </r>
  <r>
    <x v="18"/>
    <x v="17"/>
    <s v="10-12-2023"/>
    <x v="5"/>
    <x v="15"/>
    <s v="Noise"/>
    <s v="SKU-HOM-9007"/>
    <s v="B086705043"/>
    <x v="0"/>
    <x v="0"/>
    <n v="7"/>
    <n v="2521"/>
    <n v="2023"/>
    <n v="19.8"/>
    <n v="14161"/>
    <n v="1398.2"/>
    <n v="0"/>
    <n v="103.47"/>
    <n v="4304.9399999999996"/>
    <n v="0"/>
    <n v="0"/>
    <n v="0"/>
    <m/>
    <n v="14161"/>
    <n v="8354.39"/>
    <n v="59"/>
    <x v="1"/>
    <n v="0"/>
    <n v="0"/>
    <n v="0"/>
    <n v="0"/>
    <n v="0"/>
    <n v="5"/>
    <s v="Yes"/>
    <x v="8"/>
    <n v="5"/>
    <n v="143"/>
    <s v="OK"/>
  </r>
  <r>
    <x v="19"/>
    <x v="18"/>
    <m/>
    <x v="1"/>
    <x v="12"/>
    <s v="Lakme"/>
    <s v="SKU-SPO-7927"/>
    <s v="B079200491"/>
    <x v="0"/>
    <x v="1"/>
    <n v="1"/>
    <n v="850"/>
    <n v="673"/>
    <n v="20.8"/>
    <n v="673"/>
    <n v="118.56"/>
    <n v="0"/>
    <n v="46.5"/>
    <n v="355.89"/>
    <n v="468.06"/>
    <n v="0"/>
    <n v="0"/>
    <m/>
    <n v="673"/>
    <n v="-316.01"/>
    <n v="-47"/>
    <x v="2"/>
    <n v="2378"/>
    <n v="187"/>
    <n v="7.86"/>
    <n v="23"/>
    <n v="3"/>
    <m/>
    <s v="No"/>
    <x v="1"/>
    <n v="7"/>
    <n v="65"/>
    <s v="OK"/>
  </r>
  <r>
    <x v="20"/>
    <x v="19"/>
    <m/>
    <x v="5"/>
    <x v="16"/>
    <s v="Lakme"/>
    <s v="SKU-HOM-8241"/>
    <s v="B038532749"/>
    <x v="1"/>
    <x v="4"/>
    <n v="3"/>
    <n v="3316"/>
    <n v="2782"/>
    <n v="16.100000000000001"/>
    <n v="8346"/>
    <n v="1420.42"/>
    <n v="417.3"/>
    <n v="0"/>
    <n v="2892.71"/>
    <n v="429.53"/>
    <n v="0"/>
    <n v="0"/>
    <m/>
    <n v="8346"/>
    <n v="3186.04"/>
    <n v="38.200000000000003"/>
    <x v="3"/>
    <n v="13512"/>
    <n v="71"/>
    <n v="0.53"/>
    <n v="12"/>
    <n v="1.3"/>
    <m/>
    <s v="No"/>
    <x v="11"/>
    <n v="3"/>
    <n v="111"/>
    <s v="OK"/>
  </r>
  <r>
    <x v="21"/>
    <x v="20"/>
    <m/>
    <x v="2"/>
    <x v="17"/>
    <s v="Fastrack"/>
    <s v="SKU-BEA-3121"/>
    <s v="B025424427"/>
    <x v="1"/>
    <x v="4"/>
    <n v="5"/>
    <n v="1247"/>
    <n v="1058"/>
    <n v="15.2"/>
    <n v="5290"/>
    <n v="901.71"/>
    <n v="264.5"/>
    <n v="0"/>
    <n v="1725.31"/>
    <n v="340.73"/>
    <n v="0"/>
    <n v="0"/>
    <m/>
    <n v="5290"/>
    <n v="2057.75"/>
    <n v="38.9"/>
    <x v="3"/>
    <n v="2418"/>
    <n v="141"/>
    <n v="5.83"/>
    <n v="18"/>
    <n v="1.8"/>
    <m/>
    <s v="No"/>
    <x v="3"/>
    <n v="1"/>
    <n v="78"/>
    <s v="OK"/>
  </r>
  <r>
    <x v="22"/>
    <x v="21"/>
    <s v="12-03-2024"/>
    <x v="3"/>
    <x v="18"/>
    <s v="Lakme"/>
    <s v="SKU-ELE-3112"/>
    <s v="B040815071"/>
    <x v="0"/>
    <x v="0"/>
    <n v="8"/>
    <n v="4091"/>
    <n v="3590"/>
    <n v="12.2"/>
    <n v="28720"/>
    <n v="4030.73"/>
    <n v="0"/>
    <n v="76.98"/>
    <n v="11347.06"/>
    <n v="215.88"/>
    <n v="0"/>
    <n v="0"/>
    <m/>
    <n v="28720"/>
    <n v="13049.35"/>
    <n v="45.4"/>
    <x v="1"/>
    <n v="908"/>
    <n v="22"/>
    <n v="2.42"/>
    <n v="1"/>
    <n v="6"/>
    <n v="3"/>
    <s v="Yes"/>
    <x v="2"/>
    <n v="6"/>
    <n v="28"/>
    <s v="OK"/>
  </r>
  <r>
    <x v="23"/>
    <x v="22"/>
    <s v="11-04-2023"/>
    <x v="1"/>
    <x v="19"/>
    <s v="Cello"/>
    <s v="SKU-SPO-9265"/>
    <s v="B083643473"/>
    <x v="1"/>
    <x v="0"/>
    <n v="5"/>
    <n v="2374"/>
    <n v="1744"/>
    <n v="26.5"/>
    <n v="8720"/>
    <n v="755.83"/>
    <n v="436"/>
    <n v="0"/>
    <n v="2618.2199999999998"/>
    <n v="0"/>
    <n v="0"/>
    <n v="0"/>
    <m/>
    <n v="8720"/>
    <n v="4909.95"/>
    <n v="56.3"/>
    <x v="1"/>
    <n v="0"/>
    <n v="0"/>
    <n v="0"/>
    <n v="0"/>
    <n v="0"/>
    <n v="4"/>
    <s v="No"/>
    <x v="4"/>
    <n v="3"/>
    <n v="59"/>
    <s v="OK"/>
  </r>
  <r>
    <x v="24"/>
    <x v="23"/>
    <s v="12-04-2024"/>
    <x v="3"/>
    <x v="20"/>
    <s v="Decathlon"/>
    <s v="SKU-ELE-7659"/>
    <s v="B061367038"/>
    <x v="1"/>
    <x v="0"/>
    <n v="2"/>
    <n v="1308"/>
    <n v="934"/>
    <n v="28.6"/>
    <n v="1868"/>
    <n v="264.82"/>
    <n v="93.4"/>
    <n v="0"/>
    <n v="700.93"/>
    <n v="0"/>
    <n v="0"/>
    <n v="0"/>
    <m/>
    <n v="1868"/>
    <n v="808.85"/>
    <n v="43.3"/>
    <x v="1"/>
    <n v="0"/>
    <n v="0"/>
    <n v="0"/>
    <n v="0"/>
    <n v="0"/>
    <n v="4"/>
    <s v="No"/>
    <x v="10"/>
    <n v="2"/>
    <n v="55"/>
    <s v="OK"/>
  </r>
  <r>
    <x v="25"/>
    <x v="24"/>
    <s v="19-03-2024"/>
    <x v="0"/>
    <x v="21"/>
    <s v="BoAt"/>
    <s v="SKU-FAS-5650"/>
    <s v="B064432259"/>
    <x v="1"/>
    <x v="3"/>
    <n v="1"/>
    <n v="1662"/>
    <n v="1436"/>
    <n v="13.6"/>
    <n v="1436"/>
    <n v="166.33"/>
    <n v="71.8"/>
    <n v="0"/>
    <n v="655.23"/>
    <n v="467.63"/>
    <n v="0"/>
    <n v="0"/>
    <s v="Changed Mind"/>
    <n v="1436"/>
    <n v="75.010000000000005"/>
    <n v="5.2"/>
    <x v="1"/>
    <n v="8716"/>
    <n v="497"/>
    <n v="5.7"/>
    <n v="15"/>
    <n v="2.2000000000000002"/>
    <m/>
    <s v="No"/>
    <x v="11"/>
    <n v="2"/>
    <n v="199"/>
    <s v="OK"/>
  </r>
  <r>
    <x v="26"/>
    <x v="25"/>
    <s v="17-11-2024"/>
    <x v="3"/>
    <x v="20"/>
    <s v="Classmate"/>
    <s v="SKU-ELE-4882"/>
    <s v="B095771793"/>
    <x v="0"/>
    <x v="0"/>
    <n v="10"/>
    <n v="1254"/>
    <n v="1000"/>
    <n v="20.3"/>
    <n v="10000"/>
    <n v="1746.71"/>
    <n v="0"/>
    <n v="33.06"/>
    <n v="4007.43"/>
    <n v="474.9"/>
    <n v="0"/>
    <n v="0"/>
    <m/>
    <n v="10000"/>
    <n v="3737.9"/>
    <n v="37.4"/>
    <x v="1"/>
    <n v="12963"/>
    <n v="630"/>
    <n v="4.8600000000000003"/>
    <n v="10"/>
    <n v="4.7"/>
    <n v="3"/>
    <s v="Yes"/>
    <x v="7"/>
    <n v="4"/>
    <n v="97"/>
    <s v="OK"/>
  </r>
  <r>
    <x v="27"/>
    <x v="26"/>
    <m/>
    <x v="0"/>
    <x v="22"/>
    <s v="Puma"/>
    <s v="SKU-FAS-7428"/>
    <s v="B057582626"/>
    <x v="0"/>
    <x v="4"/>
    <n v="7"/>
    <n v="3845"/>
    <n v="3414"/>
    <n v="11.2"/>
    <n v="23898"/>
    <n v="3317.54"/>
    <n v="0"/>
    <n v="67.86"/>
    <n v="9698.61"/>
    <n v="433.83"/>
    <n v="0"/>
    <n v="0"/>
    <m/>
    <n v="23898"/>
    <n v="10380.16"/>
    <n v="43.4"/>
    <x v="0"/>
    <n v="638"/>
    <n v="48"/>
    <n v="7.52"/>
    <n v="0"/>
    <n v="0"/>
    <m/>
    <s v="No"/>
    <x v="0"/>
    <n v="3"/>
    <n v="198"/>
    <s v="OK"/>
  </r>
  <r>
    <x v="28"/>
    <x v="27"/>
    <s v="02-05-2024"/>
    <x v="0"/>
    <x v="0"/>
    <s v="Noise"/>
    <s v="SKU-FAS-6596"/>
    <s v="B044330015"/>
    <x v="0"/>
    <x v="0"/>
    <n v="6"/>
    <n v="4862"/>
    <n v="4348"/>
    <n v="10.6"/>
    <n v="26088"/>
    <n v="3051.05"/>
    <n v="0"/>
    <n v="84.56"/>
    <n v="8695.5499999999993"/>
    <n v="79.319999999999993"/>
    <n v="0"/>
    <n v="0"/>
    <m/>
    <n v="26088"/>
    <n v="14177.52"/>
    <n v="54.3"/>
    <x v="1"/>
    <n v="13758"/>
    <n v="835"/>
    <n v="6.07"/>
    <n v="47"/>
    <n v="0"/>
    <n v="3"/>
    <s v="Yes"/>
    <x v="7"/>
    <n v="3"/>
    <n v="195"/>
    <s v="OK"/>
  </r>
  <r>
    <x v="29"/>
    <x v="28"/>
    <s v="31-05-2024"/>
    <x v="1"/>
    <x v="23"/>
    <s v="Mamaearth"/>
    <s v="SKU-SPO-4474"/>
    <s v="B085686269"/>
    <x v="1"/>
    <x v="0"/>
    <n v="7"/>
    <n v="781"/>
    <n v="577"/>
    <n v="26.1"/>
    <n v="4039"/>
    <n v="329.94"/>
    <n v="201.95"/>
    <n v="0"/>
    <n v="1450.09"/>
    <n v="319.18"/>
    <n v="0"/>
    <n v="0"/>
    <m/>
    <n v="4039"/>
    <n v="1737.84"/>
    <n v="43"/>
    <x v="3"/>
    <n v="11017"/>
    <n v="63"/>
    <n v="0.56999999999999995"/>
    <n v="10"/>
    <n v="5.5"/>
    <n v="1"/>
    <s v="Yes"/>
    <x v="8"/>
    <n v="2"/>
    <n v="132"/>
    <s v="OK"/>
  </r>
  <r>
    <x v="30"/>
    <x v="29"/>
    <s v="19-05-2024"/>
    <x v="2"/>
    <x v="2"/>
    <s v="Prestige"/>
    <s v="SKU-BEA-6114"/>
    <s v="B030599713"/>
    <x v="1"/>
    <x v="0"/>
    <n v="1"/>
    <n v="670"/>
    <n v="564"/>
    <n v="15.8"/>
    <n v="564"/>
    <n v="54.9"/>
    <n v="28.2"/>
    <n v="0"/>
    <n v="212.41"/>
    <n v="60.34"/>
    <n v="0"/>
    <n v="0"/>
    <m/>
    <n v="564"/>
    <n v="208.15"/>
    <n v="36.9"/>
    <x v="3"/>
    <n v="12268"/>
    <n v="401"/>
    <n v="3.27"/>
    <n v="1"/>
    <n v="10.7"/>
    <n v="2"/>
    <s v="Yes"/>
    <x v="4"/>
    <n v="1"/>
    <n v="28"/>
    <s v="OK"/>
  </r>
  <r>
    <x v="31"/>
    <x v="30"/>
    <s v="07-05-2024"/>
    <x v="0"/>
    <x v="21"/>
    <s v="Lakme"/>
    <s v="SKU-FAS-5125"/>
    <s v="B063622133"/>
    <x v="1"/>
    <x v="3"/>
    <n v="2"/>
    <n v="3352"/>
    <n v="2910"/>
    <n v="13.2"/>
    <n v="5820"/>
    <n v="730"/>
    <n v="291"/>
    <n v="0"/>
    <n v="1955.84"/>
    <n v="324.72000000000003"/>
    <n v="0"/>
    <n v="0"/>
    <s v="Changed Mind"/>
    <n v="5820"/>
    <n v="2518.44"/>
    <n v="43.3"/>
    <x v="2"/>
    <n v="2231"/>
    <n v="11"/>
    <n v="0.49"/>
    <n v="0"/>
    <n v="0"/>
    <m/>
    <s v="No"/>
    <x v="6"/>
    <n v="2"/>
    <n v="23"/>
    <s v="OK"/>
  </r>
  <r>
    <x v="32"/>
    <x v="31"/>
    <m/>
    <x v="2"/>
    <x v="17"/>
    <s v="Puma"/>
    <s v="SKU-BEA-5886"/>
    <s v="B096561462"/>
    <x v="0"/>
    <x v="2"/>
    <n v="6"/>
    <n v="717"/>
    <n v="665"/>
    <n v="7.3"/>
    <n v="3990"/>
    <n v="616.58000000000004"/>
    <n v="0"/>
    <n v="43.63"/>
    <n v="1329.76"/>
    <n v="0"/>
    <n v="0"/>
    <n v="0"/>
    <m/>
    <n v="3990"/>
    <n v="2000.03"/>
    <n v="50.1"/>
    <x v="1"/>
    <n v="0"/>
    <n v="0"/>
    <n v="0"/>
    <n v="0"/>
    <n v="0"/>
    <m/>
    <s v="No"/>
    <x v="8"/>
    <n v="7"/>
    <n v="172"/>
    <s v="OK"/>
  </r>
  <r>
    <x v="33"/>
    <x v="32"/>
    <s v="11-08-2023"/>
    <x v="1"/>
    <x v="12"/>
    <s v="Skullcandy"/>
    <s v="SKU-SPO-6727"/>
    <s v="B035283375"/>
    <x v="1"/>
    <x v="3"/>
    <n v="1"/>
    <n v="2235"/>
    <n v="1779"/>
    <n v="20.399999999999999"/>
    <n v="1779"/>
    <n v="207.81"/>
    <n v="88.95"/>
    <n v="0"/>
    <n v="837.53"/>
    <n v="0"/>
    <n v="0"/>
    <n v="0"/>
    <s v="Defective"/>
    <n v="1779"/>
    <n v="644.71"/>
    <n v="36.200000000000003"/>
    <x v="1"/>
    <n v="0"/>
    <n v="0"/>
    <n v="0"/>
    <n v="0"/>
    <n v="0"/>
    <m/>
    <s v="No"/>
    <x v="10"/>
    <n v="3"/>
    <n v="176"/>
    <s v="OK"/>
  </r>
  <r>
    <x v="34"/>
    <x v="33"/>
    <s v="20-01-2024"/>
    <x v="2"/>
    <x v="17"/>
    <s v="Noise"/>
    <s v="SKU-BEA-2200"/>
    <s v="B057436045"/>
    <x v="1"/>
    <x v="0"/>
    <n v="10"/>
    <n v="3859"/>
    <n v="2702"/>
    <n v="30"/>
    <n v="27020"/>
    <n v="2638.04"/>
    <n v="1351"/>
    <n v="0"/>
    <n v="13976.27"/>
    <n v="21.24"/>
    <n v="0"/>
    <n v="0"/>
    <m/>
    <n v="27020"/>
    <n v="9033.4500000000007"/>
    <n v="33.4"/>
    <x v="0"/>
    <n v="6767"/>
    <n v="316"/>
    <n v="4.67"/>
    <n v="21"/>
    <n v="0"/>
    <n v="3"/>
    <s v="No"/>
    <x v="8"/>
    <n v="1"/>
    <n v="65"/>
    <s v="OK"/>
  </r>
  <r>
    <x v="35"/>
    <x v="30"/>
    <s v="08-05-2024"/>
    <x v="4"/>
    <x v="8"/>
    <s v="Prestige"/>
    <s v="SKU-OFF-8646"/>
    <s v="B058638828"/>
    <x v="1"/>
    <x v="0"/>
    <n v="8"/>
    <n v="500"/>
    <n v="457"/>
    <n v="8.6"/>
    <n v="3656"/>
    <n v="356.01"/>
    <n v="182.8"/>
    <n v="0"/>
    <n v="1352.71"/>
    <n v="165.26"/>
    <n v="0"/>
    <n v="0"/>
    <m/>
    <n v="3656"/>
    <n v="1599.22"/>
    <n v="43.7"/>
    <x v="0"/>
    <n v="10251"/>
    <n v="458"/>
    <n v="4.47"/>
    <n v="51"/>
    <n v="0.7"/>
    <n v="5"/>
    <s v="Yes"/>
    <x v="8"/>
    <n v="3"/>
    <n v="171"/>
    <s v="OK"/>
  </r>
  <r>
    <x v="36"/>
    <x v="34"/>
    <m/>
    <x v="1"/>
    <x v="19"/>
    <s v="Himalaya"/>
    <s v="SKU-SPO-7168"/>
    <s v="B088421848"/>
    <x v="1"/>
    <x v="1"/>
    <n v="6"/>
    <n v="1308"/>
    <n v="1207"/>
    <n v="7.7"/>
    <n v="7242"/>
    <n v="705.82"/>
    <n v="362.1"/>
    <n v="0"/>
    <n v="3255.65"/>
    <n v="158.6"/>
    <n v="0"/>
    <n v="0"/>
    <m/>
    <n v="7242"/>
    <n v="2759.83"/>
    <n v="38.1"/>
    <x v="3"/>
    <n v="2097"/>
    <n v="83"/>
    <n v="3.96"/>
    <n v="16"/>
    <n v="0.8"/>
    <m/>
    <s v="No"/>
    <x v="2"/>
    <n v="1"/>
    <n v="152"/>
    <s v="OK"/>
  </r>
  <r>
    <x v="37"/>
    <x v="35"/>
    <s v="13-09-2023"/>
    <x v="2"/>
    <x v="2"/>
    <s v="Generic"/>
    <s v="SKU-BEA-3687"/>
    <s v="B011287697"/>
    <x v="1"/>
    <x v="0"/>
    <n v="6"/>
    <n v="1305"/>
    <n v="1193"/>
    <n v="8.6"/>
    <n v="7158"/>
    <n v="1245.76"/>
    <n v="357.9"/>
    <n v="0"/>
    <n v="3256.48"/>
    <n v="165.45"/>
    <n v="0"/>
    <n v="0"/>
    <m/>
    <n v="7158"/>
    <n v="2132.41"/>
    <n v="29.8"/>
    <x v="1"/>
    <n v="13502"/>
    <n v="311"/>
    <n v="2.2999999999999998"/>
    <n v="28"/>
    <n v="0.5"/>
    <n v="5"/>
    <s v="Yes"/>
    <x v="3"/>
    <n v="3"/>
    <n v="150"/>
    <s v="OK"/>
  </r>
  <r>
    <x v="38"/>
    <x v="36"/>
    <m/>
    <x v="3"/>
    <x v="18"/>
    <s v="Classmate"/>
    <s v="SKU-ELE-5232"/>
    <s v="B075476301"/>
    <x v="1"/>
    <x v="1"/>
    <n v="7"/>
    <n v="4206"/>
    <n v="3002"/>
    <n v="28.6"/>
    <n v="21014"/>
    <n v="3374.06"/>
    <n v="1050.7"/>
    <n v="0"/>
    <n v="6826.95"/>
    <n v="104.17"/>
    <n v="0"/>
    <n v="0"/>
    <m/>
    <n v="21014"/>
    <n v="9658.1200000000008"/>
    <n v="46"/>
    <x v="1"/>
    <n v="7513"/>
    <n v="48"/>
    <n v="0.64"/>
    <n v="3"/>
    <n v="1.2"/>
    <m/>
    <s v="No"/>
    <x v="4"/>
    <n v="1"/>
    <n v="71"/>
    <s v="OK"/>
  </r>
  <r>
    <x v="39"/>
    <x v="37"/>
    <s v="14-04-2024"/>
    <x v="5"/>
    <x v="15"/>
    <s v="Himalaya"/>
    <s v="SKU-HOM-9918"/>
    <s v="B020537842"/>
    <x v="1"/>
    <x v="0"/>
    <n v="10"/>
    <n v="4719"/>
    <n v="4155"/>
    <n v="12"/>
    <n v="41550"/>
    <n v="3832.67"/>
    <n v="2077.5"/>
    <n v="0"/>
    <n v="22308.45"/>
    <n v="418.28"/>
    <n v="0"/>
    <n v="0"/>
    <m/>
    <n v="41550"/>
    <n v="12913.1"/>
    <n v="31.1"/>
    <x v="1"/>
    <n v="9064"/>
    <n v="155"/>
    <n v="1.71"/>
    <n v="20"/>
    <n v="0.5"/>
    <n v="5"/>
    <s v="Yes"/>
    <x v="2"/>
    <n v="3"/>
    <n v="175"/>
    <s v="OK"/>
  </r>
  <r>
    <x v="40"/>
    <x v="38"/>
    <s v="20-05-2024"/>
    <x v="3"/>
    <x v="24"/>
    <s v="Himalaya"/>
    <s v="SKU-ELE-2368"/>
    <s v="B098934911"/>
    <x v="1"/>
    <x v="3"/>
    <n v="9"/>
    <n v="2607"/>
    <n v="1894"/>
    <n v="27.3"/>
    <n v="17046"/>
    <n v="2562.31"/>
    <n v="852.3"/>
    <n v="0"/>
    <n v="5175.8599999999997"/>
    <n v="466.48"/>
    <n v="1"/>
    <n v="1894"/>
    <s v="Damaged in Transit"/>
    <n v="15152"/>
    <n v="6095.05"/>
    <n v="40.200000000000003"/>
    <x v="0"/>
    <n v="1495"/>
    <n v="96"/>
    <n v="6.42"/>
    <n v="15"/>
    <n v="1.6"/>
    <m/>
    <s v="No"/>
    <x v="2"/>
    <n v="3"/>
    <n v="75"/>
    <s v="OK"/>
  </r>
  <r>
    <x v="41"/>
    <x v="39"/>
    <s v="08-04-2024"/>
    <x v="2"/>
    <x v="7"/>
    <s v="Wildcraft"/>
    <s v="SKU-BEA-5632"/>
    <s v="B068453027"/>
    <x v="0"/>
    <x v="0"/>
    <n v="5"/>
    <n v="890"/>
    <n v="673"/>
    <n v="24.4"/>
    <n v="3365"/>
    <n v="310.43"/>
    <n v="0"/>
    <n v="43.3"/>
    <n v="1342.28"/>
    <n v="381.49"/>
    <n v="0"/>
    <n v="0"/>
    <m/>
    <n v="3365"/>
    <n v="1287.5"/>
    <n v="38.299999999999997"/>
    <x v="1"/>
    <n v="4177"/>
    <n v="284"/>
    <n v="6.8"/>
    <n v="26"/>
    <n v="2.2000000000000002"/>
    <n v="4"/>
    <s v="No"/>
    <x v="1"/>
    <n v="5"/>
    <n v="154"/>
    <s v="OK"/>
  </r>
  <r>
    <x v="42"/>
    <x v="40"/>
    <m/>
    <x v="3"/>
    <x v="25"/>
    <s v="BoAt"/>
    <s v="SKU-ELE-5919"/>
    <s v="B017146211"/>
    <x v="1"/>
    <x v="1"/>
    <n v="4"/>
    <n v="1328"/>
    <n v="974"/>
    <n v="26.7"/>
    <n v="3896"/>
    <n v="585.33000000000004"/>
    <n v="194.8"/>
    <n v="0"/>
    <n v="1862.02"/>
    <n v="322.77"/>
    <n v="0"/>
    <n v="0"/>
    <m/>
    <n v="3896"/>
    <n v="931.08"/>
    <n v="23.9"/>
    <x v="2"/>
    <n v="5738"/>
    <n v="447"/>
    <n v="7.79"/>
    <n v="55"/>
    <n v="0.6"/>
    <m/>
    <s v="No"/>
    <x v="6"/>
    <n v="2"/>
    <n v="57"/>
    <s v="OK"/>
  </r>
  <r>
    <x v="43"/>
    <x v="41"/>
    <s v="12-09-2024"/>
    <x v="3"/>
    <x v="26"/>
    <s v="Puma"/>
    <s v="SKU-ELE-2624"/>
    <s v="B061438803"/>
    <x v="1"/>
    <x v="0"/>
    <n v="4"/>
    <n v="290"/>
    <n v="216"/>
    <n v="25.5"/>
    <n v="864"/>
    <n v="80.39"/>
    <n v="43.2"/>
    <n v="0"/>
    <n v="293.61"/>
    <n v="0"/>
    <n v="0"/>
    <n v="0"/>
    <m/>
    <n v="864"/>
    <n v="446.8"/>
    <n v="51.7"/>
    <x v="1"/>
    <n v="0"/>
    <n v="0"/>
    <n v="0"/>
    <n v="0"/>
    <n v="0"/>
    <n v="5"/>
    <s v="Yes"/>
    <x v="5"/>
    <n v="3"/>
    <n v="49"/>
    <s v="OK"/>
  </r>
  <r>
    <x v="44"/>
    <x v="42"/>
    <s v="25-07-2024"/>
    <x v="0"/>
    <x v="27"/>
    <s v="Wildcraft"/>
    <s v="SKU-FAS-8596"/>
    <s v="B047891289"/>
    <x v="0"/>
    <x v="0"/>
    <n v="2"/>
    <n v="1620"/>
    <n v="1531"/>
    <n v="5.5"/>
    <n v="3062"/>
    <n v="536.47"/>
    <n v="0"/>
    <n v="53.4"/>
    <n v="1650.14"/>
    <n v="201.74"/>
    <n v="0"/>
    <n v="0"/>
    <m/>
    <n v="3062"/>
    <n v="620.25"/>
    <n v="20.3"/>
    <x v="1"/>
    <n v="11218"/>
    <n v="687"/>
    <n v="6.12"/>
    <n v="104"/>
    <n v="0.1"/>
    <n v="3"/>
    <s v="Yes"/>
    <x v="3"/>
    <n v="7"/>
    <n v="155"/>
    <s v="OK"/>
  </r>
  <r>
    <x v="45"/>
    <x v="43"/>
    <s v="12-01-2023"/>
    <x v="4"/>
    <x v="13"/>
    <s v="BoAt"/>
    <s v="SKU-OFF-8633"/>
    <s v="B013132997"/>
    <x v="1"/>
    <x v="0"/>
    <n v="8"/>
    <n v="2704"/>
    <n v="2490"/>
    <n v="7.9"/>
    <n v="19920"/>
    <n v="1907.67"/>
    <n v="996"/>
    <n v="0"/>
    <n v="6124.54"/>
    <n v="0"/>
    <n v="0"/>
    <n v="0"/>
    <m/>
    <n v="19920"/>
    <n v="10891.79"/>
    <n v="54.7"/>
    <x v="1"/>
    <n v="0"/>
    <n v="0"/>
    <n v="0"/>
    <n v="0"/>
    <n v="0"/>
    <n v="3"/>
    <s v="No"/>
    <x v="12"/>
    <n v="2"/>
    <n v="116"/>
    <s v="OK"/>
  </r>
  <r>
    <x v="46"/>
    <x v="44"/>
    <m/>
    <x v="1"/>
    <x v="28"/>
    <s v="Wildcraft"/>
    <s v="SKU-SPO-2524"/>
    <s v="B083251307"/>
    <x v="1"/>
    <x v="4"/>
    <n v="6"/>
    <n v="3302"/>
    <n v="3042"/>
    <n v="7.9"/>
    <n v="18252"/>
    <n v="2587.4899999999998"/>
    <n v="912.6"/>
    <n v="0"/>
    <n v="5874.5"/>
    <n v="350.24"/>
    <n v="0"/>
    <n v="0"/>
    <m/>
    <n v="18252"/>
    <n v="8527.17"/>
    <n v="46.7"/>
    <x v="0"/>
    <n v="11170"/>
    <n v="35"/>
    <n v="0.31"/>
    <n v="2"/>
    <n v="5.8"/>
    <m/>
    <s v="No"/>
    <x v="8"/>
    <n v="3"/>
    <n v="67"/>
    <s v="OK"/>
  </r>
  <r>
    <x v="47"/>
    <x v="45"/>
    <s v="09-10-2023"/>
    <x v="2"/>
    <x v="29"/>
    <s v="Prestige"/>
    <s v="SKU-BEA-2598"/>
    <s v="B015186867"/>
    <x v="1"/>
    <x v="0"/>
    <n v="9"/>
    <n v="4815"/>
    <n v="4241"/>
    <n v="11.9"/>
    <n v="38169"/>
    <n v="4592.25"/>
    <n v="1908.45"/>
    <n v="0"/>
    <n v="20141.349999999999"/>
    <n v="352.04"/>
    <n v="0"/>
    <n v="0"/>
    <m/>
    <n v="38169"/>
    <n v="11174.91"/>
    <n v="29.3"/>
    <x v="2"/>
    <n v="14344"/>
    <n v="1122"/>
    <n v="7.82"/>
    <n v="116"/>
    <n v="0.1"/>
    <n v="5"/>
    <s v="No"/>
    <x v="13"/>
    <n v="2"/>
    <n v="189"/>
    <s v="OK"/>
  </r>
  <r>
    <x v="48"/>
    <x v="43"/>
    <s v="15-01-2023"/>
    <x v="0"/>
    <x v="14"/>
    <s v="BoAt"/>
    <s v="SKU-FAS-2256"/>
    <s v="B084308107"/>
    <x v="0"/>
    <x v="3"/>
    <n v="6"/>
    <n v="3157"/>
    <n v="2971"/>
    <n v="5.9"/>
    <n v="17826"/>
    <n v="2088.2199999999998"/>
    <n v="0"/>
    <n v="113.49"/>
    <n v="8801.7199999999993"/>
    <n v="448.55"/>
    <n v="3"/>
    <n v="8913"/>
    <s v="Damaged in Transit"/>
    <n v="8913"/>
    <n v="-2538.98"/>
    <n v="-28.5"/>
    <x v="0"/>
    <n v="13988"/>
    <n v="926"/>
    <n v="6.62"/>
    <n v="159"/>
    <n v="0.1"/>
    <m/>
    <s v="No"/>
    <x v="0"/>
    <n v="5"/>
    <n v="35"/>
    <s v="OK"/>
  </r>
  <r>
    <x v="49"/>
    <x v="46"/>
    <s v="03-04-2024"/>
    <x v="1"/>
    <x v="23"/>
    <s v="Cello"/>
    <s v="SKU-SPO-1049"/>
    <s v="B060708772"/>
    <x v="1"/>
    <x v="0"/>
    <n v="1"/>
    <n v="2634"/>
    <n v="2108"/>
    <n v="20"/>
    <n v="2108"/>
    <n v="248.81"/>
    <n v="105.4"/>
    <n v="0"/>
    <n v="785.35"/>
    <n v="0"/>
    <n v="0"/>
    <n v="0"/>
    <m/>
    <n v="2108"/>
    <n v="968.44"/>
    <n v="45.9"/>
    <x v="1"/>
    <n v="0"/>
    <n v="0"/>
    <n v="0"/>
    <n v="0"/>
    <n v="0"/>
    <n v="3"/>
    <s v="No"/>
    <x v="6"/>
    <n v="2"/>
    <n v="72"/>
    <s v="OK"/>
  </r>
  <r>
    <x v="50"/>
    <x v="47"/>
    <m/>
    <x v="5"/>
    <x v="30"/>
    <s v="Wildcraft"/>
    <s v="SKU-HOM-9883"/>
    <s v="B080225784"/>
    <x v="1"/>
    <x v="4"/>
    <n v="3"/>
    <n v="329"/>
    <n v="310"/>
    <n v="5.8"/>
    <n v="930"/>
    <n v="108.84"/>
    <n v="46.5"/>
    <n v="0"/>
    <n v="409.06"/>
    <n v="0"/>
    <n v="0"/>
    <n v="0"/>
    <m/>
    <n v="930"/>
    <n v="365.6"/>
    <n v="39.299999999999997"/>
    <x v="1"/>
    <n v="0"/>
    <n v="0"/>
    <n v="0"/>
    <n v="0"/>
    <n v="0"/>
    <m/>
    <s v="No"/>
    <x v="4"/>
    <n v="3"/>
    <n v="139"/>
    <s v="OK"/>
  </r>
  <r>
    <x v="51"/>
    <x v="48"/>
    <s v="12-11-2023"/>
    <x v="0"/>
    <x v="31"/>
    <s v="Noise"/>
    <s v="SKU-FAS-8840"/>
    <s v="B025928953"/>
    <x v="1"/>
    <x v="0"/>
    <n v="10"/>
    <n v="2877"/>
    <n v="2609"/>
    <n v="9.3000000000000007"/>
    <n v="26090"/>
    <n v="3875.05"/>
    <n v="1304.5"/>
    <n v="0"/>
    <n v="13773.01"/>
    <n v="137.69999999999999"/>
    <n v="0"/>
    <n v="0"/>
    <m/>
    <n v="26090"/>
    <n v="6999.74"/>
    <n v="26.8"/>
    <x v="3"/>
    <n v="8107"/>
    <n v="240"/>
    <n v="2.96"/>
    <n v="10"/>
    <n v="0.5"/>
    <n v="3"/>
    <s v="Yes"/>
    <x v="8"/>
    <n v="3"/>
    <n v="32"/>
    <s v="OK"/>
  </r>
  <r>
    <x v="52"/>
    <x v="7"/>
    <s v="29-11-2024"/>
    <x v="2"/>
    <x v="32"/>
    <s v="Amazon Basics"/>
    <s v="SKU-BEA-9495"/>
    <s v="B080439142"/>
    <x v="1"/>
    <x v="3"/>
    <n v="3"/>
    <n v="3342"/>
    <n v="3014"/>
    <n v="9.8000000000000007"/>
    <n v="9042"/>
    <n v="1619.49"/>
    <n v="452.1"/>
    <n v="0"/>
    <n v="4376.0600000000004"/>
    <n v="271.08"/>
    <n v="0"/>
    <n v="0"/>
    <s v="Wrong Item"/>
    <n v="9042"/>
    <n v="2323.27"/>
    <n v="25.7"/>
    <x v="1"/>
    <n v="6516"/>
    <n v="328"/>
    <n v="5.03"/>
    <n v="61"/>
    <n v="0.1"/>
    <m/>
    <s v="No"/>
    <x v="2"/>
    <n v="1"/>
    <n v="176"/>
    <s v="OK"/>
  </r>
  <r>
    <x v="53"/>
    <x v="49"/>
    <s v="07-11-2023"/>
    <x v="0"/>
    <x v="33"/>
    <s v="Milton"/>
    <s v="SKU-FAS-7760"/>
    <s v="B031864626"/>
    <x v="1"/>
    <x v="0"/>
    <n v="4"/>
    <n v="2171"/>
    <n v="1639"/>
    <n v="24.5"/>
    <n v="6556"/>
    <n v="642.24"/>
    <n v="327.8"/>
    <n v="0"/>
    <n v="2513.7800000000002"/>
    <n v="334.74"/>
    <n v="0"/>
    <n v="0"/>
    <m/>
    <n v="6556"/>
    <n v="2737.44"/>
    <n v="41.8"/>
    <x v="2"/>
    <n v="8761"/>
    <n v="700"/>
    <n v="7.99"/>
    <n v="127"/>
    <n v="0.2"/>
    <n v="5"/>
    <s v="No"/>
    <x v="2"/>
    <n v="2"/>
    <n v="71"/>
    <s v="OK"/>
  </r>
  <r>
    <x v="54"/>
    <x v="50"/>
    <m/>
    <x v="1"/>
    <x v="23"/>
    <s v="Milton"/>
    <s v="SKU-SPO-5010"/>
    <s v="B079649600"/>
    <x v="1"/>
    <x v="4"/>
    <n v="5"/>
    <n v="4410"/>
    <n v="3374"/>
    <n v="23.5"/>
    <n v="16870"/>
    <n v="2217.61"/>
    <n v="843.5"/>
    <n v="0"/>
    <n v="5087.32"/>
    <n v="0"/>
    <n v="0"/>
    <n v="0"/>
    <m/>
    <n v="16870"/>
    <n v="8721.57"/>
    <n v="51.7"/>
    <x v="1"/>
    <n v="0"/>
    <n v="0"/>
    <n v="0"/>
    <n v="0"/>
    <n v="0"/>
    <m/>
    <s v="No"/>
    <x v="4"/>
    <n v="2"/>
    <n v="126"/>
    <s v="OK"/>
  </r>
  <r>
    <x v="55"/>
    <x v="51"/>
    <m/>
    <x v="5"/>
    <x v="30"/>
    <s v="Wildcraft"/>
    <s v="SKU-HOM-8996"/>
    <s v="B033516465"/>
    <x v="1"/>
    <x v="2"/>
    <n v="10"/>
    <n v="2007"/>
    <n v="1677"/>
    <n v="16.399999999999999"/>
    <n v="16770"/>
    <n v="2995.17"/>
    <n v="838.5"/>
    <n v="0"/>
    <n v="8868.02"/>
    <n v="0"/>
    <n v="0"/>
    <n v="0"/>
    <m/>
    <n v="16770"/>
    <n v="4068.31"/>
    <n v="24.3"/>
    <x v="1"/>
    <n v="0"/>
    <n v="0"/>
    <n v="0"/>
    <n v="0"/>
    <n v="0"/>
    <m/>
    <s v="No"/>
    <x v="9"/>
    <n v="3"/>
    <n v="164"/>
    <s v="OK"/>
  </r>
  <r>
    <x v="56"/>
    <x v="52"/>
    <s v="12-06-2023"/>
    <x v="3"/>
    <x v="5"/>
    <s v="Himalaya"/>
    <s v="SKU-ELE-6341"/>
    <s v="B020642945"/>
    <x v="1"/>
    <x v="0"/>
    <n v="9"/>
    <n v="3215"/>
    <n v="2533"/>
    <n v="21.2"/>
    <n v="22797"/>
    <n v="3555.9"/>
    <n v="1139.8499999999999"/>
    <n v="0"/>
    <n v="7668.07"/>
    <n v="294.14999999999998"/>
    <n v="0"/>
    <n v="0"/>
    <m/>
    <n v="22797"/>
    <n v="10139.030000000001"/>
    <n v="44.5"/>
    <x v="1"/>
    <n v="2476"/>
    <n v="109"/>
    <n v="4.4000000000000004"/>
    <n v="19"/>
    <n v="0.6"/>
    <n v="5"/>
    <s v="Yes"/>
    <x v="11"/>
    <n v="2"/>
    <n v="166"/>
    <s v="OK"/>
  </r>
  <r>
    <x v="57"/>
    <x v="53"/>
    <s v="26-03-2023"/>
    <x v="0"/>
    <x v="31"/>
    <s v="Amazon Basics"/>
    <s v="SKU-FAS-2781"/>
    <s v="B050112401"/>
    <x v="0"/>
    <x v="0"/>
    <n v="2"/>
    <n v="4969"/>
    <n v="4371"/>
    <n v="12"/>
    <n v="8742"/>
    <n v="1090.53"/>
    <n v="0"/>
    <n v="65.91"/>
    <n v="3773.21"/>
    <n v="0"/>
    <n v="0"/>
    <n v="0"/>
    <m/>
    <n v="8742"/>
    <n v="3812.35"/>
    <n v="43.6"/>
    <x v="1"/>
    <n v="0"/>
    <n v="0"/>
    <n v="0"/>
    <n v="0"/>
    <n v="0"/>
    <n v="2"/>
    <s v="Yes"/>
    <x v="3"/>
    <n v="3"/>
    <n v="22"/>
    <s v="OK"/>
  </r>
  <r>
    <x v="58"/>
    <x v="13"/>
    <s v="23-09-2023"/>
    <x v="0"/>
    <x v="31"/>
    <s v="Classmate"/>
    <s v="SKU-FAS-8576"/>
    <s v="B016971628"/>
    <x v="1"/>
    <x v="3"/>
    <n v="3"/>
    <n v="2242"/>
    <n v="1974"/>
    <n v="12"/>
    <n v="5922"/>
    <n v="919.67"/>
    <n v="296.10000000000002"/>
    <n v="0"/>
    <n v="3222.64"/>
    <n v="123.23"/>
    <n v="3"/>
    <n v="5922"/>
    <s v="Defective"/>
    <n v="0"/>
    <n v="-4561.6400000000003"/>
    <n v="0"/>
    <x v="0"/>
    <n v="6509"/>
    <n v="47"/>
    <n v="0.72"/>
    <n v="7"/>
    <n v="0.9"/>
    <m/>
    <s v="No"/>
    <x v="3"/>
    <n v="3"/>
    <n v="24"/>
    <s v="OK"/>
  </r>
  <r>
    <x v="59"/>
    <x v="54"/>
    <s v="27-07-2023"/>
    <x v="5"/>
    <x v="30"/>
    <s v="Mamaearth"/>
    <s v="SKU-HOM-8595"/>
    <s v="B054453694"/>
    <x v="0"/>
    <x v="0"/>
    <n v="2"/>
    <n v="4959"/>
    <n v="4463"/>
    <n v="10"/>
    <n v="8926"/>
    <n v="1220.9000000000001"/>
    <n v="0"/>
    <n v="111.54"/>
    <n v="3159.28"/>
    <n v="0"/>
    <n v="0"/>
    <n v="0"/>
    <m/>
    <n v="8926"/>
    <n v="4434.28"/>
    <n v="49.7"/>
    <x v="1"/>
    <n v="0"/>
    <n v="0"/>
    <n v="0"/>
    <n v="0"/>
    <n v="0"/>
    <n v="5"/>
    <s v="No"/>
    <x v="12"/>
    <n v="3"/>
    <n v="133"/>
    <s v="OK"/>
  </r>
  <r>
    <x v="60"/>
    <x v="55"/>
    <s v="26-12-2024"/>
    <x v="4"/>
    <x v="8"/>
    <s v="Milton"/>
    <s v="SKU-OFF-8566"/>
    <s v="B047506009"/>
    <x v="1"/>
    <x v="0"/>
    <n v="9"/>
    <n v="2432"/>
    <n v="2157"/>
    <n v="11.3"/>
    <n v="19413"/>
    <n v="2569.71"/>
    <n v="970.65"/>
    <n v="0"/>
    <n v="7619.47"/>
    <n v="153.4"/>
    <n v="0"/>
    <n v="0"/>
    <m/>
    <n v="19413"/>
    <n v="8099.77"/>
    <n v="41.7"/>
    <x v="1"/>
    <n v="12940"/>
    <n v="613"/>
    <n v="4.74"/>
    <n v="112"/>
    <n v="0.1"/>
    <n v="1"/>
    <s v="Yes"/>
    <x v="12"/>
    <n v="3"/>
    <n v="101"/>
    <s v="OK"/>
  </r>
  <r>
    <x v="61"/>
    <x v="56"/>
    <m/>
    <x v="2"/>
    <x v="2"/>
    <s v="Cello"/>
    <s v="SKU-BEA-5793"/>
    <s v="B030214809"/>
    <x v="1"/>
    <x v="4"/>
    <n v="4"/>
    <n v="376"/>
    <n v="355"/>
    <n v="5.6"/>
    <n v="1420"/>
    <n v="208.66"/>
    <n v="71"/>
    <n v="0"/>
    <n v="433.04"/>
    <n v="0"/>
    <n v="0"/>
    <n v="0"/>
    <m/>
    <n v="1420"/>
    <n v="707.3"/>
    <n v="49.8"/>
    <x v="1"/>
    <n v="0"/>
    <n v="0"/>
    <n v="0"/>
    <n v="0"/>
    <n v="0"/>
    <m/>
    <s v="No"/>
    <x v="3"/>
    <n v="1"/>
    <n v="140"/>
    <s v="OK"/>
  </r>
  <r>
    <x v="62"/>
    <x v="57"/>
    <m/>
    <x v="2"/>
    <x v="7"/>
    <s v="Generic"/>
    <s v="SKU-BEA-5828"/>
    <s v="B089684529"/>
    <x v="1"/>
    <x v="1"/>
    <n v="2"/>
    <n v="2672"/>
    <n v="2271"/>
    <n v="15"/>
    <n v="4542"/>
    <n v="742.69"/>
    <n v="227.1"/>
    <n v="0"/>
    <n v="1402.06"/>
    <n v="372.19"/>
    <n v="0"/>
    <n v="0"/>
    <m/>
    <n v="4542"/>
    <n v="1797.96"/>
    <n v="39.6"/>
    <x v="1"/>
    <n v="12556"/>
    <n v="304"/>
    <n v="2.42"/>
    <n v="1"/>
    <n v="16.399999999999999"/>
    <m/>
    <s v="No"/>
    <x v="13"/>
    <n v="1"/>
    <n v="26"/>
    <s v="OK"/>
  </r>
  <r>
    <x v="63"/>
    <x v="58"/>
    <s v="12-10-2024"/>
    <x v="5"/>
    <x v="11"/>
    <s v="Prestige"/>
    <s v="SKU-HOM-9203"/>
    <s v="B030506936"/>
    <x v="0"/>
    <x v="0"/>
    <n v="7"/>
    <n v="676"/>
    <n v="519"/>
    <n v="23.2"/>
    <n v="3633"/>
    <n v="352.21"/>
    <n v="0"/>
    <n v="94.86"/>
    <n v="1276.22"/>
    <n v="317.41000000000003"/>
    <n v="0"/>
    <n v="0"/>
    <m/>
    <n v="3633"/>
    <n v="1592.3"/>
    <n v="43.8"/>
    <x v="0"/>
    <n v="5924"/>
    <n v="24"/>
    <n v="0.41"/>
    <n v="0"/>
    <n v="0"/>
    <n v="5"/>
    <s v="No"/>
    <x v="1"/>
    <n v="7"/>
    <n v="145"/>
    <s v="OK"/>
  </r>
  <r>
    <x v="64"/>
    <x v="59"/>
    <s v="20-12-2023"/>
    <x v="0"/>
    <x v="33"/>
    <s v="Decathlon"/>
    <s v="SKU-FAS-5844"/>
    <s v="B064619876"/>
    <x v="1"/>
    <x v="0"/>
    <n v="1"/>
    <n v="2643"/>
    <n v="1975"/>
    <n v="25.3"/>
    <n v="1975"/>
    <n v="191.09"/>
    <n v="98.75"/>
    <n v="0"/>
    <n v="1014.16"/>
    <n v="32.71"/>
    <n v="0"/>
    <n v="0"/>
    <m/>
    <n v="1975"/>
    <n v="638.29"/>
    <n v="32.299999999999997"/>
    <x v="0"/>
    <n v="2321"/>
    <n v="88"/>
    <n v="3.79"/>
    <n v="9"/>
    <n v="0.2"/>
    <n v="1"/>
    <s v="No"/>
    <x v="3"/>
    <n v="2"/>
    <n v="175"/>
    <s v="OK"/>
  </r>
  <r>
    <x v="65"/>
    <x v="60"/>
    <m/>
    <x v="1"/>
    <x v="28"/>
    <s v="Lakme"/>
    <s v="SKU-SPO-8751"/>
    <s v="B064384394"/>
    <x v="0"/>
    <x v="2"/>
    <n v="2"/>
    <n v="617"/>
    <n v="454"/>
    <n v="26.4"/>
    <n v="908"/>
    <n v="154.86000000000001"/>
    <n v="0"/>
    <n v="102.5"/>
    <n v="284.32"/>
    <n v="281.22000000000003"/>
    <n v="0"/>
    <n v="0"/>
    <m/>
    <n v="908"/>
    <n v="85.1"/>
    <n v="9.4"/>
    <x v="1"/>
    <n v="10907"/>
    <n v="278"/>
    <n v="2.5499999999999998"/>
    <n v="54"/>
    <n v="1.1000000000000001"/>
    <m/>
    <s v="No"/>
    <x v="6"/>
    <n v="6"/>
    <n v="139"/>
    <s v="OK"/>
  </r>
  <r>
    <x v="66"/>
    <x v="61"/>
    <s v="14-06-2024"/>
    <x v="2"/>
    <x v="3"/>
    <s v="Classmate"/>
    <s v="SKU-BEA-5468"/>
    <s v="B034747514"/>
    <x v="1"/>
    <x v="3"/>
    <n v="10"/>
    <n v="4631"/>
    <n v="4383"/>
    <n v="5.4"/>
    <n v="43830"/>
    <n v="3833.19"/>
    <n v="2191.5"/>
    <n v="0"/>
    <n v="18050.02"/>
    <n v="244.5"/>
    <n v="7"/>
    <n v="30681"/>
    <s v="Defective"/>
    <n v="13149"/>
    <n v="-11170.21"/>
    <n v="-85"/>
    <x v="3"/>
    <n v="3627"/>
    <n v="27"/>
    <n v="0.74"/>
    <n v="2"/>
    <n v="2.8"/>
    <m/>
    <s v="No"/>
    <x v="9"/>
    <n v="3"/>
    <n v="142"/>
    <s v="OK"/>
  </r>
  <r>
    <x v="67"/>
    <x v="62"/>
    <s v="22-02-2024"/>
    <x v="0"/>
    <x v="14"/>
    <s v="Lakme"/>
    <s v="SKU-FAS-4391"/>
    <s v="B038863342"/>
    <x v="0"/>
    <x v="0"/>
    <n v="1"/>
    <n v="957"/>
    <n v="725"/>
    <n v="24.2"/>
    <n v="725"/>
    <n v="105.65"/>
    <n v="0"/>
    <n v="116.16"/>
    <n v="253.6"/>
    <n v="0"/>
    <n v="0"/>
    <n v="0"/>
    <m/>
    <n v="725"/>
    <n v="249.59"/>
    <n v="34.4"/>
    <x v="1"/>
    <n v="0"/>
    <n v="0"/>
    <n v="0"/>
    <n v="0"/>
    <n v="0"/>
    <n v="5"/>
    <s v="No"/>
    <x v="2"/>
    <n v="6"/>
    <n v="181"/>
    <s v="OK"/>
  </r>
  <r>
    <x v="68"/>
    <x v="63"/>
    <s v="16-04-2023"/>
    <x v="4"/>
    <x v="34"/>
    <s v="Prestige"/>
    <s v="SKU-OFF-9268"/>
    <s v="B099956415"/>
    <x v="1"/>
    <x v="0"/>
    <n v="1"/>
    <n v="798"/>
    <n v="606"/>
    <n v="24.1"/>
    <n v="606"/>
    <n v="93.23"/>
    <n v="30.3"/>
    <n v="0"/>
    <n v="205.89"/>
    <n v="307.70999999999998"/>
    <n v="0"/>
    <n v="0"/>
    <m/>
    <n v="606"/>
    <n v="-31.13"/>
    <n v="-5.0999999999999996"/>
    <x v="2"/>
    <n v="2901"/>
    <n v="135"/>
    <n v="4.6500000000000004"/>
    <n v="19"/>
    <n v="2.7"/>
    <n v="4"/>
    <s v="No"/>
    <x v="9"/>
    <n v="2"/>
    <n v="14"/>
    <s v="⚠️ Reorder"/>
  </r>
  <r>
    <x v="69"/>
    <x v="64"/>
    <s v="05-01-2024"/>
    <x v="0"/>
    <x v="35"/>
    <s v="Fastrack"/>
    <s v="SKU-FAS-4656"/>
    <s v="B055346122"/>
    <x v="1"/>
    <x v="0"/>
    <n v="9"/>
    <n v="2972"/>
    <n v="2625"/>
    <n v="11.7"/>
    <n v="23625"/>
    <n v="3266.66"/>
    <n v="1181.25"/>
    <n v="0"/>
    <n v="11106.28"/>
    <n v="0"/>
    <n v="0"/>
    <n v="0"/>
    <m/>
    <n v="23625"/>
    <n v="8070.81"/>
    <n v="34.200000000000003"/>
    <x v="1"/>
    <n v="0"/>
    <n v="0"/>
    <n v="0"/>
    <n v="0"/>
    <n v="0"/>
    <n v="5"/>
    <s v="No"/>
    <x v="8"/>
    <n v="3"/>
    <n v="174"/>
    <s v="OK"/>
  </r>
  <r>
    <x v="70"/>
    <x v="65"/>
    <s v="23-06-2024"/>
    <x v="0"/>
    <x v="35"/>
    <s v="Prestige"/>
    <s v="SKU-FAS-1286"/>
    <s v="B020834586"/>
    <x v="1"/>
    <x v="0"/>
    <n v="2"/>
    <n v="1125"/>
    <n v="865"/>
    <n v="23.1"/>
    <n v="1730"/>
    <n v="215.92"/>
    <n v="86.5"/>
    <n v="0"/>
    <n v="812.59"/>
    <n v="376.02"/>
    <n v="0"/>
    <n v="0"/>
    <m/>
    <n v="1730"/>
    <n v="238.97"/>
    <n v="13.8"/>
    <x v="0"/>
    <n v="6142"/>
    <n v="169"/>
    <n v="2.75"/>
    <n v="27"/>
    <n v="1.6"/>
    <n v="5"/>
    <s v="No"/>
    <x v="8"/>
    <n v="2"/>
    <n v="193"/>
    <s v="OK"/>
  </r>
  <r>
    <x v="71"/>
    <x v="66"/>
    <m/>
    <x v="5"/>
    <x v="15"/>
    <s v="Milton"/>
    <s v="SKU-HOM-1372"/>
    <s v="B086525229"/>
    <x v="0"/>
    <x v="1"/>
    <n v="5"/>
    <n v="4826"/>
    <n v="3824"/>
    <n v="20.8"/>
    <n v="19120"/>
    <n v="2568.04"/>
    <n v="0"/>
    <n v="102.41"/>
    <n v="7149.97"/>
    <n v="472.75"/>
    <n v="0"/>
    <n v="0"/>
    <m/>
    <n v="19120"/>
    <n v="8826.83"/>
    <n v="46.2"/>
    <x v="1"/>
    <n v="7345"/>
    <n v="468"/>
    <n v="6.37"/>
    <n v="63"/>
    <n v="0.2"/>
    <m/>
    <s v="No"/>
    <x v="4"/>
    <n v="6"/>
    <n v="108"/>
    <s v="OK"/>
  </r>
  <r>
    <x v="72"/>
    <x v="67"/>
    <m/>
    <x v="5"/>
    <x v="36"/>
    <s v="Cello"/>
    <s v="SKU-HOM-4636"/>
    <s v="B029957144"/>
    <x v="1"/>
    <x v="4"/>
    <n v="4"/>
    <n v="1730"/>
    <n v="1327"/>
    <n v="23.3"/>
    <n v="5308"/>
    <n v="534.07000000000005"/>
    <n v="265.39999999999998"/>
    <n v="0"/>
    <n v="2887.23"/>
    <n v="296.27"/>
    <n v="0"/>
    <n v="0"/>
    <m/>
    <n v="5308"/>
    <n v="1325.03"/>
    <n v="25"/>
    <x v="3"/>
    <n v="12241"/>
    <n v="229"/>
    <n v="1.87"/>
    <n v="5"/>
    <n v="4.5"/>
    <m/>
    <s v="No"/>
    <x v="11"/>
    <n v="1"/>
    <n v="74"/>
    <s v="OK"/>
  </r>
  <r>
    <x v="73"/>
    <x v="68"/>
    <m/>
    <x v="3"/>
    <x v="18"/>
    <s v="Cello"/>
    <s v="SKU-ELE-1900"/>
    <s v="B013501653"/>
    <x v="0"/>
    <x v="1"/>
    <n v="4"/>
    <n v="2313"/>
    <n v="1639"/>
    <n v="29.1"/>
    <n v="6556"/>
    <n v="897.61"/>
    <n v="0"/>
    <n v="41.66"/>
    <n v="2113.44"/>
    <n v="0"/>
    <n v="0"/>
    <n v="0"/>
    <m/>
    <n v="6556"/>
    <n v="3503.29"/>
    <n v="53.4"/>
    <x v="1"/>
    <n v="0"/>
    <n v="0"/>
    <n v="0"/>
    <n v="0"/>
    <n v="0"/>
    <m/>
    <s v="No"/>
    <x v="1"/>
    <n v="7"/>
    <n v="27"/>
    <s v="OK"/>
  </r>
  <r>
    <x v="74"/>
    <x v="69"/>
    <s v="27-01-2023"/>
    <x v="1"/>
    <x v="1"/>
    <s v="Himalaya"/>
    <s v="SKU-SPO-5274"/>
    <s v="B067351497"/>
    <x v="1"/>
    <x v="0"/>
    <n v="5"/>
    <n v="2442"/>
    <n v="1859"/>
    <n v="23.9"/>
    <n v="9295"/>
    <n v="1146.3900000000001"/>
    <n v="464.75"/>
    <n v="0"/>
    <n v="4499.97"/>
    <n v="381.45"/>
    <n v="0"/>
    <n v="0"/>
    <m/>
    <n v="9295"/>
    <n v="2802.44"/>
    <n v="30.1"/>
    <x v="2"/>
    <n v="6534"/>
    <n v="446"/>
    <n v="6.83"/>
    <n v="79"/>
    <n v="0.3"/>
    <n v="2"/>
    <s v="No"/>
    <x v="12"/>
    <n v="3"/>
    <n v="73"/>
    <s v="OK"/>
  </r>
  <r>
    <x v="75"/>
    <x v="70"/>
    <s v="27-07-2024"/>
    <x v="3"/>
    <x v="4"/>
    <s v="Wildcraft"/>
    <s v="SKU-ELE-6417"/>
    <s v="B053877880"/>
    <x v="1"/>
    <x v="0"/>
    <n v="9"/>
    <n v="2864"/>
    <n v="2153"/>
    <n v="24.8"/>
    <n v="19377"/>
    <n v="3035.96"/>
    <n v="968.85"/>
    <n v="0"/>
    <n v="8540.89"/>
    <n v="81.91"/>
    <n v="0"/>
    <n v="0"/>
    <m/>
    <n v="19377"/>
    <n v="6749.39"/>
    <n v="34.799999999999997"/>
    <x v="1"/>
    <n v="7728"/>
    <n v="574"/>
    <n v="7.43"/>
    <n v="27"/>
    <n v="0.1"/>
    <n v="4"/>
    <s v="Yes"/>
    <x v="4"/>
    <n v="3"/>
    <n v="30"/>
    <s v="OK"/>
  </r>
  <r>
    <x v="76"/>
    <x v="69"/>
    <s v="25-01-2023"/>
    <x v="5"/>
    <x v="11"/>
    <s v="Decathlon"/>
    <s v="SKU-HOM-7503"/>
    <s v="B059479495"/>
    <x v="1"/>
    <x v="0"/>
    <n v="7"/>
    <n v="4289"/>
    <n v="3487"/>
    <n v="18.7"/>
    <n v="24409"/>
    <n v="2185.5500000000002"/>
    <n v="1220.45"/>
    <n v="0"/>
    <n v="9576.7800000000007"/>
    <n v="0"/>
    <n v="0"/>
    <n v="0"/>
    <m/>
    <n v="24409"/>
    <n v="11426.22"/>
    <n v="46.8"/>
    <x v="1"/>
    <n v="0"/>
    <n v="0"/>
    <n v="0"/>
    <n v="0"/>
    <n v="0"/>
    <n v="5"/>
    <s v="No"/>
    <x v="2"/>
    <n v="1"/>
    <n v="0"/>
    <s v="⚠️ Reorder"/>
  </r>
  <r>
    <x v="77"/>
    <x v="71"/>
    <m/>
    <x v="0"/>
    <x v="27"/>
    <s v="Himalaya"/>
    <s v="SKU-FAS-7973"/>
    <s v="B063846732"/>
    <x v="1"/>
    <x v="2"/>
    <n v="5"/>
    <n v="4316"/>
    <n v="3367"/>
    <n v="22"/>
    <n v="16835"/>
    <n v="2429.56"/>
    <n v="841.75"/>
    <n v="0"/>
    <n v="5145.3500000000004"/>
    <n v="457.59"/>
    <n v="0"/>
    <n v="0"/>
    <m/>
    <n v="16835"/>
    <n v="7960.75"/>
    <n v="47.3"/>
    <x v="1"/>
    <n v="2243"/>
    <n v="127"/>
    <n v="5.66"/>
    <n v="17"/>
    <n v="0.8"/>
    <m/>
    <s v="No"/>
    <x v="12"/>
    <n v="2"/>
    <n v="49"/>
    <s v="OK"/>
  </r>
  <r>
    <x v="78"/>
    <x v="12"/>
    <s v="11-08-2024"/>
    <x v="5"/>
    <x v="37"/>
    <s v="Cello"/>
    <s v="SKU-HOM-5386"/>
    <s v="B022613499"/>
    <x v="0"/>
    <x v="0"/>
    <n v="6"/>
    <n v="2895"/>
    <n v="2368"/>
    <n v="18.2"/>
    <n v="14208"/>
    <n v="2155.09"/>
    <n v="0"/>
    <n v="33.83"/>
    <n v="7215.83"/>
    <n v="189.94"/>
    <n v="0"/>
    <n v="0"/>
    <m/>
    <n v="14208"/>
    <n v="4613.3100000000004"/>
    <n v="32.5"/>
    <x v="0"/>
    <n v="5826"/>
    <n v="68"/>
    <n v="1.17"/>
    <n v="7"/>
    <n v="1.1000000000000001"/>
    <n v="2"/>
    <s v="Yes"/>
    <x v="2"/>
    <n v="7"/>
    <n v="29"/>
    <s v="OK"/>
  </r>
  <r>
    <x v="79"/>
    <x v="72"/>
    <s v="06-01-2024"/>
    <x v="4"/>
    <x v="38"/>
    <s v="Himalaya"/>
    <s v="SKU-OFF-8935"/>
    <s v="B064305817"/>
    <x v="0"/>
    <x v="3"/>
    <n v="5"/>
    <n v="2461"/>
    <n v="1872"/>
    <n v="23.9"/>
    <n v="9360"/>
    <n v="1634.06"/>
    <n v="0"/>
    <n v="109.01"/>
    <n v="3311.89"/>
    <n v="393.98"/>
    <n v="3"/>
    <n v="5616"/>
    <s v="Defective"/>
    <n v="3744"/>
    <n v="-1704.94"/>
    <n v="-45.5"/>
    <x v="1"/>
    <n v="13128"/>
    <n v="552"/>
    <n v="4.2"/>
    <n v="1"/>
    <n v="21"/>
    <m/>
    <s v="No"/>
    <x v="13"/>
    <n v="6"/>
    <n v="33"/>
    <s v="OK"/>
  </r>
  <r>
    <x v="80"/>
    <x v="73"/>
    <m/>
    <x v="0"/>
    <x v="27"/>
    <s v="Mamaearth"/>
    <s v="SKU-FAS-3291"/>
    <s v="B058683240"/>
    <x v="1"/>
    <x v="2"/>
    <n v="5"/>
    <n v="321"/>
    <n v="227"/>
    <n v="29.3"/>
    <n v="1135"/>
    <n v="137.94999999999999"/>
    <n v="56.75"/>
    <n v="0"/>
    <n v="454.69"/>
    <n v="455.81"/>
    <n v="0"/>
    <n v="0"/>
    <m/>
    <n v="1135"/>
    <n v="29.8"/>
    <n v="2.6"/>
    <x v="3"/>
    <n v="7610"/>
    <n v="17"/>
    <n v="0.22"/>
    <n v="2"/>
    <n v="100.4"/>
    <m/>
    <s v="No"/>
    <x v="11"/>
    <n v="3"/>
    <n v="158"/>
    <s v="OK"/>
  </r>
  <r>
    <x v="81"/>
    <x v="74"/>
    <s v="25-11-2024"/>
    <x v="0"/>
    <x v="21"/>
    <s v="Milton"/>
    <s v="SKU-FAS-5305"/>
    <s v="B079180568"/>
    <x v="1"/>
    <x v="0"/>
    <n v="3"/>
    <n v="3539"/>
    <n v="3318"/>
    <n v="6.2"/>
    <n v="9954"/>
    <n v="1729.51"/>
    <n v="497.7"/>
    <n v="0"/>
    <n v="4516.0600000000004"/>
    <n v="458.2"/>
    <n v="0"/>
    <n v="0"/>
    <m/>
    <n v="9954"/>
    <n v="2752.53"/>
    <n v="27.7"/>
    <x v="1"/>
    <n v="3090"/>
    <n v="73"/>
    <n v="2.36"/>
    <n v="2"/>
    <n v="6.9"/>
    <n v="4"/>
    <s v="Yes"/>
    <x v="8"/>
    <n v="1"/>
    <n v="13"/>
    <s v="⚠️ Reorder"/>
  </r>
  <r>
    <x v="82"/>
    <x v="75"/>
    <s v="11-06-2024"/>
    <x v="0"/>
    <x v="27"/>
    <s v="Cello"/>
    <s v="SKU-FAS-6430"/>
    <s v="B075281808"/>
    <x v="0"/>
    <x v="0"/>
    <n v="8"/>
    <n v="4871"/>
    <n v="4193"/>
    <n v="13.9"/>
    <n v="33544"/>
    <n v="3698.29"/>
    <n v="0"/>
    <n v="65.27"/>
    <n v="14554.71"/>
    <n v="0"/>
    <n v="0"/>
    <n v="0"/>
    <m/>
    <n v="33544"/>
    <n v="15225.73"/>
    <n v="45.4"/>
    <x v="1"/>
    <n v="0"/>
    <n v="0"/>
    <n v="0"/>
    <n v="0"/>
    <n v="0"/>
    <n v="1"/>
    <s v="Yes"/>
    <x v="6"/>
    <n v="6"/>
    <n v="74"/>
    <s v="OK"/>
  </r>
  <r>
    <x v="83"/>
    <x v="76"/>
    <m/>
    <x v="4"/>
    <x v="39"/>
    <s v="Noise"/>
    <s v="SKU-OFF-6440"/>
    <s v="B097954545"/>
    <x v="0"/>
    <x v="2"/>
    <n v="3"/>
    <n v="3025"/>
    <n v="2228"/>
    <n v="26.3"/>
    <n v="6684"/>
    <n v="777.57"/>
    <n v="0"/>
    <n v="92.58"/>
    <n v="3431.82"/>
    <n v="0"/>
    <n v="0"/>
    <n v="0"/>
    <m/>
    <n v="6684"/>
    <n v="2382.0300000000002"/>
    <n v="35.6"/>
    <x v="1"/>
    <n v="0"/>
    <n v="0"/>
    <n v="0"/>
    <n v="0"/>
    <n v="0"/>
    <m/>
    <s v="No"/>
    <x v="3"/>
    <n v="6"/>
    <n v="66"/>
    <s v="OK"/>
  </r>
  <r>
    <x v="84"/>
    <x v="7"/>
    <m/>
    <x v="2"/>
    <x v="17"/>
    <s v="Mamaearth"/>
    <s v="SKU-BEA-2127"/>
    <s v="B014275349"/>
    <x v="0"/>
    <x v="2"/>
    <n v="6"/>
    <n v="2500"/>
    <n v="2284"/>
    <n v="8.6"/>
    <n v="13704"/>
    <n v="2241.37"/>
    <n v="0"/>
    <n v="80.89"/>
    <n v="6122.28"/>
    <n v="15.07"/>
    <n v="0"/>
    <n v="0"/>
    <m/>
    <n v="13704"/>
    <n v="5244.39"/>
    <n v="38.299999999999997"/>
    <x v="3"/>
    <n v="8841"/>
    <n v="259"/>
    <n v="2.93"/>
    <n v="5"/>
    <n v="0.1"/>
    <m/>
    <s v="No"/>
    <x v="13"/>
    <n v="4"/>
    <n v="129"/>
    <s v="OK"/>
  </r>
  <r>
    <x v="85"/>
    <x v="77"/>
    <m/>
    <x v="5"/>
    <x v="40"/>
    <s v="Himalaya"/>
    <s v="SKU-HOM-3655"/>
    <s v="B024939454"/>
    <x v="1"/>
    <x v="4"/>
    <n v="5"/>
    <n v="2143"/>
    <n v="1775"/>
    <n v="17.2"/>
    <n v="8875"/>
    <n v="1423.07"/>
    <n v="443.75"/>
    <n v="0"/>
    <n v="3681.01"/>
    <n v="38.86"/>
    <n v="0"/>
    <n v="0"/>
    <m/>
    <n v="8875"/>
    <n v="3288.31"/>
    <n v="37.1"/>
    <x v="1"/>
    <n v="13603"/>
    <n v="509"/>
    <n v="3.74"/>
    <n v="87"/>
    <n v="0"/>
    <m/>
    <s v="No"/>
    <x v="0"/>
    <n v="2"/>
    <n v="154"/>
    <s v="OK"/>
  </r>
  <r>
    <x v="86"/>
    <x v="59"/>
    <s v="21-12-2023"/>
    <x v="3"/>
    <x v="25"/>
    <s v="Skullcandy"/>
    <s v="SKU-ELE-4282"/>
    <s v="B044776715"/>
    <x v="1"/>
    <x v="0"/>
    <n v="10"/>
    <n v="3895"/>
    <n v="3505"/>
    <n v="10"/>
    <n v="35050"/>
    <n v="4222.72"/>
    <n v="1752.5"/>
    <n v="0"/>
    <n v="13725.01"/>
    <n v="279.10000000000002"/>
    <n v="0"/>
    <n v="0"/>
    <m/>
    <n v="35050"/>
    <n v="15070.67"/>
    <n v="43"/>
    <x v="0"/>
    <n v="8591"/>
    <n v="210"/>
    <n v="2.44"/>
    <n v="25"/>
    <n v="0.3"/>
    <n v="4"/>
    <s v="No"/>
    <x v="2"/>
    <n v="3"/>
    <n v="7"/>
    <s v="⚠️ Reorder"/>
  </r>
  <r>
    <x v="87"/>
    <x v="78"/>
    <s v="09-12-2024"/>
    <x v="3"/>
    <x v="5"/>
    <s v="Puma"/>
    <s v="SKU-ELE-9013"/>
    <s v="B021107694"/>
    <x v="1"/>
    <x v="0"/>
    <n v="1"/>
    <n v="1299"/>
    <n v="1196"/>
    <n v="7.9"/>
    <n v="1196"/>
    <n v="108.78"/>
    <n v="59.8"/>
    <n v="0"/>
    <n v="367.03"/>
    <n v="0"/>
    <n v="0"/>
    <n v="0"/>
    <m/>
    <n v="1196"/>
    <n v="660.39"/>
    <n v="55.2"/>
    <x v="1"/>
    <n v="0"/>
    <n v="0"/>
    <n v="0"/>
    <n v="0"/>
    <n v="0"/>
    <n v="1"/>
    <s v="No"/>
    <x v="1"/>
    <n v="2"/>
    <n v="59"/>
    <s v="OK"/>
  </r>
  <r>
    <x v="88"/>
    <x v="79"/>
    <m/>
    <x v="3"/>
    <x v="26"/>
    <s v="BoAt"/>
    <s v="SKU-ELE-1630"/>
    <s v="B032803158"/>
    <x v="0"/>
    <x v="4"/>
    <n v="6"/>
    <n v="2506"/>
    <n v="2146"/>
    <n v="14.4"/>
    <n v="12876"/>
    <n v="1448.5"/>
    <n v="0"/>
    <n v="95.56"/>
    <n v="6512.16"/>
    <n v="455.4"/>
    <n v="0"/>
    <n v="0"/>
    <m/>
    <n v="12876"/>
    <n v="4364.38"/>
    <n v="33.9"/>
    <x v="1"/>
    <n v="7963"/>
    <n v="114"/>
    <n v="1.43"/>
    <n v="0"/>
    <n v="0"/>
    <m/>
    <s v="No"/>
    <x v="13"/>
    <n v="4"/>
    <n v="34"/>
    <s v="OK"/>
  </r>
  <r>
    <x v="89"/>
    <x v="80"/>
    <s v="01-08-2023"/>
    <x v="3"/>
    <x v="18"/>
    <s v="Mamaearth"/>
    <s v="SKU-ELE-5946"/>
    <s v="B071717893"/>
    <x v="1"/>
    <x v="0"/>
    <n v="5"/>
    <n v="654"/>
    <n v="480"/>
    <n v="26.6"/>
    <n v="2400"/>
    <n v="394.41"/>
    <n v="120"/>
    <n v="0"/>
    <n v="1046.5999999999999"/>
    <n v="55.28"/>
    <n v="0"/>
    <n v="0"/>
    <m/>
    <n v="2400"/>
    <n v="783.71"/>
    <n v="32.700000000000003"/>
    <x v="2"/>
    <n v="7396"/>
    <n v="102"/>
    <n v="1.38"/>
    <n v="8"/>
    <n v="1.4"/>
    <n v="5"/>
    <s v="No"/>
    <x v="4"/>
    <n v="2"/>
    <n v="18"/>
    <s v="⚠️ Reorder"/>
  </r>
  <r>
    <x v="90"/>
    <x v="81"/>
    <m/>
    <x v="0"/>
    <x v="21"/>
    <s v="Wildcraft"/>
    <s v="SKU-FAS-1251"/>
    <s v="B029687769"/>
    <x v="1"/>
    <x v="1"/>
    <n v="1"/>
    <n v="3703"/>
    <n v="2633"/>
    <n v="28.9"/>
    <n v="2633"/>
    <n v="456.31"/>
    <n v="131.65"/>
    <n v="0"/>
    <n v="1224.31"/>
    <n v="228.01"/>
    <n v="0"/>
    <n v="0"/>
    <m/>
    <n v="2633"/>
    <n v="592.72"/>
    <n v="22.5"/>
    <x v="1"/>
    <n v="14246"/>
    <n v="551"/>
    <n v="3.87"/>
    <n v="95"/>
    <n v="0.1"/>
    <m/>
    <s v="No"/>
    <x v="9"/>
    <n v="3"/>
    <n v="200"/>
    <s v="OK"/>
  </r>
  <r>
    <x v="91"/>
    <x v="82"/>
    <s v="15-01-2023"/>
    <x v="2"/>
    <x v="41"/>
    <s v="Wildcraft"/>
    <s v="SKU-BEA-3850"/>
    <s v="B067737395"/>
    <x v="1"/>
    <x v="0"/>
    <n v="10"/>
    <n v="4701"/>
    <n v="4055"/>
    <n v="13.7"/>
    <n v="40550"/>
    <n v="3943.69"/>
    <n v="2027.5"/>
    <n v="0"/>
    <n v="12242.8"/>
    <n v="397.99"/>
    <n v="0"/>
    <n v="0"/>
    <m/>
    <n v="40550"/>
    <n v="21938.02"/>
    <n v="54.1"/>
    <x v="2"/>
    <n v="614"/>
    <n v="33"/>
    <n v="5.37"/>
    <n v="0"/>
    <n v="0"/>
    <n v="5"/>
    <s v="Yes"/>
    <x v="13"/>
    <n v="1"/>
    <n v="161"/>
    <s v="OK"/>
  </r>
  <r>
    <x v="92"/>
    <x v="83"/>
    <m/>
    <x v="4"/>
    <x v="42"/>
    <s v="BoAt"/>
    <s v="SKU-OFF-5553"/>
    <s v="B068483140"/>
    <x v="1"/>
    <x v="2"/>
    <n v="6"/>
    <n v="3573"/>
    <n v="3215"/>
    <n v="10"/>
    <n v="19290"/>
    <n v="3029.55"/>
    <n v="964.5"/>
    <n v="0"/>
    <n v="8038.47"/>
    <n v="406.56"/>
    <n v="0"/>
    <n v="0"/>
    <m/>
    <n v="19290"/>
    <n v="6850.92"/>
    <n v="35.5"/>
    <x v="1"/>
    <n v="7731"/>
    <n v="592"/>
    <n v="7.66"/>
    <n v="9"/>
    <n v="1.4"/>
    <m/>
    <s v="No"/>
    <x v="12"/>
    <n v="3"/>
    <n v="38"/>
    <s v="OK"/>
  </r>
  <r>
    <x v="93"/>
    <x v="84"/>
    <s v="21-04-2023"/>
    <x v="4"/>
    <x v="6"/>
    <s v="Mamaearth"/>
    <s v="SKU-OFF-9734"/>
    <s v="B032354220"/>
    <x v="0"/>
    <x v="0"/>
    <n v="6"/>
    <n v="3286"/>
    <n v="3080"/>
    <n v="6.3"/>
    <n v="18480"/>
    <n v="2496.0700000000002"/>
    <n v="0"/>
    <n v="56.65"/>
    <n v="6572.83"/>
    <n v="0"/>
    <n v="0"/>
    <n v="0"/>
    <m/>
    <n v="18480"/>
    <n v="9354.4500000000007"/>
    <n v="50.6"/>
    <x v="1"/>
    <n v="0"/>
    <n v="0"/>
    <n v="0"/>
    <n v="0"/>
    <n v="0"/>
    <n v="4"/>
    <s v="Yes"/>
    <x v="4"/>
    <n v="3"/>
    <n v="49"/>
    <s v="OK"/>
  </r>
  <r>
    <x v="94"/>
    <x v="34"/>
    <m/>
    <x v="3"/>
    <x v="10"/>
    <s v="Himalaya"/>
    <s v="SKU-ELE-6275"/>
    <s v="B074380859"/>
    <x v="1"/>
    <x v="1"/>
    <n v="1"/>
    <n v="2373"/>
    <n v="1753"/>
    <n v="26.1"/>
    <n v="1753"/>
    <n v="187.17"/>
    <n v="87.65"/>
    <n v="0"/>
    <n v="694.78"/>
    <n v="67.58"/>
    <n v="0"/>
    <n v="0"/>
    <m/>
    <n v="1753"/>
    <n v="715.82"/>
    <n v="40.799999999999997"/>
    <x v="0"/>
    <n v="6530"/>
    <n v="17"/>
    <n v="0.26"/>
    <n v="1"/>
    <n v="3.9"/>
    <m/>
    <s v="No"/>
    <x v="10"/>
    <n v="2"/>
    <n v="150"/>
    <s v="OK"/>
  </r>
  <r>
    <x v="95"/>
    <x v="85"/>
    <s v="07-01-2023"/>
    <x v="1"/>
    <x v="28"/>
    <s v="Generic"/>
    <s v="SKU-SPO-3232"/>
    <s v="B038644303"/>
    <x v="0"/>
    <x v="0"/>
    <n v="8"/>
    <n v="4954"/>
    <n v="4240"/>
    <n v="14.4"/>
    <n v="33920"/>
    <n v="5127.26"/>
    <n v="0"/>
    <n v="99.35"/>
    <n v="10251.57"/>
    <n v="346.6"/>
    <n v="0"/>
    <n v="0"/>
    <m/>
    <n v="33920"/>
    <n v="18095.22"/>
    <n v="53.3"/>
    <x v="1"/>
    <n v="9887"/>
    <n v="241"/>
    <n v="2.44"/>
    <n v="39"/>
    <n v="0.2"/>
    <n v="2"/>
    <s v="Yes"/>
    <x v="1"/>
    <n v="6"/>
    <n v="153"/>
    <s v="OK"/>
  </r>
  <r>
    <x v="96"/>
    <x v="6"/>
    <s v="29-07-2023"/>
    <x v="2"/>
    <x v="3"/>
    <s v="Generic"/>
    <s v="SKU-BEA-3349"/>
    <s v="B081528992"/>
    <x v="1"/>
    <x v="0"/>
    <n v="7"/>
    <n v="2981"/>
    <n v="2433"/>
    <n v="18.399999999999999"/>
    <n v="17031"/>
    <n v="1735.99"/>
    <n v="851.55"/>
    <n v="0"/>
    <n v="6436.28"/>
    <n v="308.58999999999997"/>
    <n v="0"/>
    <n v="0"/>
    <m/>
    <n v="17031"/>
    <n v="7698.59"/>
    <n v="45.2"/>
    <x v="0"/>
    <n v="13119"/>
    <n v="991"/>
    <n v="7.55"/>
    <n v="132"/>
    <n v="0.1"/>
    <n v="4"/>
    <s v="No"/>
    <x v="4"/>
    <n v="1"/>
    <n v="35"/>
    <s v="OK"/>
  </r>
  <r>
    <x v="97"/>
    <x v="86"/>
    <s v="08-03-2024"/>
    <x v="0"/>
    <x v="22"/>
    <s v="Himalaya"/>
    <s v="SKU-FAS-8961"/>
    <s v="B091136538"/>
    <x v="1"/>
    <x v="0"/>
    <n v="5"/>
    <n v="1661"/>
    <n v="1206"/>
    <n v="27.4"/>
    <n v="6030"/>
    <n v="750.54"/>
    <n v="301.5"/>
    <n v="0"/>
    <n v="3261.89"/>
    <n v="0"/>
    <n v="0"/>
    <n v="0"/>
    <m/>
    <n v="6030"/>
    <n v="1716.07"/>
    <n v="28.5"/>
    <x v="1"/>
    <n v="0"/>
    <n v="0"/>
    <n v="0"/>
    <n v="0"/>
    <n v="0"/>
    <n v="4"/>
    <s v="No"/>
    <x v="2"/>
    <n v="3"/>
    <n v="141"/>
    <s v="OK"/>
  </r>
  <r>
    <x v="98"/>
    <x v="64"/>
    <s v="03-01-2024"/>
    <x v="2"/>
    <x v="41"/>
    <s v="Milton"/>
    <s v="SKU-BEA-4706"/>
    <s v="B089760071"/>
    <x v="1"/>
    <x v="0"/>
    <n v="6"/>
    <n v="655"/>
    <n v="485"/>
    <n v="26"/>
    <n v="2910"/>
    <n v="431.82"/>
    <n v="145.5"/>
    <n v="0"/>
    <n v="952.75"/>
    <n v="68.94"/>
    <n v="0"/>
    <n v="0"/>
    <m/>
    <n v="2910"/>
    <n v="1310.99"/>
    <n v="45.1"/>
    <x v="0"/>
    <n v="14842"/>
    <n v="394"/>
    <n v="2.65"/>
    <n v="22"/>
    <n v="0.6"/>
    <n v="5"/>
    <s v="No"/>
    <x v="10"/>
    <n v="1"/>
    <n v="50"/>
    <s v="OK"/>
  </r>
  <r>
    <x v="99"/>
    <x v="87"/>
    <m/>
    <x v="5"/>
    <x v="11"/>
    <s v="Puma"/>
    <s v="SKU-HOM-4248"/>
    <s v="B076654148"/>
    <x v="0"/>
    <x v="4"/>
    <n v="6"/>
    <n v="3805"/>
    <n v="3323"/>
    <n v="12.7"/>
    <n v="19938"/>
    <n v="2394.4899999999998"/>
    <n v="0"/>
    <n v="66.28"/>
    <n v="8258.24"/>
    <n v="414.39"/>
    <n v="0"/>
    <n v="0"/>
    <m/>
    <n v="19938"/>
    <n v="8804.6"/>
    <n v="44.2"/>
    <x v="3"/>
    <n v="12003"/>
    <n v="264"/>
    <n v="2.2000000000000002"/>
    <n v="30"/>
    <n v="0.4"/>
    <m/>
    <s v="No"/>
    <x v="13"/>
    <n v="5"/>
    <n v="62"/>
    <s v="OK"/>
  </r>
  <r>
    <x v="100"/>
    <x v="88"/>
    <m/>
    <x v="2"/>
    <x v="2"/>
    <s v="Himalaya"/>
    <s v="SKU-BEA-4539"/>
    <s v="B043456642"/>
    <x v="1"/>
    <x v="4"/>
    <n v="3"/>
    <n v="4321"/>
    <n v="3997"/>
    <n v="7.5"/>
    <n v="11991"/>
    <n v="1599.72"/>
    <n v="599.54999999999995"/>
    <n v="0"/>
    <n v="3843.66"/>
    <n v="86.07"/>
    <n v="0"/>
    <n v="0"/>
    <m/>
    <n v="11991"/>
    <n v="5862"/>
    <n v="48.9"/>
    <x v="3"/>
    <n v="8113"/>
    <n v="81"/>
    <n v="1"/>
    <n v="12"/>
    <n v="0.2"/>
    <m/>
    <s v="No"/>
    <x v="9"/>
    <n v="3"/>
    <n v="65"/>
    <s v="OK"/>
  </r>
  <r>
    <x v="101"/>
    <x v="89"/>
    <m/>
    <x v="3"/>
    <x v="10"/>
    <s v="Milton"/>
    <s v="SKU-ELE-9853"/>
    <s v="B079780292"/>
    <x v="1"/>
    <x v="1"/>
    <n v="10"/>
    <n v="3238"/>
    <n v="2778"/>
    <n v="14.2"/>
    <n v="27780"/>
    <n v="3951"/>
    <n v="1389"/>
    <n v="0"/>
    <n v="12040.27"/>
    <n v="0"/>
    <n v="0"/>
    <n v="0"/>
    <m/>
    <n v="27780"/>
    <n v="10399.73"/>
    <n v="37.4"/>
    <x v="1"/>
    <n v="0"/>
    <n v="0"/>
    <n v="0"/>
    <n v="0"/>
    <n v="0"/>
    <m/>
    <s v="No"/>
    <x v="9"/>
    <n v="2"/>
    <n v="107"/>
    <s v="OK"/>
  </r>
  <r>
    <x v="102"/>
    <x v="90"/>
    <s v="22-11-2023"/>
    <x v="5"/>
    <x v="37"/>
    <s v="Generic"/>
    <s v="SKU-HOM-8690"/>
    <s v="B067448697"/>
    <x v="1"/>
    <x v="0"/>
    <n v="2"/>
    <n v="334"/>
    <n v="280"/>
    <n v="16.2"/>
    <n v="560"/>
    <n v="82.5"/>
    <n v="28"/>
    <n v="0"/>
    <n v="173.97"/>
    <n v="339.09"/>
    <n v="0"/>
    <n v="0"/>
    <m/>
    <n v="560"/>
    <n v="-63.56"/>
    <n v="-11.3"/>
    <x v="1"/>
    <n v="4918"/>
    <n v="216"/>
    <n v="4.3899999999999997"/>
    <n v="30"/>
    <n v="4"/>
    <n v="4"/>
    <s v="No"/>
    <x v="9"/>
    <n v="2"/>
    <n v="26"/>
    <s v="OK"/>
  </r>
  <r>
    <x v="103"/>
    <x v="91"/>
    <s v="14-09-2024"/>
    <x v="2"/>
    <x v="43"/>
    <s v="Generic"/>
    <s v="SKU-BEA-2617"/>
    <s v="B058412361"/>
    <x v="1"/>
    <x v="0"/>
    <n v="10"/>
    <n v="1533"/>
    <n v="1248"/>
    <n v="18.600000000000001"/>
    <n v="12480"/>
    <n v="1163.3599999999999"/>
    <n v="624"/>
    <n v="0"/>
    <n v="6827.96"/>
    <n v="0"/>
    <n v="0"/>
    <n v="0"/>
    <m/>
    <n v="12480"/>
    <n v="3864.68"/>
    <n v="31"/>
    <x v="1"/>
    <n v="0"/>
    <n v="0"/>
    <n v="0"/>
    <n v="0"/>
    <n v="0"/>
    <n v="5"/>
    <s v="No"/>
    <x v="6"/>
    <n v="3"/>
    <n v="177"/>
    <s v="OK"/>
  </r>
  <r>
    <x v="104"/>
    <x v="92"/>
    <m/>
    <x v="2"/>
    <x v="7"/>
    <s v="Milton"/>
    <s v="SKU-BEA-3678"/>
    <s v="B044371929"/>
    <x v="1"/>
    <x v="2"/>
    <n v="7"/>
    <n v="1522"/>
    <n v="1163"/>
    <n v="23.6"/>
    <n v="8141"/>
    <n v="1056.1400000000001"/>
    <n v="407.05"/>
    <n v="0"/>
    <n v="3751.1"/>
    <n v="0"/>
    <n v="0"/>
    <n v="0"/>
    <m/>
    <n v="8141"/>
    <n v="2926.71"/>
    <n v="36"/>
    <x v="1"/>
    <n v="0"/>
    <n v="0"/>
    <n v="0"/>
    <n v="0"/>
    <n v="0"/>
    <m/>
    <s v="No"/>
    <x v="13"/>
    <n v="1"/>
    <n v="162"/>
    <s v="OK"/>
  </r>
  <r>
    <x v="105"/>
    <x v="93"/>
    <s v="25-09-2024"/>
    <x v="4"/>
    <x v="8"/>
    <s v="Decathlon"/>
    <s v="SKU-OFF-5265"/>
    <s v="B069780708"/>
    <x v="1"/>
    <x v="0"/>
    <n v="10"/>
    <n v="1010"/>
    <n v="745"/>
    <n v="26.2"/>
    <n v="7450"/>
    <n v="823.1"/>
    <n v="372.5"/>
    <n v="0"/>
    <n v="2755.23"/>
    <n v="216.87"/>
    <n v="0"/>
    <n v="0"/>
    <m/>
    <n v="7450"/>
    <n v="3282.3"/>
    <n v="44.1"/>
    <x v="3"/>
    <n v="11112"/>
    <n v="772"/>
    <n v="6.95"/>
    <n v="29"/>
    <n v="1"/>
    <n v="2"/>
    <s v="No"/>
    <x v="5"/>
    <n v="1"/>
    <n v="90"/>
    <s v="OK"/>
  </r>
  <r>
    <x v="106"/>
    <x v="94"/>
    <m/>
    <x v="5"/>
    <x v="11"/>
    <s v="Fastrack"/>
    <s v="SKU-HOM-8883"/>
    <s v="B012599791"/>
    <x v="0"/>
    <x v="4"/>
    <n v="2"/>
    <n v="2972"/>
    <n v="2306"/>
    <n v="22.4"/>
    <n v="4612"/>
    <n v="723.29"/>
    <n v="0"/>
    <n v="98.79"/>
    <n v="1960.7"/>
    <n v="209.12"/>
    <n v="0"/>
    <n v="0"/>
    <m/>
    <n v="4612"/>
    <n v="1620.1"/>
    <n v="35.1"/>
    <x v="1"/>
    <n v="11061"/>
    <n v="335"/>
    <n v="3.03"/>
    <n v="3"/>
    <n v="3"/>
    <m/>
    <s v="No"/>
    <x v="11"/>
    <n v="4"/>
    <n v="79"/>
    <s v="OK"/>
  </r>
  <r>
    <x v="107"/>
    <x v="95"/>
    <s v="21-06-2023"/>
    <x v="5"/>
    <x v="40"/>
    <s v="Fastrack"/>
    <s v="SKU-HOM-9985"/>
    <s v="B070502915"/>
    <x v="1"/>
    <x v="0"/>
    <n v="10"/>
    <n v="3651"/>
    <n v="3251"/>
    <n v="11"/>
    <n v="32510"/>
    <n v="4129.21"/>
    <n v="1625.5"/>
    <n v="0"/>
    <n v="16460.810000000001"/>
    <n v="0"/>
    <n v="0"/>
    <n v="0"/>
    <m/>
    <n v="32510"/>
    <n v="10294.48"/>
    <n v="31.7"/>
    <x v="1"/>
    <n v="0"/>
    <n v="0"/>
    <n v="0"/>
    <n v="0"/>
    <n v="0"/>
    <n v="3"/>
    <s v="Yes"/>
    <x v="9"/>
    <n v="1"/>
    <n v="169"/>
    <s v="OK"/>
  </r>
  <r>
    <x v="108"/>
    <x v="46"/>
    <m/>
    <x v="2"/>
    <x v="32"/>
    <s v="Generic"/>
    <s v="SKU-BEA-7178"/>
    <s v="B058913912"/>
    <x v="1"/>
    <x v="1"/>
    <n v="9"/>
    <n v="422"/>
    <n v="337"/>
    <n v="20.100000000000001"/>
    <n v="3033"/>
    <n v="533.65"/>
    <n v="151.65"/>
    <n v="0"/>
    <n v="1274.92"/>
    <n v="476.14"/>
    <n v="0"/>
    <n v="0"/>
    <m/>
    <n v="3033"/>
    <n v="596.64"/>
    <n v="19.7"/>
    <x v="3"/>
    <n v="8285"/>
    <n v="363"/>
    <n v="4.38"/>
    <n v="43"/>
    <n v="3.3"/>
    <m/>
    <s v="No"/>
    <x v="3"/>
    <n v="2"/>
    <n v="109"/>
    <s v="OK"/>
  </r>
  <r>
    <x v="109"/>
    <x v="96"/>
    <m/>
    <x v="4"/>
    <x v="38"/>
    <s v="Puma"/>
    <s v="SKU-OFF-3666"/>
    <s v="B011219867"/>
    <x v="0"/>
    <x v="1"/>
    <n v="3"/>
    <n v="1168"/>
    <n v="888"/>
    <n v="24"/>
    <n v="2664"/>
    <n v="461.33"/>
    <n v="0"/>
    <n v="36.54"/>
    <n v="1279.31"/>
    <n v="154.26"/>
    <n v="0"/>
    <n v="0"/>
    <m/>
    <n v="2664"/>
    <n v="732.56"/>
    <n v="27.5"/>
    <x v="1"/>
    <n v="4653"/>
    <n v="182"/>
    <n v="3.91"/>
    <n v="32"/>
    <n v="0.5"/>
    <m/>
    <s v="No"/>
    <x v="6"/>
    <n v="3"/>
    <n v="117"/>
    <s v="OK"/>
  </r>
  <r>
    <x v="110"/>
    <x v="97"/>
    <m/>
    <x v="5"/>
    <x v="15"/>
    <s v="Classmate"/>
    <s v="SKU-HOM-6214"/>
    <s v="B042523331"/>
    <x v="1"/>
    <x v="1"/>
    <n v="4"/>
    <n v="1173"/>
    <n v="1091"/>
    <n v="7"/>
    <n v="4364"/>
    <n v="427.73"/>
    <n v="218.2"/>
    <n v="0"/>
    <n v="1428.48"/>
    <n v="0"/>
    <n v="0"/>
    <n v="0"/>
    <m/>
    <n v="4364"/>
    <n v="2289.59"/>
    <n v="52.5"/>
    <x v="1"/>
    <n v="0"/>
    <n v="0"/>
    <n v="0"/>
    <n v="0"/>
    <n v="0"/>
    <m/>
    <s v="No"/>
    <x v="2"/>
    <n v="3"/>
    <n v="198"/>
    <s v="OK"/>
  </r>
  <r>
    <x v="111"/>
    <x v="98"/>
    <m/>
    <x v="2"/>
    <x v="3"/>
    <s v="Lakme"/>
    <s v="SKU-BEA-8717"/>
    <s v="B055833474"/>
    <x v="1"/>
    <x v="4"/>
    <n v="9"/>
    <n v="2187"/>
    <n v="1613"/>
    <n v="26.2"/>
    <n v="14517"/>
    <n v="2370"/>
    <n v="725.85"/>
    <n v="0"/>
    <n v="5798.96"/>
    <n v="47.95"/>
    <n v="0"/>
    <n v="0"/>
    <m/>
    <n v="14517"/>
    <n v="5574.24"/>
    <n v="38.4"/>
    <x v="0"/>
    <n v="1157"/>
    <n v="68"/>
    <n v="5.88"/>
    <n v="10"/>
    <n v="0.3"/>
    <m/>
    <s v="No"/>
    <x v="3"/>
    <n v="3"/>
    <n v="179"/>
    <s v="OK"/>
  </r>
  <r>
    <x v="112"/>
    <x v="7"/>
    <m/>
    <x v="3"/>
    <x v="26"/>
    <s v="Prestige"/>
    <s v="SKU-ELE-6285"/>
    <s v="B061726049"/>
    <x v="0"/>
    <x v="4"/>
    <n v="3"/>
    <n v="3969"/>
    <n v="3374"/>
    <n v="15"/>
    <n v="10122"/>
    <n v="1089.75"/>
    <n v="0"/>
    <n v="62.24"/>
    <n v="5075.55"/>
    <n v="0"/>
    <n v="0"/>
    <n v="0"/>
    <m/>
    <n v="10122"/>
    <n v="3894.46"/>
    <n v="38.5"/>
    <x v="1"/>
    <n v="0"/>
    <n v="0"/>
    <n v="0"/>
    <n v="0"/>
    <n v="0"/>
    <m/>
    <s v="No"/>
    <x v="11"/>
    <n v="7"/>
    <n v="176"/>
    <s v="OK"/>
  </r>
  <r>
    <x v="113"/>
    <x v="99"/>
    <m/>
    <x v="4"/>
    <x v="44"/>
    <s v="Skullcandy"/>
    <s v="SKU-OFF-8322"/>
    <s v="B018251120"/>
    <x v="0"/>
    <x v="1"/>
    <n v="9"/>
    <n v="2878"/>
    <n v="2282"/>
    <n v="20.7"/>
    <n v="20538"/>
    <n v="3097.02"/>
    <n v="0"/>
    <n v="113.63"/>
    <n v="7494.92"/>
    <n v="166.91"/>
    <n v="0"/>
    <n v="0"/>
    <m/>
    <n v="20538"/>
    <n v="9665.52"/>
    <n v="47.1"/>
    <x v="1"/>
    <n v="9842"/>
    <n v="743"/>
    <n v="7.55"/>
    <n v="8"/>
    <n v="0.9"/>
    <m/>
    <s v="No"/>
    <x v="11"/>
    <n v="3"/>
    <n v="6"/>
    <s v="⚠️ Reorder"/>
  </r>
  <r>
    <x v="114"/>
    <x v="100"/>
    <s v="09-11-2023"/>
    <x v="1"/>
    <x v="19"/>
    <s v="Decathlon"/>
    <s v="SKU-SPO-4429"/>
    <s v="B020531052"/>
    <x v="1"/>
    <x v="3"/>
    <n v="3"/>
    <n v="2632"/>
    <n v="2098"/>
    <n v="20.3"/>
    <n v="6294"/>
    <n v="948.99"/>
    <n v="314.7"/>
    <n v="0"/>
    <n v="1958.65"/>
    <n v="47.38"/>
    <n v="1"/>
    <n v="2098"/>
    <s v="Wrong Item"/>
    <n v="4196"/>
    <n v="926.28"/>
    <n v="22.1"/>
    <x v="1"/>
    <n v="2351"/>
    <n v="163"/>
    <n v="6.93"/>
    <n v="1"/>
    <n v="2.2999999999999998"/>
    <m/>
    <s v="No"/>
    <x v="2"/>
    <n v="1"/>
    <n v="165"/>
    <s v="OK"/>
  </r>
  <r>
    <x v="115"/>
    <x v="101"/>
    <s v="18-03-2023"/>
    <x v="4"/>
    <x v="44"/>
    <s v="Classmate"/>
    <s v="SKU-OFF-1341"/>
    <s v="B046398617"/>
    <x v="0"/>
    <x v="3"/>
    <n v="6"/>
    <n v="4669"/>
    <n v="4308"/>
    <n v="7.7"/>
    <n v="25848"/>
    <n v="2288.56"/>
    <n v="0"/>
    <n v="74.61"/>
    <n v="10819.99"/>
    <n v="169.65"/>
    <n v="2"/>
    <n v="8616"/>
    <s v="Changed Mind"/>
    <n v="17232"/>
    <n v="3879.19"/>
    <n v="22.5"/>
    <x v="3"/>
    <n v="4702"/>
    <n v="225"/>
    <n v="4.79"/>
    <n v="37"/>
    <n v="0.1"/>
    <m/>
    <s v="No"/>
    <x v="6"/>
    <n v="6"/>
    <n v="150"/>
    <s v="OK"/>
  </r>
  <r>
    <x v="116"/>
    <x v="102"/>
    <s v="18-04-2024"/>
    <x v="0"/>
    <x v="14"/>
    <s v="Lakme"/>
    <s v="SKU-FAS-8746"/>
    <s v="B083514702"/>
    <x v="1"/>
    <x v="0"/>
    <n v="4"/>
    <n v="3530"/>
    <n v="3111"/>
    <n v="11.9"/>
    <n v="12444"/>
    <n v="1209.6099999999999"/>
    <n v="622.20000000000005"/>
    <n v="0"/>
    <n v="6287.48"/>
    <n v="84.6"/>
    <n v="0"/>
    <n v="0"/>
    <m/>
    <n v="12444"/>
    <n v="4240.1099999999997"/>
    <n v="34.1"/>
    <x v="1"/>
    <n v="9582"/>
    <n v="669"/>
    <n v="6.98"/>
    <n v="21"/>
    <n v="0.1"/>
    <n v="5"/>
    <s v="No"/>
    <x v="6"/>
    <n v="3"/>
    <n v="58"/>
    <s v="OK"/>
  </r>
  <r>
    <x v="117"/>
    <x v="8"/>
    <s v="19-10-2024"/>
    <x v="4"/>
    <x v="38"/>
    <s v="Puma"/>
    <s v="SKU-OFF-5239"/>
    <s v="B055665235"/>
    <x v="1"/>
    <x v="0"/>
    <n v="1"/>
    <n v="2434"/>
    <n v="2193"/>
    <n v="9.9"/>
    <n v="2193"/>
    <n v="253.25"/>
    <n v="109.65"/>
    <n v="0"/>
    <n v="957.21"/>
    <n v="316.02"/>
    <n v="0"/>
    <n v="0"/>
    <m/>
    <n v="2193"/>
    <n v="556.87"/>
    <n v="25.4"/>
    <x v="1"/>
    <n v="6074"/>
    <n v="186"/>
    <n v="3.06"/>
    <n v="35"/>
    <n v="0.4"/>
    <n v="3"/>
    <s v="No"/>
    <x v="7"/>
    <n v="3"/>
    <n v="177"/>
    <s v="OK"/>
  </r>
  <r>
    <x v="118"/>
    <x v="66"/>
    <s v="13-11-2023"/>
    <x v="0"/>
    <x v="33"/>
    <s v="Himalaya"/>
    <s v="SKU-FAS-8030"/>
    <s v="B079346496"/>
    <x v="0"/>
    <x v="0"/>
    <n v="3"/>
    <n v="3553"/>
    <n v="2530"/>
    <n v="28.8"/>
    <n v="7590"/>
    <n v="989.79"/>
    <n v="0"/>
    <n v="62.86"/>
    <n v="3417.08"/>
    <n v="227.29"/>
    <n v="0"/>
    <n v="0"/>
    <m/>
    <n v="7590"/>
    <n v="2892.98"/>
    <n v="38.1"/>
    <x v="1"/>
    <n v="5500"/>
    <n v="347"/>
    <n v="6.31"/>
    <n v="6"/>
    <n v="1.5"/>
    <n v="4"/>
    <s v="No"/>
    <x v="5"/>
    <n v="7"/>
    <n v="77"/>
    <s v="OK"/>
  </r>
  <r>
    <x v="119"/>
    <x v="103"/>
    <m/>
    <x v="5"/>
    <x v="37"/>
    <s v="Puma"/>
    <s v="SKU-HOM-5057"/>
    <s v="B096618122"/>
    <x v="0"/>
    <x v="4"/>
    <n v="7"/>
    <n v="2311"/>
    <n v="1893"/>
    <n v="18.100000000000001"/>
    <n v="13251"/>
    <n v="1911.74"/>
    <n v="0"/>
    <n v="84.56"/>
    <n v="6023.33"/>
    <n v="0"/>
    <n v="0"/>
    <n v="0"/>
    <m/>
    <n v="13251"/>
    <n v="5231.37"/>
    <n v="39.5"/>
    <x v="1"/>
    <n v="0"/>
    <n v="0"/>
    <n v="0"/>
    <n v="0"/>
    <n v="0"/>
    <m/>
    <s v="No"/>
    <x v="12"/>
    <n v="6"/>
    <n v="66"/>
    <s v="OK"/>
  </r>
  <r>
    <x v="120"/>
    <x v="104"/>
    <s v="19-12-2023"/>
    <x v="4"/>
    <x v="39"/>
    <s v="Amazon Basics"/>
    <s v="SKU-OFF-8929"/>
    <s v="B056885085"/>
    <x v="1"/>
    <x v="0"/>
    <n v="3"/>
    <n v="2465"/>
    <n v="2123"/>
    <n v="13.9"/>
    <n v="6369"/>
    <n v="941.02"/>
    <n v="318.45"/>
    <n v="0"/>
    <n v="2262.8200000000002"/>
    <n v="385.55"/>
    <n v="0"/>
    <n v="0"/>
    <m/>
    <n v="6369"/>
    <n v="2461.16"/>
    <n v="38.6"/>
    <x v="0"/>
    <n v="1427"/>
    <n v="32"/>
    <n v="2.2400000000000002"/>
    <n v="3"/>
    <n v="6.1"/>
    <n v="2"/>
    <s v="Yes"/>
    <x v="3"/>
    <n v="3"/>
    <n v="56"/>
    <s v="OK"/>
  </r>
  <r>
    <x v="121"/>
    <x v="105"/>
    <m/>
    <x v="1"/>
    <x v="45"/>
    <s v="Prestige"/>
    <s v="SKU-SPO-2171"/>
    <s v="B032125021"/>
    <x v="0"/>
    <x v="2"/>
    <n v="6"/>
    <n v="2082"/>
    <n v="1541"/>
    <n v="26"/>
    <n v="9246"/>
    <n v="1029.22"/>
    <n v="0"/>
    <n v="54.96"/>
    <n v="3526.17"/>
    <n v="425.89"/>
    <n v="0"/>
    <n v="0"/>
    <m/>
    <n v="9246"/>
    <n v="4209.76"/>
    <n v="45.5"/>
    <x v="0"/>
    <n v="6134"/>
    <n v="271"/>
    <n v="4.42"/>
    <n v="27"/>
    <n v="1"/>
    <m/>
    <s v="No"/>
    <x v="0"/>
    <n v="6"/>
    <n v="75"/>
    <s v="OK"/>
  </r>
  <r>
    <x v="122"/>
    <x v="106"/>
    <s v="10-01-2023"/>
    <x v="1"/>
    <x v="45"/>
    <s v="Cello"/>
    <s v="SKU-SPO-2330"/>
    <s v="B029849197"/>
    <x v="0"/>
    <x v="0"/>
    <n v="5"/>
    <n v="2075"/>
    <n v="1674"/>
    <n v="19.3"/>
    <n v="8370"/>
    <n v="914.89"/>
    <n v="0"/>
    <n v="55.55"/>
    <n v="4300.33"/>
    <n v="0"/>
    <n v="0"/>
    <n v="0"/>
    <m/>
    <n v="8370"/>
    <n v="3099.23"/>
    <n v="37"/>
    <x v="1"/>
    <n v="0"/>
    <n v="0"/>
    <n v="0"/>
    <n v="0"/>
    <n v="0"/>
    <n v="4"/>
    <s v="No"/>
    <x v="13"/>
    <n v="6"/>
    <n v="33"/>
    <s v="OK"/>
  </r>
  <r>
    <x v="123"/>
    <x v="107"/>
    <s v="03-08-2024"/>
    <x v="5"/>
    <x v="40"/>
    <s v="Cello"/>
    <s v="SKU-HOM-8189"/>
    <s v="B036909476"/>
    <x v="0"/>
    <x v="0"/>
    <n v="4"/>
    <n v="3043"/>
    <n v="2455"/>
    <n v="19.3"/>
    <n v="9820"/>
    <n v="856.8"/>
    <n v="0"/>
    <n v="93.59"/>
    <n v="3525.83"/>
    <n v="131.13999999999999"/>
    <n v="0"/>
    <n v="0"/>
    <m/>
    <n v="9820"/>
    <n v="5212.6400000000003"/>
    <n v="53.1"/>
    <x v="1"/>
    <n v="10349"/>
    <n v="552"/>
    <n v="5.33"/>
    <n v="51"/>
    <n v="0.1"/>
    <n v="3"/>
    <s v="No"/>
    <x v="2"/>
    <n v="7"/>
    <n v="73"/>
    <s v="OK"/>
  </r>
  <r>
    <x v="124"/>
    <x v="108"/>
    <m/>
    <x v="3"/>
    <x v="25"/>
    <s v="Noise"/>
    <s v="SKU-ELE-5808"/>
    <s v="B047541187"/>
    <x v="0"/>
    <x v="1"/>
    <n v="9"/>
    <n v="698"/>
    <n v="513"/>
    <n v="26.5"/>
    <n v="4617"/>
    <n v="569.48"/>
    <n v="0"/>
    <n v="77.28"/>
    <n v="1403.11"/>
    <n v="199.23"/>
    <n v="0"/>
    <n v="0"/>
    <m/>
    <n v="4617"/>
    <n v="2367.9"/>
    <n v="51.3"/>
    <x v="0"/>
    <n v="7482"/>
    <n v="377"/>
    <n v="5.04"/>
    <n v="43"/>
    <n v="0.9"/>
    <m/>
    <s v="No"/>
    <x v="5"/>
    <n v="7"/>
    <n v="171"/>
    <s v="OK"/>
  </r>
  <r>
    <x v="125"/>
    <x v="109"/>
    <m/>
    <x v="3"/>
    <x v="5"/>
    <s v="Classmate"/>
    <s v="SKU-ELE-5649"/>
    <s v="B033833985"/>
    <x v="0"/>
    <x v="1"/>
    <n v="6"/>
    <n v="2400"/>
    <n v="1742"/>
    <n v="27.4"/>
    <n v="10452"/>
    <n v="1272.44"/>
    <n v="0"/>
    <n v="67.290000000000006"/>
    <n v="3214.78"/>
    <n v="0"/>
    <n v="0"/>
    <n v="0"/>
    <m/>
    <n v="10452"/>
    <n v="5897.49"/>
    <n v="56.4"/>
    <x v="1"/>
    <n v="0"/>
    <n v="0"/>
    <n v="0"/>
    <n v="0"/>
    <n v="0"/>
    <m/>
    <s v="No"/>
    <x v="2"/>
    <n v="5"/>
    <n v="20"/>
    <s v="OK"/>
  </r>
  <r>
    <x v="126"/>
    <x v="110"/>
    <m/>
    <x v="3"/>
    <x v="5"/>
    <s v="Milton"/>
    <s v="SKU-ELE-8722"/>
    <s v="B015110004"/>
    <x v="1"/>
    <x v="4"/>
    <n v="3"/>
    <n v="1842"/>
    <n v="1411"/>
    <n v="23.4"/>
    <n v="4233"/>
    <n v="636.61"/>
    <n v="211.65"/>
    <n v="0"/>
    <n v="2268.77"/>
    <n v="255.84"/>
    <n v="0"/>
    <n v="0"/>
    <m/>
    <n v="4233"/>
    <n v="860.13"/>
    <n v="20.3"/>
    <x v="1"/>
    <n v="801"/>
    <n v="52"/>
    <n v="6.49"/>
    <n v="10"/>
    <n v="1.8"/>
    <m/>
    <s v="No"/>
    <x v="3"/>
    <n v="1"/>
    <n v="133"/>
    <s v="OK"/>
  </r>
  <r>
    <x v="127"/>
    <x v="111"/>
    <s v="19-09-2023"/>
    <x v="4"/>
    <x v="44"/>
    <s v="Wildcraft"/>
    <s v="SKU-OFF-8809"/>
    <s v="B045191240"/>
    <x v="1"/>
    <x v="3"/>
    <n v="5"/>
    <n v="4048"/>
    <n v="2865"/>
    <n v="29.2"/>
    <n v="14325"/>
    <n v="1578.62"/>
    <n v="716.25"/>
    <n v="0"/>
    <n v="7301.41"/>
    <n v="0"/>
    <n v="5"/>
    <n v="14325"/>
    <s v="Damaged in Transit"/>
    <n v="0"/>
    <n v="-9596.2800000000007"/>
    <n v="0"/>
    <x v="1"/>
    <n v="0"/>
    <n v="0"/>
    <n v="0"/>
    <n v="0"/>
    <n v="0"/>
    <m/>
    <s v="No"/>
    <x v="2"/>
    <n v="2"/>
    <n v="8"/>
    <s v="⚠️ Reorder"/>
  </r>
  <r>
    <x v="128"/>
    <x v="112"/>
    <s v="13-09-2023"/>
    <x v="1"/>
    <x v="28"/>
    <s v="Milton"/>
    <s v="SKU-SPO-2378"/>
    <s v="B010274441"/>
    <x v="1"/>
    <x v="0"/>
    <n v="9"/>
    <n v="2414"/>
    <n v="2060"/>
    <n v="14.7"/>
    <n v="18540"/>
    <n v="2183.1"/>
    <n v="927"/>
    <n v="0"/>
    <n v="9952.4699999999993"/>
    <n v="309.01"/>
    <n v="0"/>
    <n v="0"/>
    <m/>
    <n v="18540"/>
    <n v="5168.42"/>
    <n v="27.9"/>
    <x v="3"/>
    <n v="5679"/>
    <n v="67"/>
    <n v="1.18"/>
    <n v="2"/>
    <n v="7.5"/>
    <n v="2"/>
    <s v="No"/>
    <x v="7"/>
    <n v="2"/>
    <n v="52"/>
    <s v="OK"/>
  </r>
  <r>
    <x v="129"/>
    <x v="113"/>
    <m/>
    <x v="0"/>
    <x v="0"/>
    <s v="Mamaearth"/>
    <s v="SKU-FAS-1213"/>
    <s v="B091407533"/>
    <x v="1"/>
    <x v="1"/>
    <n v="2"/>
    <n v="3562"/>
    <n v="2667"/>
    <n v="25.1"/>
    <n v="5334"/>
    <n v="603.97"/>
    <n v="266.7"/>
    <n v="0"/>
    <n v="1674.7"/>
    <n v="287.41000000000003"/>
    <n v="0"/>
    <n v="0"/>
    <m/>
    <n v="5334"/>
    <n v="2501.2199999999998"/>
    <n v="46.9"/>
    <x v="1"/>
    <n v="8387"/>
    <n v="403"/>
    <n v="4.8099999999999996"/>
    <n v="60"/>
    <n v="0.2"/>
    <m/>
    <s v="No"/>
    <x v="7"/>
    <n v="3"/>
    <n v="98"/>
    <s v="OK"/>
  </r>
  <r>
    <x v="130"/>
    <x v="114"/>
    <s v="08-10-2023"/>
    <x v="2"/>
    <x v="32"/>
    <s v="Classmate"/>
    <s v="SKU-BEA-8831"/>
    <s v="B072211536"/>
    <x v="0"/>
    <x v="0"/>
    <n v="9"/>
    <n v="1998"/>
    <n v="1867"/>
    <n v="6.6"/>
    <n v="16803"/>
    <n v="2011.65"/>
    <n v="0"/>
    <n v="30.13"/>
    <n v="7701.29"/>
    <n v="272.57"/>
    <n v="0"/>
    <n v="0"/>
    <m/>
    <n v="16803"/>
    <n v="6787.36"/>
    <n v="40.4"/>
    <x v="0"/>
    <n v="4156"/>
    <n v="218"/>
    <n v="5.25"/>
    <n v="3"/>
    <n v="4.9000000000000004"/>
    <n v="5"/>
    <s v="No"/>
    <x v="7"/>
    <n v="5"/>
    <n v="144"/>
    <s v="OK"/>
  </r>
  <r>
    <x v="131"/>
    <x v="115"/>
    <m/>
    <x v="1"/>
    <x v="19"/>
    <s v="Classmate"/>
    <s v="SKU-SPO-2882"/>
    <s v="B035482322"/>
    <x v="1"/>
    <x v="4"/>
    <n v="9"/>
    <n v="2077"/>
    <n v="1510"/>
    <n v="27.3"/>
    <n v="13590"/>
    <n v="1552.28"/>
    <n v="679.5"/>
    <n v="0"/>
    <n v="7394.47"/>
    <n v="440.28"/>
    <n v="0"/>
    <n v="0"/>
    <m/>
    <n v="13590"/>
    <n v="3523.47"/>
    <n v="25.9"/>
    <x v="2"/>
    <n v="3124"/>
    <n v="187"/>
    <n v="5.99"/>
    <n v="7"/>
    <n v="4.2"/>
    <m/>
    <s v="No"/>
    <x v="9"/>
    <n v="3"/>
    <n v="14"/>
    <s v="⚠️ Reorder"/>
  </r>
  <r>
    <x v="132"/>
    <x v="116"/>
    <s v="19-08-2023"/>
    <x v="1"/>
    <x v="12"/>
    <s v="Skullcandy"/>
    <s v="SKU-SPO-2447"/>
    <s v="B091300611"/>
    <x v="0"/>
    <x v="0"/>
    <n v="2"/>
    <n v="899"/>
    <n v="823"/>
    <n v="8.5"/>
    <n v="1646"/>
    <n v="134.9"/>
    <n v="0"/>
    <n v="56.91"/>
    <n v="666.14"/>
    <n v="0"/>
    <n v="0"/>
    <n v="0"/>
    <m/>
    <n v="1646"/>
    <n v="788.05"/>
    <n v="47.9"/>
    <x v="1"/>
    <n v="0"/>
    <n v="0"/>
    <n v="0"/>
    <n v="0"/>
    <n v="0"/>
    <n v="3"/>
    <s v="No"/>
    <x v="10"/>
    <n v="7"/>
    <n v="174"/>
    <s v="OK"/>
  </r>
  <r>
    <x v="133"/>
    <x v="117"/>
    <m/>
    <x v="2"/>
    <x v="17"/>
    <s v="Decathlon"/>
    <s v="SKU-BEA-5906"/>
    <s v="B010943049"/>
    <x v="1"/>
    <x v="2"/>
    <n v="3"/>
    <n v="1817"/>
    <n v="1512"/>
    <n v="16.8"/>
    <n v="4536"/>
    <n v="799.25"/>
    <n v="226.8"/>
    <n v="0"/>
    <n v="2181.52"/>
    <n v="439.09"/>
    <n v="0"/>
    <n v="0"/>
    <m/>
    <n v="4536"/>
    <n v="889.34"/>
    <n v="19.600000000000001"/>
    <x v="2"/>
    <n v="11436"/>
    <n v="333"/>
    <n v="2.91"/>
    <n v="25"/>
    <n v="1.2"/>
    <m/>
    <s v="No"/>
    <x v="10"/>
    <n v="2"/>
    <n v="89"/>
    <s v="OK"/>
  </r>
  <r>
    <x v="134"/>
    <x v="118"/>
    <m/>
    <x v="1"/>
    <x v="9"/>
    <s v="BoAt"/>
    <s v="SKU-SPO-4946"/>
    <s v="B068332091"/>
    <x v="1"/>
    <x v="2"/>
    <n v="9"/>
    <n v="4458"/>
    <n v="4197"/>
    <n v="5.9"/>
    <n v="37773"/>
    <n v="6106.15"/>
    <n v="1888.65"/>
    <n v="0"/>
    <n v="13348.33"/>
    <n v="194.19"/>
    <n v="0"/>
    <n v="0"/>
    <m/>
    <n v="37773"/>
    <n v="16235.68"/>
    <n v="43"/>
    <x v="1"/>
    <n v="10163"/>
    <n v="738"/>
    <n v="7.26"/>
    <n v="113"/>
    <n v="0"/>
    <m/>
    <s v="No"/>
    <x v="11"/>
    <n v="2"/>
    <n v="15"/>
    <s v="⚠️ Reorder"/>
  </r>
  <r>
    <x v="135"/>
    <x v="119"/>
    <m/>
    <x v="2"/>
    <x v="3"/>
    <s v="Milton"/>
    <s v="SKU-BEA-3533"/>
    <s v="B063767515"/>
    <x v="0"/>
    <x v="2"/>
    <n v="1"/>
    <n v="2532"/>
    <n v="2351"/>
    <n v="7.1"/>
    <n v="2351"/>
    <n v="368.36"/>
    <n v="0"/>
    <n v="58.51"/>
    <n v="1082.1500000000001"/>
    <n v="175.44"/>
    <n v="0"/>
    <n v="0"/>
    <m/>
    <n v="2351"/>
    <n v="666.54"/>
    <n v="28.4"/>
    <x v="3"/>
    <n v="12348"/>
    <n v="402"/>
    <n v="3.26"/>
    <n v="18"/>
    <n v="0.4"/>
    <m/>
    <s v="No"/>
    <x v="7"/>
    <n v="7"/>
    <n v="65"/>
    <s v="OK"/>
  </r>
  <r>
    <x v="136"/>
    <x v="120"/>
    <s v="13-05-2023"/>
    <x v="4"/>
    <x v="42"/>
    <s v="Wildcraft"/>
    <s v="SKU-OFF-5520"/>
    <s v="B097825015"/>
    <x v="0"/>
    <x v="0"/>
    <n v="8"/>
    <n v="1455"/>
    <n v="1178"/>
    <n v="19"/>
    <n v="9424"/>
    <n v="1098.76"/>
    <n v="0"/>
    <n v="69.069999999999993"/>
    <n v="4185.75"/>
    <n v="366.58"/>
    <n v="0"/>
    <n v="0"/>
    <m/>
    <n v="9424"/>
    <n v="3703.84"/>
    <n v="39.299999999999997"/>
    <x v="1"/>
    <n v="11799"/>
    <n v="750"/>
    <n v="6.36"/>
    <n v="69"/>
    <n v="0.5"/>
    <n v="2"/>
    <s v="No"/>
    <x v="10"/>
    <n v="6"/>
    <n v="145"/>
    <s v="OK"/>
  </r>
  <r>
    <x v="137"/>
    <x v="121"/>
    <s v="22-11-2024"/>
    <x v="1"/>
    <x v="19"/>
    <s v="Puma"/>
    <s v="SKU-SPO-7987"/>
    <s v="B018347339"/>
    <x v="1"/>
    <x v="0"/>
    <n v="5"/>
    <n v="2947"/>
    <n v="2657"/>
    <n v="9.8000000000000007"/>
    <n v="13285"/>
    <n v="1550.77"/>
    <n v="664.25"/>
    <n v="0"/>
    <n v="4945.2"/>
    <n v="74.900000000000006"/>
    <n v="0"/>
    <n v="0"/>
    <m/>
    <n v="13285"/>
    <n v="6049.88"/>
    <n v="45.5"/>
    <x v="2"/>
    <n v="4899"/>
    <n v="209"/>
    <n v="4.2699999999999996"/>
    <n v="29"/>
    <n v="0.1"/>
    <n v="3"/>
    <s v="Yes"/>
    <x v="13"/>
    <n v="3"/>
    <n v="175"/>
    <s v="OK"/>
  </r>
  <r>
    <x v="138"/>
    <x v="122"/>
    <m/>
    <x v="1"/>
    <x v="45"/>
    <s v="Himalaya"/>
    <s v="SKU-SPO-8990"/>
    <s v="B031320203"/>
    <x v="0"/>
    <x v="2"/>
    <n v="4"/>
    <n v="2811"/>
    <n v="2452"/>
    <n v="12.8"/>
    <n v="9808"/>
    <n v="1340.77"/>
    <n v="0"/>
    <n v="105.16"/>
    <n v="5365.73"/>
    <n v="178.92"/>
    <n v="0"/>
    <n v="0"/>
    <m/>
    <n v="9808"/>
    <n v="2817.42"/>
    <n v="28.7"/>
    <x v="0"/>
    <n v="3531"/>
    <n v="203"/>
    <n v="5.75"/>
    <n v="40"/>
    <n v="0.2"/>
    <m/>
    <s v="No"/>
    <x v="1"/>
    <n v="5"/>
    <n v="74"/>
    <s v="OK"/>
  </r>
  <r>
    <x v="139"/>
    <x v="123"/>
    <s v="14-12-2023"/>
    <x v="1"/>
    <x v="1"/>
    <s v="Noise"/>
    <s v="SKU-SPO-3293"/>
    <s v="B072374560"/>
    <x v="1"/>
    <x v="0"/>
    <n v="4"/>
    <n v="541"/>
    <n v="424"/>
    <n v="21.6"/>
    <n v="1696"/>
    <n v="164.79"/>
    <n v="84.8"/>
    <n v="0"/>
    <n v="893.2"/>
    <n v="98.27"/>
    <n v="0"/>
    <n v="0"/>
    <m/>
    <n v="1696"/>
    <n v="454.94"/>
    <n v="26.8"/>
    <x v="1"/>
    <n v="13424"/>
    <n v="101"/>
    <n v="0.75"/>
    <n v="12"/>
    <n v="1.9"/>
    <n v="4"/>
    <s v="No"/>
    <x v="13"/>
    <n v="2"/>
    <n v="128"/>
    <s v="OK"/>
  </r>
  <r>
    <x v="140"/>
    <x v="124"/>
    <s v="03-11-2024"/>
    <x v="2"/>
    <x v="43"/>
    <s v="Prestige"/>
    <s v="SKU-BEA-3624"/>
    <s v="B088600927"/>
    <x v="0"/>
    <x v="0"/>
    <n v="2"/>
    <n v="1204"/>
    <n v="1130"/>
    <n v="6.1"/>
    <n v="2260"/>
    <n v="204.31"/>
    <n v="0"/>
    <n v="72.5"/>
    <n v="1181.6400000000001"/>
    <n v="382.12"/>
    <n v="0"/>
    <n v="0"/>
    <m/>
    <n v="2260"/>
    <n v="419.43"/>
    <n v="18.600000000000001"/>
    <x v="1"/>
    <n v="7447"/>
    <n v="513"/>
    <n v="6.89"/>
    <n v="68"/>
    <n v="0.5"/>
    <n v="4"/>
    <s v="No"/>
    <x v="5"/>
    <n v="3"/>
    <n v="119"/>
    <s v="OK"/>
  </r>
  <r>
    <x v="141"/>
    <x v="125"/>
    <s v="21-09-2023"/>
    <x v="4"/>
    <x v="8"/>
    <s v="Noise"/>
    <s v="SKU-OFF-5529"/>
    <s v="B077207999"/>
    <x v="1"/>
    <x v="0"/>
    <n v="10"/>
    <n v="4417"/>
    <n v="3839"/>
    <n v="13.1"/>
    <n v="38390"/>
    <n v="6615.2"/>
    <n v="1919.5"/>
    <n v="0"/>
    <n v="13465.51"/>
    <n v="33.86"/>
    <n v="0"/>
    <n v="0"/>
    <m/>
    <n v="38390"/>
    <n v="16355.93"/>
    <n v="42.6"/>
    <x v="1"/>
    <n v="6226"/>
    <n v="44"/>
    <n v="0.71"/>
    <n v="6"/>
    <n v="0.1"/>
    <n v="5"/>
    <s v="No"/>
    <x v="11"/>
    <n v="3"/>
    <n v="42"/>
    <s v="OK"/>
  </r>
  <r>
    <x v="142"/>
    <x v="11"/>
    <m/>
    <x v="1"/>
    <x v="9"/>
    <s v="Cello"/>
    <s v="SKU-SPO-4915"/>
    <s v="B037870352"/>
    <x v="1"/>
    <x v="2"/>
    <n v="7"/>
    <n v="1299"/>
    <n v="1230"/>
    <n v="5.3"/>
    <n v="8610"/>
    <n v="697.14"/>
    <n v="430.5"/>
    <n v="0"/>
    <n v="4423.3999999999996"/>
    <n v="406.82"/>
    <n v="0"/>
    <n v="0"/>
    <m/>
    <n v="8610"/>
    <n v="2652.14"/>
    <n v="30.8"/>
    <x v="3"/>
    <n v="9253"/>
    <n v="464"/>
    <n v="5.01"/>
    <n v="33"/>
    <n v="1"/>
    <m/>
    <s v="No"/>
    <x v="4"/>
    <n v="2"/>
    <n v="128"/>
    <s v="OK"/>
  </r>
  <r>
    <x v="143"/>
    <x v="19"/>
    <m/>
    <x v="4"/>
    <x v="44"/>
    <s v="Puma"/>
    <s v="SKU-OFF-9125"/>
    <s v="B045191904"/>
    <x v="1"/>
    <x v="4"/>
    <n v="7"/>
    <n v="3384"/>
    <n v="2974"/>
    <n v="12.1"/>
    <n v="20818"/>
    <n v="2893.23"/>
    <n v="1040.9000000000001"/>
    <n v="0"/>
    <n v="10844.55"/>
    <n v="0"/>
    <n v="0"/>
    <n v="0"/>
    <m/>
    <n v="20818"/>
    <n v="6039.32"/>
    <n v="29"/>
    <x v="1"/>
    <n v="0"/>
    <n v="0"/>
    <n v="0"/>
    <n v="0"/>
    <n v="0"/>
    <m/>
    <s v="No"/>
    <x v="7"/>
    <n v="1"/>
    <n v="94"/>
    <s v="OK"/>
  </r>
  <r>
    <x v="144"/>
    <x v="126"/>
    <s v="16-09-2023"/>
    <x v="1"/>
    <x v="46"/>
    <s v="Fastrack"/>
    <s v="SKU-SPO-7029"/>
    <s v="B032531133"/>
    <x v="1"/>
    <x v="0"/>
    <n v="9"/>
    <n v="3194"/>
    <n v="2667"/>
    <n v="16.5"/>
    <n v="24003"/>
    <n v="2303.08"/>
    <n v="1200.1500000000001"/>
    <n v="0"/>
    <n v="8597.1299999999992"/>
    <n v="0"/>
    <n v="0"/>
    <n v="0"/>
    <m/>
    <n v="24003"/>
    <n v="11902.64"/>
    <n v="49.6"/>
    <x v="1"/>
    <n v="0"/>
    <n v="0"/>
    <n v="0"/>
    <n v="0"/>
    <n v="0"/>
    <n v="4"/>
    <s v="Yes"/>
    <x v="1"/>
    <n v="3"/>
    <n v="55"/>
    <s v="OK"/>
  </r>
  <r>
    <x v="145"/>
    <x v="32"/>
    <m/>
    <x v="1"/>
    <x v="12"/>
    <s v="BoAt"/>
    <s v="SKU-SPO-9184"/>
    <s v="B067995139"/>
    <x v="0"/>
    <x v="2"/>
    <n v="4"/>
    <n v="582"/>
    <n v="422"/>
    <n v="27.5"/>
    <n v="1688"/>
    <n v="220.89"/>
    <n v="0"/>
    <n v="80.47"/>
    <n v="855.54"/>
    <n v="309.31"/>
    <n v="0"/>
    <n v="0"/>
    <m/>
    <n v="1688"/>
    <n v="221.79"/>
    <n v="13.1"/>
    <x v="2"/>
    <n v="14335"/>
    <n v="574"/>
    <n v="4"/>
    <n v="16"/>
    <n v="4.5999999999999996"/>
    <m/>
    <s v="No"/>
    <x v="6"/>
    <n v="7"/>
    <n v="184"/>
    <s v="OK"/>
  </r>
  <r>
    <x v="146"/>
    <x v="127"/>
    <m/>
    <x v="1"/>
    <x v="9"/>
    <s v="Lakme"/>
    <s v="SKU-SPO-3958"/>
    <s v="B024155488"/>
    <x v="1"/>
    <x v="4"/>
    <n v="7"/>
    <n v="4649"/>
    <n v="3839"/>
    <n v="17.399999999999999"/>
    <n v="26873"/>
    <n v="4268.62"/>
    <n v="1343.65"/>
    <n v="0"/>
    <n v="13780.01"/>
    <n v="146.41999999999999"/>
    <n v="0"/>
    <n v="0"/>
    <m/>
    <n v="26873"/>
    <n v="7334.3"/>
    <n v="27.3"/>
    <x v="3"/>
    <n v="3245"/>
    <n v="120"/>
    <n v="3.7"/>
    <n v="24"/>
    <n v="0.2"/>
    <m/>
    <s v="No"/>
    <x v="4"/>
    <n v="3"/>
    <n v="55"/>
    <s v="OK"/>
  </r>
  <r>
    <x v="147"/>
    <x v="128"/>
    <s v="10-12-2024"/>
    <x v="3"/>
    <x v="26"/>
    <s v="Fastrack"/>
    <s v="SKU-ELE-6629"/>
    <s v="B052299547"/>
    <x v="1"/>
    <x v="0"/>
    <n v="2"/>
    <n v="2072"/>
    <n v="1496"/>
    <n v="27.8"/>
    <n v="2992"/>
    <n v="378.97"/>
    <n v="149.6"/>
    <n v="0"/>
    <n v="1245.44"/>
    <n v="283.3"/>
    <n v="0"/>
    <n v="0"/>
    <m/>
    <n v="2992"/>
    <n v="934.69"/>
    <n v="31.2"/>
    <x v="2"/>
    <n v="4557"/>
    <n v="310"/>
    <n v="6.8"/>
    <n v="12"/>
    <n v="1.6"/>
    <n v="5"/>
    <s v="Yes"/>
    <x v="7"/>
    <n v="2"/>
    <n v="27"/>
    <s v="OK"/>
  </r>
  <r>
    <x v="148"/>
    <x v="129"/>
    <m/>
    <x v="5"/>
    <x v="30"/>
    <s v="Decathlon"/>
    <s v="SKU-HOM-7076"/>
    <s v="B092230144"/>
    <x v="0"/>
    <x v="4"/>
    <n v="10"/>
    <n v="784"/>
    <n v="668"/>
    <n v="14.8"/>
    <n v="6680"/>
    <n v="626.55999999999995"/>
    <n v="0"/>
    <n v="87.37"/>
    <n v="2731.43"/>
    <n v="183.12"/>
    <n v="0"/>
    <n v="0"/>
    <m/>
    <n v="6680"/>
    <n v="3051.52"/>
    <n v="45.7"/>
    <x v="0"/>
    <n v="5384"/>
    <n v="319"/>
    <n v="5.92"/>
    <n v="15"/>
    <n v="1.8"/>
    <m/>
    <s v="No"/>
    <x v="9"/>
    <n v="4"/>
    <n v="124"/>
    <s v="OK"/>
  </r>
  <r>
    <x v="149"/>
    <x v="130"/>
    <s v="12-08-2024"/>
    <x v="5"/>
    <x v="36"/>
    <s v="Noise"/>
    <s v="SKU-HOM-7499"/>
    <s v="B035372131"/>
    <x v="1"/>
    <x v="0"/>
    <n v="2"/>
    <n v="2455"/>
    <n v="2197"/>
    <n v="10.5"/>
    <n v="4394"/>
    <n v="743.48"/>
    <n v="219.7"/>
    <n v="0"/>
    <n v="1438.4"/>
    <n v="241.73"/>
    <n v="0"/>
    <n v="0"/>
    <m/>
    <n v="4394"/>
    <n v="1750.69"/>
    <n v="39.799999999999997"/>
    <x v="3"/>
    <n v="3531"/>
    <n v="250"/>
    <n v="7.08"/>
    <n v="39"/>
    <n v="0.3"/>
    <n v="5"/>
    <s v="No"/>
    <x v="2"/>
    <n v="3"/>
    <n v="172"/>
    <s v="OK"/>
  </r>
  <r>
    <x v="150"/>
    <x v="131"/>
    <m/>
    <x v="0"/>
    <x v="27"/>
    <s v="Noise"/>
    <s v="SKU-FAS-4686"/>
    <s v="B062779515"/>
    <x v="1"/>
    <x v="2"/>
    <n v="8"/>
    <n v="3113"/>
    <n v="2186"/>
    <n v="29.8"/>
    <n v="17488"/>
    <n v="1950.42"/>
    <n v="874.4"/>
    <n v="0"/>
    <n v="5546.84"/>
    <n v="266.06"/>
    <n v="0"/>
    <n v="0"/>
    <m/>
    <n v="17488"/>
    <n v="8850.2800000000007"/>
    <n v="50.6"/>
    <x v="0"/>
    <n v="10527"/>
    <n v="478"/>
    <n v="4.54"/>
    <n v="89"/>
    <n v="0.1"/>
    <m/>
    <s v="No"/>
    <x v="12"/>
    <n v="3"/>
    <n v="3"/>
    <s v="⚠️ Reorder"/>
  </r>
  <r>
    <x v="151"/>
    <x v="132"/>
    <s v="06-11-2024"/>
    <x v="0"/>
    <x v="21"/>
    <s v="Lakme"/>
    <s v="SKU-FAS-6809"/>
    <s v="B031979018"/>
    <x v="1"/>
    <x v="0"/>
    <n v="1"/>
    <n v="3546"/>
    <n v="2561"/>
    <n v="27.8"/>
    <n v="2561"/>
    <n v="347.57"/>
    <n v="128.05000000000001"/>
    <n v="0"/>
    <n v="964.15"/>
    <n v="0"/>
    <n v="0"/>
    <n v="0"/>
    <m/>
    <n v="2561"/>
    <n v="1121.23"/>
    <n v="43.8"/>
    <x v="1"/>
    <n v="0"/>
    <n v="0"/>
    <n v="0"/>
    <n v="0"/>
    <n v="0"/>
    <n v="2"/>
    <s v="No"/>
    <x v="3"/>
    <n v="2"/>
    <n v="57"/>
    <s v="OK"/>
  </r>
  <r>
    <x v="152"/>
    <x v="133"/>
    <m/>
    <x v="1"/>
    <x v="9"/>
    <s v="Amazon Basics"/>
    <s v="SKU-SPO-9589"/>
    <s v="B078204770"/>
    <x v="1"/>
    <x v="2"/>
    <n v="4"/>
    <n v="2015"/>
    <n v="1419"/>
    <n v="29.6"/>
    <n v="5676"/>
    <n v="725.97"/>
    <n v="283.8"/>
    <n v="0"/>
    <n v="2925.14"/>
    <n v="0"/>
    <n v="0"/>
    <n v="0"/>
    <m/>
    <n v="5676"/>
    <n v="1741.09"/>
    <n v="30.7"/>
    <x v="1"/>
    <n v="0"/>
    <n v="0"/>
    <n v="0"/>
    <n v="0"/>
    <n v="0"/>
    <m/>
    <s v="No"/>
    <x v="11"/>
    <n v="3"/>
    <n v="15"/>
    <s v="⚠️ Reorder"/>
  </r>
  <r>
    <x v="153"/>
    <x v="134"/>
    <m/>
    <x v="5"/>
    <x v="16"/>
    <s v="Mamaearth"/>
    <s v="SKU-HOM-9063"/>
    <s v="B032818190"/>
    <x v="1"/>
    <x v="2"/>
    <n v="7"/>
    <n v="386"/>
    <n v="300"/>
    <n v="22.3"/>
    <n v="2100"/>
    <n v="231.63"/>
    <n v="105"/>
    <n v="0"/>
    <n v="1146.46"/>
    <n v="0"/>
    <n v="0"/>
    <n v="0"/>
    <m/>
    <n v="2100"/>
    <n v="616.91"/>
    <n v="29.4"/>
    <x v="1"/>
    <n v="0"/>
    <n v="0"/>
    <n v="0"/>
    <n v="0"/>
    <n v="0"/>
    <m/>
    <s v="No"/>
    <x v="13"/>
    <n v="1"/>
    <n v="87"/>
    <s v="OK"/>
  </r>
  <r>
    <x v="154"/>
    <x v="135"/>
    <s v="23-05-2023"/>
    <x v="3"/>
    <x v="4"/>
    <s v="Classmate"/>
    <s v="SKU-ELE-8026"/>
    <s v="B039704319"/>
    <x v="0"/>
    <x v="0"/>
    <n v="9"/>
    <n v="3609"/>
    <n v="3249"/>
    <n v="10"/>
    <n v="29241"/>
    <n v="4298.91"/>
    <n v="0"/>
    <n v="64.77"/>
    <n v="10408.16"/>
    <n v="273.62"/>
    <n v="0"/>
    <n v="0"/>
    <m/>
    <n v="29241"/>
    <n v="14195.54"/>
    <n v="48.5"/>
    <x v="1"/>
    <n v="4042"/>
    <n v="254"/>
    <n v="6.28"/>
    <n v="14"/>
    <n v="0.6"/>
    <n v="2"/>
    <s v="Yes"/>
    <x v="0"/>
    <n v="5"/>
    <n v="114"/>
    <s v="OK"/>
  </r>
  <r>
    <x v="155"/>
    <x v="136"/>
    <s v="23-06-2023"/>
    <x v="0"/>
    <x v="14"/>
    <s v="Skullcandy"/>
    <s v="SKU-FAS-2880"/>
    <s v="B027605775"/>
    <x v="0"/>
    <x v="0"/>
    <n v="10"/>
    <n v="379"/>
    <n v="327"/>
    <n v="13.7"/>
    <n v="3270"/>
    <n v="399.83"/>
    <n v="0"/>
    <n v="76.87"/>
    <n v="1593.23"/>
    <n v="0"/>
    <n v="0"/>
    <n v="0"/>
    <m/>
    <n v="3270"/>
    <n v="1200.07"/>
    <n v="36.700000000000003"/>
    <x v="1"/>
    <n v="0"/>
    <n v="0"/>
    <n v="0"/>
    <n v="0"/>
    <n v="0"/>
    <n v="5"/>
    <s v="No"/>
    <x v="3"/>
    <n v="4"/>
    <n v="36"/>
    <s v="OK"/>
  </r>
  <r>
    <x v="156"/>
    <x v="137"/>
    <s v="25-05-2024"/>
    <x v="0"/>
    <x v="31"/>
    <s v="Mamaearth"/>
    <s v="SKU-FAS-8181"/>
    <s v="B013645294"/>
    <x v="1"/>
    <x v="0"/>
    <n v="5"/>
    <n v="1907"/>
    <n v="1339"/>
    <n v="29.8"/>
    <n v="6695"/>
    <n v="957.16"/>
    <n v="334.75"/>
    <n v="0"/>
    <n v="3247.98"/>
    <n v="60.34"/>
    <n v="0"/>
    <n v="0"/>
    <m/>
    <n v="6695"/>
    <n v="2094.77"/>
    <n v="31.3"/>
    <x v="3"/>
    <n v="7365"/>
    <n v="412"/>
    <n v="5.59"/>
    <n v="35"/>
    <n v="0.1"/>
    <n v="2"/>
    <s v="Yes"/>
    <x v="5"/>
    <n v="1"/>
    <n v="91"/>
    <s v="OK"/>
  </r>
  <r>
    <x v="157"/>
    <x v="138"/>
    <m/>
    <x v="1"/>
    <x v="46"/>
    <s v="Cello"/>
    <s v="SKU-SPO-2708"/>
    <s v="B010755134"/>
    <x v="0"/>
    <x v="4"/>
    <n v="3"/>
    <n v="2094"/>
    <n v="1685"/>
    <n v="19.5"/>
    <n v="5055"/>
    <n v="504.84"/>
    <n v="0"/>
    <n v="102.55"/>
    <n v="2698.81"/>
    <n v="198.46"/>
    <n v="0"/>
    <n v="0"/>
    <m/>
    <n v="5055"/>
    <n v="1550.34"/>
    <n v="30.7"/>
    <x v="3"/>
    <n v="540"/>
    <n v="35"/>
    <n v="6.48"/>
    <n v="7"/>
    <n v="1.7"/>
    <m/>
    <s v="No"/>
    <x v="4"/>
    <n v="3"/>
    <n v="103"/>
    <s v="OK"/>
  </r>
  <r>
    <x v="158"/>
    <x v="139"/>
    <s v="15-05-2024"/>
    <x v="4"/>
    <x v="39"/>
    <s v="Decathlon"/>
    <s v="SKU-OFF-1281"/>
    <s v="B012551259"/>
    <x v="1"/>
    <x v="0"/>
    <n v="1"/>
    <n v="3943"/>
    <n v="3720"/>
    <n v="5.7"/>
    <n v="3720"/>
    <n v="528.51"/>
    <n v="186"/>
    <n v="0"/>
    <n v="1134.99"/>
    <n v="0"/>
    <n v="0"/>
    <n v="0"/>
    <m/>
    <n v="3720"/>
    <n v="1870.5"/>
    <n v="50.3"/>
    <x v="1"/>
    <n v="0"/>
    <n v="0"/>
    <n v="0"/>
    <n v="0"/>
    <n v="0"/>
    <n v="5"/>
    <s v="Yes"/>
    <x v="10"/>
    <n v="1"/>
    <n v="9"/>
    <s v="⚠️ Reorder"/>
  </r>
  <r>
    <x v="159"/>
    <x v="76"/>
    <m/>
    <x v="0"/>
    <x v="31"/>
    <s v="Noise"/>
    <s v="SKU-FAS-8432"/>
    <s v="B045147549"/>
    <x v="0"/>
    <x v="2"/>
    <n v="4"/>
    <n v="4998"/>
    <n v="4178"/>
    <n v="16.399999999999999"/>
    <n v="16712"/>
    <n v="1875.68"/>
    <n v="0"/>
    <n v="48.3"/>
    <n v="9050.2099999999991"/>
    <n v="348.78"/>
    <n v="0"/>
    <n v="0"/>
    <m/>
    <n v="16712"/>
    <n v="5389.03"/>
    <n v="32.200000000000003"/>
    <x v="3"/>
    <n v="6886"/>
    <n v="408"/>
    <n v="5.93"/>
    <n v="50"/>
    <n v="0.2"/>
    <m/>
    <s v="No"/>
    <x v="9"/>
    <n v="5"/>
    <n v="77"/>
    <s v="OK"/>
  </r>
  <r>
    <x v="160"/>
    <x v="140"/>
    <s v="03-03-2024"/>
    <x v="5"/>
    <x v="16"/>
    <s v="Decathlon"/>
    <s v="SKU-HOM-7061"/>
    <s v="B058102800"/>
    <x v="1"/>
    <x v="0"/>
    <n v="8"/>
    <n v="1887"/>
    <n v="1403"/>
    <n v="25.6"/>
    <n v="11224"/>
    <n v="1815.03"/>
    <n v="561.20000000000005"/>
    <n v="0"/>
    <n v="5529.52"/>
    <n v="394.28"/>
    <n v="0"/>
    <n v="0"/>
    <m/>
    <n v="11224"/>
    <n v="2923.97"/>
    <n v="26.1"/>
    <x v="0"/>
    <n v="3661"/>
    <n v="83"/>
    <n v="2.27"/>
    <n v="6"/>
    <n v="4.7"/>
    <n v="5"/>
    <s v="Yes"/>
    <x v="1"/>
    <n v="3"/>
    <n v="131"/>
    <s v="OK"/>
  </r>
  <r>
    <x v="161"/>
    <x v="81"/>
    <s v="03-07-2024"/>
    <x v="5"/>
    <x v="36"/>
    <s v="Lakme"/>
    <s v="SKU-HOM-2942"/>
    <s v="B081102435"/>
    <x v="0"/>
    <x v="0"/>
    <n v="3"/>
    <n v="4444"/>
    <n v="3316"/>
    <n v="25.4"/>
    <n v="9948"/>
    <n v="888.5"/>
    <n v="0"/>
    <n v="84.99"/>
    <n v="4790.8599999999997"/>
    <n v="475.81"/>
    <n v="0"/>
    <n v="0"/>
    <m/>
    <n v="9948"/>
    <n v="3707.84"/>
    <n v="37.299999999999997"/>
    <x v="1"/>
    <n v="2713"/>
    <n v="111"/>
    <n v="4.09"/>
    <n v="6"/>
    <n v="2.4"/>
    <n v="5"/>
    <s v="No"/>
    <x v="1"/>
    <n v="7"/>
    <n v="59"/>
    <s v="OK"/>
  </r>
  <r>
    <x v="162"/>
    <x v="1"/>
    <m/>
    <x v="1"/>
    <x v="12"/>
    <s v="Fastrack"/>
    <s v="SKU-SPO-5848"/>
    <s v="B099748922"/>
    <x v="1"/>
    <x v="2"/>
    <n v="6"/>
    <n v="720"/>
    <n v="627"/>
    <n v="12.9"/>
    <n v="3762"/>
    <n v="324.2"/>
    <n v="188.1"/>
    <n v="0"/>
    <n v="1797.61"/>
    <n v="0"/>
    <n v="0"/>
    <n v="0"/>
    <m/>
    <n v="3762"/>
    <n v="1452.09"/>
    <n v="38.6"/>
    <x v="1"/>
    <n v="0"/>
    <n v="0"/>
    <n v="0"/>
    <n v="0"/>
    <n v="0"/>
    <m/>
    <s v="No"/>
    <x v="3"/>
    <n v="3"/>
    <n v="116"/>
    <s v="OK"/>
  </r>
  <r>
    <x v="163"/>
    <x v="141"/>
    <m/>
    <x v="5"/>
    <x v="11"/>
    <s v="Noise"/>
    <s v="SKU-HOM-7428"/>
    <s v="B088404202"/>
    <x v="1"/>
    <x v="2"/>
    <n v="1"/>
    <n v="1247"/>
    <n v="1051"/>
    <n v="15.7"/>
    <n v="1051"/>
    <n v="90"/>
    <n v="52.55"/>
    <n v="0"/>
    <n v="349.62"/>
    <n v="0"/>
    <n v="0"/>
    <n v="0"/>
    <m/>
    <n v="1051"/>
    <n v="558.83000000000004"/>
    <n v="53.2"/>
    <x v="1"/>
    <n v="0"/>
    <n v="0"/>
    <n v="0"/>
    <n v="0"/>
    <n v="0"/>
    <m/>
    <s v="No"/>
    <x v="6"/>
    <n v="2"/>
    <n v="200"/>
    <s v="OK"/>
  </r>
  <r>
    <x v="164"/>
    <x v="41"/>
    <s v="16-09-2024"/>
    <x v="5"/>
    <x v="16"/>
    <s v="Fastrack"/>
    <s v="SKU-HOM-9388"/>
    <s v="B038376900"/>
    <x v="0"/>
    <x v="0"/>
    <n v="6"/>
    <n v="2920"/>
    <n v="2593"/>
    <n v="11.2"/>
    <n v="15558"/>
    <n v="2023.1"/>
    <n v="0"/>
    <n v="116.32"/>
    <n v="5869.22"/>
    <n v="0"/>
    <n v="0"/>
    <n v="0"/>
    <m/>
    <n v="15558"/>
    <n v="7549.36"/>
    <n v="48.5"/>
    <x v="1"/>
    <n v="0"/>
    <n v="0"/>
    <n v="0"/>
    <n v="0"/>
    <n v="0"/>
    <n v="2"/>
    <s v="Yes"/>
    <x v="13"/>
    <n v="7"/>
    <n v="140"/>
    <s v="OK"/>
  </r>
  <r>
    <x v="165"/>
    <x v="142"/>
    <s v="19-08-2024"/>
    <x v="0"/>
    <x v="33"/>
    <s v="Classmate"/>
    <s v="SKU-FAS-8066"/>
    <s v="B037118375"/>
    <x v="1"/>
    <x v="3"/>
    <n v="5"/>
    <n v="1033"/>
    <n v="962"/>
    <n v="6.9"/>
    <n v="4810"/>
    <n v="536.38"/>
    <n v="240.5"/>
    <n v="0"/>
    <n v="2442.9499999999998"/>
    <n v="35.01"/>
    <n v="5"/>
    <n v="4810"/>
    <s v="Wrong Item"/>
    <n v="0"/>
    <n v="-3254.84"/>
    <n v="0"/>
    <x v="3"/>
    <n v="2235"/>
    <n v="176"/>
    <n v="7.87"/>
    <n v="17"/>
    <n v="0.2"/>
    <m/>
    <s v="No"/>
    <x v="1"/>
    <n v="3"/>
    <n v="21"/>
    <s v="OK"/>
  </r>
  <r>
    <x v="166"/>
    <x v="143"/>
    <s v="21-02-2024"/>
    <x v="5"/>
    <x v="37"/>
    <s v="BoAt"/>
    <s v="SKU-HOM-7982"/>
    <s v="B098344628"/>
    <x v="1"/>
    <x v="0"/>
    <n v="6"/>
    <n v="237"/>
    <n v="210"/>
    <n v="11.4"/>
    <n v="1260"/>
    <n v="208.89"/>
    <n v="63"/>
    <n v="0"/>
    <n v="448.82"/>
    <n v="442.48"/>
    <n v="0"/>
    <n v="0"/>
    <m/>
    <n v="1260"/>
    <n v="96.81"/>
    <n v="7.7"/>
    <x v="0"/>
    <n v="4899"/>
    <n v="321"/>
    <n v="6.55"/>
    <n v="23"/>
    <n v="9.1999999999999993"/>
    <n v="1"/>
    <s v="Yes"/>
    <x v="12"/>
    <n v="2"/>
    <n v="170"/>
    <s v="OK"/>
  </r>
  <r>
    <x v="167"/>
    <x v="74"/>
    <s v="27-11-2024"/>
    <x v="2"/>
    <x v="17"/>
    <s v="BoAt"/>
    <s v="SKU-BEA-8417"/>
    <s v="B017570659"/>
    <x v="1"/>
    <x v="0"/>
    <n v="9"/>
    <n v="2187"/>
    <n v="1967"/>
    <n v="10.1"/>
    <n v="17703"/>
    <n v="1689.89"/>
    <n v="885.15"/>
    <n v="0"/>
    <n v="6689.21"/>
    <n v="427.34"/>
    <n v="0"/>
    <n v="0"/>
    <m/>
    <n v="17703"/>
    <n v="8011.41"/>
    <n v="45.3"/>
    <x v="0"/>
    <n v="3621"/>
    <n v="236"/>
    <n v="6.52"/>
    <n v="41"/>
    <n v="0.5"/>
    <n v="3"/>
    <s v="Yes"/>
    <x v="12"/>
    <n v="3"/>
    <n v="132"/>
    <s v="OK"/>
  </r>
  <r>
    <x v="168"/>
    <x v="144"/>
    <m/>
    <x v="3"/>
    <x v="24"/>
    <s v="Skullcandy"/>
    <s v="SKU-ELE-1198"/>
    <s v="B079591185"/>
    <x v="1"/>
    <x v="1"/>
    <n v="5"/>
    <n v="4401"/>
    <n v="3509"/>
    <n v="20.3"/>
    <n v="17545"/>
    <n v="2337.31"/>
    <n v="877.25"/>
    <n v="0"/>
    <n v="9432"/>
    <n v="227.66"/>
    <n v="0"/>
    <n v="0"/>
    <m/>
    <n v="17545"/>
    <n v="4670.78"/>
    <n v="26.6"/>
    <x v="1"/>
    <n v="2946"/>
    <n v="39"/>
    <n v="1.32"/>
    <n v="7"/>
    <n v="0.9"/>
    <m/>
    <s v="No"/>
    <x v="6"/>
    <n v="1"/>
    <n v="115"/>
    <s v="OK"/>
  </r>
  <r>
    <x v="169"/>
    <x v="145"/>
    <s v="15-11-2024"/>
    <x v="4"/>
    <x v="8"/>
    <s v="Decathlon"/>
    <s v="SKU-OFF-7844"/>
    <s v="B055605050"/>
    <x v="0"/>
    <x v="0"/>
    <n v="6"/>
    <n v="1894"/>
    <n v="1399"/>
    <n v="26.1"/>
    <n v="8394"/>
    <n v="795.48"/>
    <n v="0"/>
    <n v="109.99"/>
    <n v="3527.73"/>
    <n v="227.52"/>
    <n v="0"/>
    <n v="0"/>
    <m/>
    <n v="8394"/>
    <n v="3733.28"/>
    <n v="44.5"/>
    <x v="1"/>
    <n v="6442"/>
    <n v="47"/>
    <n v="0.73"/>
    <n v="3"/>
    <n v="5.4"/>
    <n v="2"/>
    <s v="No"/>
    <x v="0"/>
    <n v="7"/>
    <n v="147"/>
    <s v="OK"/>
  </r>
  <r>
    <x v="170"/>
    <x v="66"/>
    <s v="09-11-2023"/>
    <x v="1"/>
    <x v="1"/>
    <s v="Mamaearth"/>
    <s v="SKU-SPO-5667"/>
    <s v="B051115678"/>
    <x v="1"/>
    <x v="0"/>
    <n v="9"/>
    <n v="907"/>
    <n v="665"/>
    <n v="26.7"/>
    <n v="5985"/>
    <n v="855.73"/>
    <n v="299.25"/>
    <n v="0"/>
    <n v="2256.91"/>
    <n v="496.66"/>
    <n v="0"/>
    <n v="0"/>
    <m/>
    <n v="5985"/>
    <n v="2076.4499999999998"/>
    <n v="34.700000000000003"/>
    <x v="1"/>
    <n v="6550"/>
    <n v="114"/>
    <n v="1.74"/>
    <n v="13"/>
    <n v="5.7"/>
    <n v="1"/>
    <s v="No"/>
    <x v="6"/>
    <n v="3"/>
    <n v="155"/>
    <s v="OK"/>
  </r>
  <r>
    <x v="171"/>
    <x v="146"/>
    <s v="25-12-2023"/>
    <x v="3"/>
    <x v="25"/>
    <s v="Generic"/>
    <s v="SKU-ELE-4943"/>
    <s v="B052101243"/>
    <x v="1"/>
    <x v="0"/>
    <n v="6"/>
    <n v="2227"/>
    <n v="1856"/>
    <n v="16.7"/>
    <n v="11136"/>
    <n v="1343.42"/>
    <n v="556.79999999999995"/>
    <n v="0"/>
    <n v="4251.2700000000004"/>
    <n v="226.04"/>
    <n v="0"/>
    <n v="0"/>
    <m/>
    <n v="11136"/>
    <n v="4758.47"/>
    <n v="42.7"/>
    <x v="1"/>
    <n v="2883"/>
    <n v="144"/>
    <n v="4.99"/>
    <n v="25"/>
    <n v="0.5"/>
    <n v="1"/>
    <s v="No"/>
    <x v="12"/>
    <n v="1"/>
    <n v="38"/>
    <s v="OK"/>
  </r>
  <r>
    <x v="172"/>
    <x v="147"/>
    <m/>
    <x v="1"/>
    <x v="46"/>
    <s v="Lakme"/>
    <s v="SKU-SPO-5436"/>
    <s v="B079154108"/>
    <x v="0"/>
    <x v="4"/>
    <n v="2"/>
    <n v="4207"/>
    <n v="3659"/>
    <n v="13"/>
    <n v="7318"/>
    <n v="1298.9000000000001"/>
    <n v="0"/>
    <n v="37.36"/>
    <n v="3824.8"/>
    <n v="0"/>
    <n v="0"/>
    <n v="0"/>
    <m/>
    <n v="7318"/>
    <n v="2156.94"/>
    <n v="29.5"/>
    <x v="1"/>
    <n v="0"/>
    <n v="0"/>
    <n v="0"/>
    <n v="0"/>
    <n v="0"/>
    <m/>
    <s v="No"/>
    <x v="11"/>
    <n v="4"/>
    <n v="44"/>
    <s v="OK"/>
  </r>
  <r>
    <x v="173"/>
    <x v="148"/>
    <s v="05-05-2023"/>
    <x v="2"/>
    <x v="3"/>
    <s v="Cello"/>
    <s v="SKU-BEA-3799"/>
    <s v="B043446691"/>
    <x v="0"/>
    <x v="0"/>
    <n v="10"/>
    <n v="1243"/>
    <n v="1026"/>
    <n v="17.5"/>
    <n v="10260"/>
    <n v="1035.98"/>
    <n v="0"/>
    <n v="64.86"/>
    <n v="5251.85"/>
    <n v="141.22999999999999"/>
    <n v="0"/>
    <n v="0"/>
    <m/>
    <n v="10260"/>
    <n v="3766.08"/>
    <n v="36.700000000000003"/>
    <x v="2"/>
    <n v="14070"/>
    <n v="608"/>
    <n v="4.32"/>
    <n v="69"/>
    <n v="0.2"/>
    <n v="4"/>
    <s v="Yes"/>
    <x v="13"/>
    <n v="4"/>
    <n v="183"/>
    <s v="OK"/>
  </r>
  <r>
    <x v="174"/>
    <x v="149"/>
    <s v="01-07-2024"/>
    <x v="0"/>
    <x v="0"/>
    <s v="Milton"/>
    <s v="SKU-FAS-3759"/>
    <s v="B048513684"/>
    <x v="1"/>
    <x v="0"/>
    <n v="10"/>
    <n v="3116"/>
    <n v="2241"/>
    <n v="28.1"/>
    <n v="22410"/>
    <n v="3778.96"/>
    <n v="1120.5"/>
    <n v="0"/>
    <n v="7443.8"/>
    <n v="104.96"/>
    <n v="0"/>
    <n v="0"/>
    <m/>
    <n v="22410"/>
    <n v="9961.7800000000007"/>
    <n v="44.5"/>
    <x v="3"/>
    <n v="3766"/>
    <n v="293"/>
    <n v="7.78"/>
    <n v="25"/>
    <n v="0.2"/>
    <n v="4"/>
    <s v="Yes"/>
    <x v="2"/>
    <n v="1"/>
    <n v="7"/>
    <s v="⚠️ Reorder"/>
  </r>
  <r>
    <x v="175"/>
    <x v="150"/>
    <m/>
    <x v="0"/>
    <x v="14"/>
    <s v="Amazon Basics"/>
    <s v="SKU-FAS-6972"/>
    <s v="B065582168"/>
    <x v="1"/>
    <x v="2"/>
    <n v="7"/>
    <n v="1631"/>
    <n v="1476"/>
    <n v="9.5"/>
    <n v="10332"/>
    <n v="1240.01"/>
    <n v="516.6"/>
    <n v="0"/>
    <n v="3959.48"/>
    <n v="438.34"/>
    <n v="0"/>
    <n v="0"/>
    <m/>
    <n v="10332"/>
    <n v="4177.57"/>
    <n v="40.4"/>
    <x v="1"/>
    <n v="11146"/>
    <n v="195"/>
    <n v="1.75"/>
    <n v="22"/>
    <n v="1.3"/>
    <m/>
    <s v="No"/>
    <x v="4"/>
    <n v="1"/>
    <n v="93"/>
    <s v="OK"/>
  </r>
  <r>
    <x v="176"/>
    <x v="151"/>
    <m/>
    <x v="1"/>
    <x v="12"/>
    <s v="Skullcandy"/>
    <s v="SKU-SPO-2534"/>
    <s v="B047607120"/>
    <x v="0"/>
    <x v="1"/>
    <n v="1"/>
    <n v="846"/>
    <n v="654"/>
    <n v="22.7"/>
    <n v="654"/>
    <n v="111.66"/>
    <n v="0"/>
    <n v="85.19"/>
    <n v="310.13"/>
    <n v="358.46"/>
    <n v="0"/>
    <n v="0"/>
    <m/>
    <n v="654"/>
    <n v="-211.44"/>
    <n v="-32.299999999999997"/>
    <x v="3"/>
    <n v="13433"/>
    <n v="973"/>
    <n v="7.24"/>
    <n v="71"/>
    <n v="0.8"/>
    <m/>
    <s v="No"/>
    <x v="2"/>
    <n v="4"/>
    <n v="156"/>
    <s v="OK"/>
  </r>
  <r>
    <x v="177"/>
    <x v="152"/>
    <m/>
    <x v="3"/>
    <x v="26"/>
    <s v="Decathlon"/>
    <s v="SKU-ELE-4808"/>
    <s v="B057961050"/>
    <x v="0"/>
    <x v="1"/>
    <n v="4"/>
    <n v="3031"/>
    <n v="2419"/>
    <n v="20.2"/>
    <n v="9676"/>
    <n v="1342.52"/>
    <n v="0"/>
    <n v="70.47"/>
    <n v="4442.12"/>
    <n v="172.29"/>
    <n v="0"/>
    <n v="0"/>
    <m/>
    <n v="9676"/>
    <n v="3648.6"/>
    <n v="37.700000000000003"/>
    <x v="2"/>
    <n v="12697"/>
    <n v="31"/>
    <n v="0.24"/>
    <n v="6"/>
    <n v="1.2"/>
    <m/>
    <s v="No"/>
    <x v="5"/>
    <n v="6"/>
    <n v="18"/>
    <s v="⚠️ Reorder"/>
  </r>
  <r>
    <x v="178"/>
    <x v="153"/>
    <s v="15-10-2023"/>
    <x v="5"/>
    <x v="30"/>
    <s v="Classmate"/>
    <s v="SKU-HOM-3883"/>
    <s v="B090291323"/>
    <x v="1"/>
    <x v="0"/>
    <n v="4"/>
    <n v="284"/>
    <n v="262"/>
    <n v="7.7"/>
    <n v="1048"/>
    <n v="162"/>
    <n v="52.4"/>
    <n v="0"/>
    <n v="570.67999999999995"/>
    <n v="466.38"/>
    <n v="0"/>
    <n v="0"/>
    <m/>
    <n v="1048"/>
    <n v="-203.46"/>
    <n v="-19.399999999999999"/>
    <x v="1"/>
    <n v="967"/>
    <n v="20"/>
    <n v="2.0699999999999998"/>
    <n v="2"/>
    <n v="89"/>
    <n v="3"/>
    <s v="No"/>
    <x v="12"/>
    <n v="1"/>
    <n v="83"/>
    <s v="OK"/>
  </r>
  <r>
    <x v="179"/>
    <x v="154"/>
    <s v="16-09-2024"/>
    <x v="1"/>
    <x v="45"/>
    <s v="Generic"/>
    <s v="SKU-SPO-3844"/>
    <s v="B048170142"/>
    <x v="1"/>
    <x v="0"/>
    <n v="8"/>
    <n v="2979"/>
    <n v="2237"/>
    <n v="24.9"/>
    <n v="17896"/>
    <n v="1881.74"/>
    <n v="894.8"/>
    <n v="0"/>
    <n v="8308.6"/>
    <n v="0"/>
    <n v="0"/>
    <n v="0"/>
    <m/>
    <n v="17896"/>
    <n v="6810.86"/>
    <n v="38.1"/>
    <x v="1"/>
    <n v="0"/>
    <n v="0"/>
    <n v="0"/>
    <n v="0"/>
    <n v="0"/>
    <n v="4"/>
    <s v="No"/>
    <x v="4"/>
    <n v="1"/>
    <n v="184"/>
    <s v="OK"/>
  </r>
  <r>
    <x v="180"/>
    <x v="155"/>
    <s v="28-10-2024"/>
    <x v="4"/>
    <x v="42"/>
    <s v="Decathlon"/>
    <s v="SKU-OFF-1197"/>
    <s v="B019711285"/>
    <x v="0"/>
    <x v="0"/>
    <n v="5"/>
    <n v="2731"/>
    <n v="2324"/>
    <n v="14.9"/>
    <n v="11620"/>
    <n v="1167.68"/>
    <n v="0"/>
    <n v="51.85"/>
    <n v="6338.54"/>
    <n v="0"/>
    <n v="0"/>
    <n v="0"/>
    <m/>
    <n v="11620"/>
    <n v="4061.93"/>
    <n v="35"/>
    <x v="1"/>
    <n v="0"/>
    <n v="0"/>
    <n v="0"/>
    <n v="0"/>
    <n v="0"/>
    <n v="5"/>
    <s v="Yes"/>
    <x v="13"/>
    <n v="5"/>
    <n v="199"/>
    <s v="OK"/>
  </r>
  <r>
    <x v="181"/>
    <x v="156"/>
    <m/>
    <x v="0"/>
    <x v="33"/>
    <s v="Skullcandy"/>
    <s v="SKU-FAS-3662"/>
    <s v="B010241943"/>
    <x v="1"/>
    <x v="1"/>
    <n v="1"/>
    <n v="4084"/>
    <n v="3142"/>
    <n v="23.1"/>
    <n v="3142"/>
    <n v="327.05"/>
    <n v="157.1"/>
    <n v="0"/>
    <n v="1076.48"/>
    <n v="0"/>
    <n v="0"/>
    <n v="0"/>
    <m/>
    <n v="3142"/>
    <n v="1581.37"/>
    <n v="50.3"/>
    <x v="1"/>
    <n v="0"/>
    <n v="0"/>
    <n v="0"/>
    <n v="0"/>
    <n v="0"/>
    <m/>
    <s v="No"/>
    <x v="4"/>
    <n v="3"/>
    <n v="98"/>
    <s v="OK"/>
  </r>
  <r>
    <x v="182"/>
    <x v="157"/>
    <s v="10-08-2024"/>
    <x v="0"/>
    <x v="31"/>
    <s v="Classmate"/>
    <s v="SKU-FAS-3000"/>
    <s v="B030917376"/>
    <x v="0"/>
    <x v="0"/>
    <n v="8"/>
    <n v="4355"/>
    <n v="4061"/>
    <n v="6.8"/>
    <n v="32488"/>
    <n v="4277.7700000000004"/>
    <n v="0"/>
    <n v="34.28"/>
    <n v="16100.27"/>
    <n v="75.05"/>
    <n v="0"/>
    <n v="0"/>
    <m/>
    <n v="32488"/>
    <n v="12000.63"/>
    <n v="36.9"/>
    <x v="1"/>
    <n v="9038"/>
    <n v="114"/>
    <n v="1.26"/>
    <n v="6"/>
    <n v="0.3"/>
    <n v="5"/>
    <s v="No"/>
    <x v="5"/>
    <n v="5"/>
    <n v="79"/>
    <s v="OK"/>
  </r>
  <r>
    <x v="183"/>
    <x v="158"/>
    <s v="30-09-2024"/>
    <x v="2"/>
    <x v="7"/>
    <s v="Noise"/>
    <s v="SKU-BEA-1007"/>
    <s v="B089474901"/>
    <x v="1"/>
    <x v="0"/>
    <n v="4"/>
    <n v="2953"/>
    <n v="2296"/>
    <n v="22.2"/>
    <n v="9184"/>
    <n v="1556.57"/>
    <n v="459.2"/>
    <n v="0"/>
    <n v="3536.36"/>
    <n v="258.22000000000003"/>
    <n v="0"/>
    <n v="0"/>
    <m/>
    <n v="9184"/>
    <n v="3373.65"/>
    <n v="36.700000000000003"/>
    <x v="0"/>
    <n v="1130"/>
    <n v="83"/>
    <n v="7.35"/>
    <n v="13"/>
    <n v="0.9"/>
    <n v="3"/>
    <s v="Yes"/>
    <x v="8"/>
    <n v="2"/>
    <n v="186"/>
    <s v="OK"/>
  </r>
  <r>
    <x v="184"/>
    <x v="159"/>
    <s v="23-05-2023"/>
    <x v="2"/>
    <x v="43"/>
    <s v="Generic"/>
    <s v="SKU-BEA-7316"/>
    <s v="B061599771"/>
    <x v="0"/>
    <x v="0"/>
    <n v="5"/>
    <n v="1842"/>
    <n v="1401"/>
    <n v="23.9"/>
    <n v="7005"/>
    <n v="950.7"/>
    <n v="0"/>
    <n v="101.96"/>
    <n v="2690.96"/>
    <n v="312.12"/>
    <n v="0"/>
    <n v="0"/>
    <m/>
    <n v="7005"/>
    <n v="2949.26"/>
    <n v="42.1"/>
    <x v="2"/>
    <n v="6744"/>
    <n v="235"/>
    <n v="3.48"/>
    <n v="41"/>
    <n v="0.5"/>
    <n v="1"/>
    <s v="Yes"/>
    <x v="3"/>
    <n v="6"/>
    <n v="134"/>
    <s v="OK"/>
  </r>
  <r>
    <x v="185"/>
    <x v="160"/>
    <m/>
    <x v="1"/>
    <x v="28"/>
    <s v="Skullcandy"/>
    <s v="SKU-SPO-1276"/>
    <s v="B027354271"/>
    <x v="0"/>
    <x v="2"/>
    <n v="3"/>
    <n v="2151"/>
    <n v="1651"/>
    <n v="23.2"/>
    <n v="4953"/>
    <n v="848.17"/>
    <n v="0"/>
    <n v="78.900000000000006"/>
    <n v="1488.26"/>
    <n v="140.72999999999999"/>
    <n v="0"/>
    <n v="0"/>
    <m/>
    <n v="4953"/>
    <n v="2396.94"/>
    <n v="48.4"/>
    <x v="0"/>
    <n v="7285"/>
    <n v="124"/>
    <n v="1.7"/>
    <n v="18"/>
    <n v="0.5"/>
    <m/>
    <s v="No"/>
    <x v="4"/>
    <n v="4"/>
    <n v="179"/>
    <s v="OK"/>
  </r>
  <r>
    <x v="186"/>
    <x v="161"/>
    <s v="04-08-2023"/>
    <x v="1"/>
    <x v="12"/>
    <s v="Himalaya"/>
    <s v="SKU-SPO-7001"/>
    <s v="B026676818"/>
    <x v="1"/>
    <x v="0"/>
    <n v="10"/>
    <n v="1679"/>
    <n v="1239"/>
    <n v="26.2"/>
    <n v="12390"/>
    <n v="1975.61"/>
    <n v="619.5"/>
    <n v="0"/>
    <n v="5161.04"/>
    <n v="0"/>
    <n v="0"/>
    <n v="0"/>
    <m/>
    <n v="12390"/>
    <n v="4633.8500000000004"/>
    <n v="37.4"/>
    <x v="1"/>
    <n v="0"/>
    <n v="0"/>
    <n v="0"/>
    <n v="0"/>
    <n v="0"/>
    <n v="3"/>
    <s v="No"/>
    <x v="6"/>
    <n v="2"/>
    <n v="129"/>
    <s v="OK"/>
  </r>
  <r>
    <x v="187"/>
    <x v="126"/>
    <m/>
    <x v="3"/>
    <x v="26"/>
    <s v="Wildcraft"/>
    <s v="SKU-ELE-4263"/>
    <s v="B028214690"/>
    <x v="0"/>
    <x v="2"/>
    <n v="4"/>
    <n v="299"/>
    <n v="221"/>
    <n v="26.1"/>
    <n v="884"/>
    <n v="86.28"/>
    <n v="0"/>
    <n v="72.5"/>
    <n v="351.95"/>
    <n v="287.74"/>
    <n v="0"/>
    <n v="0"/>
    <m/>
    <n v="884"/>
    <n v="85.53"/>
    <n v="9.6999999999999993"/>
    <x v="0"/>
    <n v="8350"/>
    <n v="329"/>
    <n v="3.94"/>
    <n v="50"/>
    <n v="2.6"/>
    <m/>
    <s v="No"/>
    <x v="5"/>
    <n v="4"/>
    <n v="73"/>
    <s v="OK"/>
  </r>
  <r>
    <x v="188"/>
    <x v="162"/>
    <m/>
    <x v="3"/>
    <x v="20"/>
    <s v="Lakme"/>
    <s v="SKU-ELE-4425"/>
    <s v="B082236609"/>
    <x v="1"/>
    <x v="4"/>
    <n v="2"/>
    <n v="3569"/>
    <n v="2893"/>
    <n v="18.899999999999999"/>
    <n v="5786"/>
    <n v="726.23"/>
    <n v="289.3"/>
    <n v="0"/>
    <n v="1779.98"/>
    <n v="43.11"/>
    <n v="0"/>
    <n v="0"/>
    <m/>
    <n v="5786"/>
    <n v="2947.38"/>
    <n v="50.9"/>
    <x v="3"/>
    <n v="9628"/>
    <n v="10"/>
    <n v="0.1"/>
    <n v="1"/>
    <n v="1.5"/>
    <m/>
    <s v="No"/>
    <x v="4"/>
    <n v="2"/>
    <n v="100"/>
    <s v="OK"/>
  </r>
  <r>
    <x v="189"/>
    <x v="163"/>
    <s v="24-07-2024"/>
    <x v="2"/>
    <x v="43"/>
    <s v="Classmate"/>
    <s v="SKU-BEA-6014"/>
    <s v="B096251056"/>
    <x v="1"/>
    <x v="0"/>
    <n v="10"/>
    <n v="2722"/>
    <n v="1962"/>
    <n v="27.9"/>
    <n v="19620"/>
    <n v="2451.5700000000002"/>
    <n v="981"/>
    <n v="0"/>
    <n v="6569.9"/>
    <n v="0"/>
    <n v="0"/>
    <n v="0"/>
    <m/>
    <n v="19620"/>
    <n v="9617.5300000000007"/>
    <n v="49"/>
    <x v="1"/>
    <n v="0"/>
    <n v="0"/>
    <n v="0"/>
    <n v="0"/>
    <n v="0"/>
    <n v="4"/>
    <s v="Yes"/>
    <x v="4"/>
    <n v="2"/>
    <n v="41"/>
    <s v="OK"/>
  </r>
  <r>
    <x v="190"/>
    <x v="120"/>
    <s v="10-05-2023"/>
    <x v="3"/>
    <x v="5"/>
    <s v="Noise"/>
    <s v="SKU-ELE-2126"/>
    <s v="B064211211"/>
    <x v="1"/>
    <x v="0"/>
    <n v="2"/>
    <n v="1148"/>
    <n v="920"/>
    <n v="19.899999999999999"/>
    <n v="1840"/>
    <n v="194.86"/>
    <n v="92"/>
    <n v="0"/>
    <n v="635.34"/>
    <n v="411.99"/>
    <n v="0"/>
    <n v="0"/>
    <m/>
    <n v="1840"/>
    <n v="505.81"/>
    <n v="27.5"/>
    <x v="1"/>
    <n v="12036"/>
    <n v="188"/>
    <n v="1.56"/>
    <n v="15"/>
    <n v="3"/>
    <n v="5"/>
    <s v="No"/>
    <x v="4"/>
    <n v="3"/>
    <n v="165"/>
    <s v="OK"/>
  </r>
  <r>
    <x v="191"/>
    <x v="164"/>
    <s v="17-06-2024"/>
    <x v="1"/>
    <x v="46"/>
    <s v="Prestige"/>
    <s v="SKU-SPO-2859"/>
    <s v="B091751317"/>
    <x v="1"/>
    <x v="0"/>
    <n v="7"/>
    <n v="4590"/>
    <n v="4013"/>
    <n v="12.6"/>
    <n v="28091"/>
    <n v="3978.6"/>
    <n v="1404.55"/>
    <n v="0"/>
    <n v="9052.94"/>
    <n v="399.57"/>
    <n v="0"/>
    <n v="0"/>
    <m/>
    <n v="28091"/>
    <n v="13255.34"/>
    <n v="47.2"/>
    <x v="0"/>
    <n v="12812"/>
    <n v="85"/>
    <n v="0.66"/>
    <n v="15"/>
    <n v="0.7"/>
    <n v="4"/>
    <s v="No"/>
    <x v="9"/>
    <n v="3"/>
    <n v="170"/>
    <s v="OK"/>
  </r>
  <r>
    <x v="192"/>
    <x v="165"/>
    <m/>
    <x v="5"/>
    <x v="40"/>
    <s v="Himalaya"/>
    <s v="SKU-HOM-4515"/>
    <s v="B078210463"/>
    <x v="1"/>
    <x v="4"/>
    <n v="8"/>
    <n v="327"/>
    <n v="230"/>
    <n v="29.7"/>
    <n v="1840"/>
    <n v="248.98"/>
    <n v="92"/>
    <n v="0"/>
    <n v="767.87"/>
    <n v="405.04"/>
    <n v="0"/>
    <n v="0"/>
    <m/>
    <n v="1840"/>
    <n v="326.11"/>
    <n v="17.7"/>
    <x v="1"/>
    <n v="5111"/>
    <n v="290"/>
    <n v="5.67"/>
    <n v="56"/>
    <n v="3.1"/>
    <m/>
    <s v="No"/>
    <x v="7"/>
    <n v="3"/>
    <n v="5"/>
    <s v="⚠️ Reorder"/>
  </r>
  <r>
    <x v="193"/>
    <x v="166"/>
    <m/>
    <x v="0"/>
    <x v="22"/>
    <s v="Himalaya"/>
    <s v="SKU-FAS-4826"/>
    <s v="B032475284"/>
    <x v="1"/>
    <x v="2"/>
    <n v="2"/>
    <n v="239"/>
    <n v="208"/>
    <n v="13"/>
    <n v="416"/>
    <n v="74"/>
    <n v="20.8"/>
    <n v="0"/>
    <n v="228.68"/>
    <n v="251.19"/>
    <n v="0"/>
    <n v="0"/>
    <m/>
    <n v="416"/>
    <n v="-158.66999999999999"/>
    <n v="-38.1"/>
    <x v="3"/>
    <n v="11159"/>
    <n v="366"/>
    <n v="3.28"/>
    <n v="8"/>
    <n v="15.1"/>
    <m/>
    <s v="No"/>
    <x v="9"/>
    <n v="2"/>
    <n v="106"/>
    <s v="OK"/>
  </r>
  <r>
    <x v="194"/>
    <x v="167"/>
    <s v="16-12-2024"/>
    <x v="4"/>
    <x v="38"/>
    <s v="Decathlon"/>
    <s v="SKU-OFF-2002"/>
    <s v="B074195286"/>
    <x v="1"/>
    <x v="3"/>
    <n v="10"/>
    <n v="1277"/>
    <n v="1051"/>
    <n v="17.7"/>
    <n v="10510"/>
    <n v="1118.26"/>
    <n v="525.5"/>
    <n v="0"/>
    <n v="5303.04"/>
    <n v="395.27"/>
    <n v="6"/>
    <n v="6306"/>
    <s v="Wrong Item"/>
    <n v="4204"/>
    <n v="-3138.07"/>
    <n v="-74.599999999999994"/>
    <x v="2"/>
    <n v="7132"/>
    <n v="314"/>
    <n v="4.4000000000000004"/>
    <n v="31"/>
    <n v="1.2"/>
    <m/>
    <s v="No"/>
    <x v="0"/>
    <n v="3"/>
    <n v="1"/>
    <s v="⚠️ Reorder"/>
  </r>
  <r>
    <x v="195"/>
    <x v="168"/>
    <s v="25-06-2024"/>
    <x v="3"/>
    <x v="25"/>
    <s v="Mamaearth"/>
    <s v="SKU-ELE-6106"/>
    <s v="B092487969"/>
    <x v="1"/>
    <x v="0"/>
    <n v="9"/>
    <n v="4775"/>
    <n v="3982"/>
    <n v="16.600000000000001"/>
    <n v="35838"/>
    <n v="5960.95"/>
    <n v="1791.9"/>
    <n v="0"/>
    <n v="15008.42"/>
    <n v="229.24"/>
    <n v="0"/>
    <n v="0"/>
    <m/>
    <n v="35838"/>
    <n v="12847.49"/>
    <n v="35.799999999999997"/>
    <x v="1"/>
    <n v="2415"/>
    <n v="132"/>
    <n v="5.47"/>
    <n v="26"/>
    <n v="0.2"/>
    <n v="3"/>
    <s v="No"/>
    <x v="1"/>
    <n v="3"/>
    <n v="131"/>
    <s v="OK"/>
  </r>
  <r>
    <x v="196"/>
    <x v="169"/>
    <s v="29-05-2023"/>
    <x v="0"/>
    <x v="33"/>
    <s v="Noise"/>
    <s v="SKU-FAS-3422"/>
    <s v="B094922553"/>
    <x v="0"/>
    <x v="0"/>
    <n v="8"/>
    <n v="1216"/>
    <n v="1068"/>
    <n v="12.2"/>
    <n v="8544"/>
    <n v="1157.71"/>
    <n v="0"/>
    <n v="110.35"/>
    <n v="3383.04"/>
    <n v="0"/>
    <n v="0"/>
    <n v="0"/>
    <m/>
    <n v="8544"/>
    <n v="3892.9"/>
    <n v="45.6"/>
    <x v="1"/>
    <n v="0"/>
    <n v="0"/>
    <n v="0"/>
    <n v="0"/>
    <n v="0"/>
    <n v="5"/>
    <s v="No"/>
    <x v="0"/>
    <n v="3"/>
    <n v="175"/>
    <s v="OK"/>
  </r>
  <r>
    <x v="197"/>
    <x v="78"/>
    <s v="11-12-2024"/>
    <x v="5"/>
    <x v="15"/>
    <s v="Classmate"/>
    <s v="SKU-HOM-3353"/>
    <s v="B059791367"/>
    <x v="0"/>
    <x v="0"/>
    <n v="4"/>
    <n v="2468"/>
    <n v="1823"/>
    <n v="26.1"/>
    <n v="7292"/>
    <n v="991.48"/>
    <n v="0"/>
    <n v="72"/>
    <n v="2219.81"/>
    <n v="359.35"/>
    <n v="0"/>
    <n v="0"/>
    <m/>
    <n v="7292"/>
    <n v="3649.36"/>
    <n v="50"/>
    <x v="1"/>
    <n v="6165"/>
    <n v="270"/>
    <n v="4.38"/>
    <n v="50"/>
    <n v="0.4"/>
    <n v="2"/>
    <s v="No"/>
    <x v="0"/>
    <n v="4"/>
    <n v="189"/>
    <s v="OK"/>
  </r>
  <r>
    <x v="198"/>
    <x v="170"/>
    <s v="08-09-2023"/>
    <x v="4"/>
    <x v="39"/>
    <s v="BoAt"/>
    <s v="SKU-OFF-6344"/>
    <s v="B047398077"/>
    <x v="1"/>
    <x v="0"/>
    <n v="7"/>
    <n v="2111"/>
    <n v="1741"/>
    <n v="17.5"/>
    <n v="12187"/>
    <n v="2110.8000000000002"/>
    <n v="609.35"/>
    <n v="0"/>
    <n v="3957.54"/>
    <n v="0"/>
    <n v="0"/>
    <n v="0"/>
    <m/>
    <n v="12187"/>
    <n v="5509.31"/>
    <n v="45.2"/>
    <x v="1"/>
    <n v="0"/>
    <n v="0"/>
    <n v="0"/>
    <n v="0"/>
    <n v="0"/>
    <n v="5"/>
    <s v="No"/>
    <x v="12"/>
    <n v="3"/>
    <n v="115"/>
    <s v="OK"/>
  </r>
  <r>
    <x v="199"/>
    <x v="86"/>
    <s v="06-03-2024"/>
    <x v="0"/>
    <x v="31"/>
    <s v="Himalaya"/>
    <s v="SKU-FAS-9481"/>
    <s v="B022292611"/>
    <x v="1"/>
    <x v="3"/>
    <n v="7"/>
    <n v="1638"/>
    <n v="1360"/>
    <n v="17"/>
    <n v="9520"/>
    <n v="865.15"/>
    <n v="476"/>
    <n v="0"/>
    <n v="3762.81"/>
    <n v="410.19"/>
    <n v="4"/>
    <n v="5440"/>
    <s v="Wrong Item"/>
    <n v="4080"/>
    <n v="-1434.15"/>
    <n v="-35.200000000000003"/>
    <x v="1"/>
    <n v="1169"/>
    <n v="65"/>
    <n v="5.56"/>
    <n v="5"/>
    <n v="6"/>
    <m/>
    <s v="No"/>
    <x v="0"/>
    <n v="1"/>
    <n v="46"/>
    <s v="OK"/>
  </r>
  <r>
    <x v="200"/>
    <x v="21"/>
    <m/>
    <x v="5"/>
    <x v="30"/>
    <s v="Generic"/>
    <s v="SKU-HOM-5601"/>
    <s v="B017141969"/>
    <x v="1"/>
    <x v="2"/>
    <n v="6"/>
    <n v="4604"/>
    <n v="3423"/>
    <n v="25.7"/>
    <n v="20538"/>
    <n v="2661.02"/>
    <n v="1026.9000000000001"/>
    <n v="0"/>
    <n v="6464.8"/>
    <n v="497.55"/>
    <n v="0"/>
    <n v="0"/>
    <m/>
    <n v="20538"/>
    <n v="9887.73"/>
    <n v="48.1"/>
    <x v="1"/>
    <n v="12367"/>
    <n v="566"/>
    <n v="4.58"/>
    <n v="21"/>
    <n v="0.7"/>
    <m/>
    <s v="No"/>
    <x v="4"/>
    <n v="3"/>
    <n v="89"/>
    <s v="OK"/>
  </r>
  <r>
    <x v="201"/>
    <x v="171"/>
    <s v="25-12-2024"/>
    <x v="4"/>
    <x v="39"/>
    <s v="Wildcraft"/>
    <s v="SKU-OFF-8552"/>
    <s v="B017895898"/>
    <x v="0"/>
    <x v="3"/>
    <n v="6"/>
    <n v="3536"/>
    <n v="3059"/>
    <n v="13.5"/>
    <n v="18354"/>
    <n v="2675.36"/>
    <n v="0"/>
    <n v="88.44"/>
    <n v="8162.71"/>
    <n v="181.29"/>
    <n v="5"/>
    <n v="15295"/>
    <s v="Not as Described"/>
    <n v="3059"/>
    <n v="-8048.8"/>
    <n v="-263.10000000000002"/>
    <x v="1"/>
    <n v="2643"/>
    <n v="11"/>
    <n v="0.42"/>
    <n v="2"/>
    <n v="3"/>
    <m/>
    <s v="No"/>
    <x v="9"/>
    <n v="5"/>
    <n v="64"/>
    <s v="OK"/>
  </r>
  <r>
    <x v="202"/>
    <x v="172"/>
    <m/>
    <x v="3"/>
    <x v="18"/>
    <s v="BoAt"/>
    <s v="SKU-ELE-6882"/>
    <s v="B015899569"/>
    <x v="0"/>
    <x v="4"/>
    <n v="9"/>
    <n v="3233"/>
    <n v="2435"/>
    <n v="24.7"/>
    <n v="21915"/>
    <n v="3085.34"/>
    <n v="0"/>
    <n v="100.36"/>
    <n v="11854.94"/>
    <n v="285.54000000000002"/>
    <n v="0"/>
    <n v="0"/>
    <m/>
    <n v="21915"/>
    <n v="6588.82"/>
    <n v="30.1"/>
    <x v="1"/>
    <n v="11669"/>
    <n v="80"/>
    <n v="0.69"/>
    <n v="1"/>
    <n v="11.7"/>
    <m/>
    <s v="No"/>
    <x v="11"/>
    <n v="3"/>
    <n v="12"/>
    <s v="⚠️ Reorder"/>
  </r>
  <r>
    <x v="203"/>
    <x v="173"/>
    <s v="20-04-2023"/>
    <x v="0"/>
    <x v="35"/>
    <s v="Generic"/>
    <s v="SKU-FAS-7462"/>
    <s v="B064766461"/>
    <x v="1"/>
    <x v="0"/>
    <n v="3"/>
    <n v="4497"/>
    <n v="3936"/>
    <n v="12.5"/>
    <n v="11808"/>
    <n v="1640.96"/>
    <n v="590.4"/>
    <n v="0"/>
    <n v="6453.52"/>
    <n v="211.14"/>
    <n v="0"/>
    <n v="0"/>
    <m/>
    <n v="11808"/>
    <n v="2911.98"/>
    <n v="24.7"/>
    <x v="0"/>
    <n v="13365"/>
    <n v="543"/>
    <n v="4.0599999999999996"/>
    <n v="29"/>
    <n v="0.2"/>
    <n v="3"/>
    <s v="No"/>
    <x v="13"/>
    <n v="1"/>
    <n v="178"/>
    <s v="OK"/>
  </r>
  <r>
    <x v="204"/>
    <x v="174"/>
    <m/>
    <x v="0"/>
    <x v="27"/>
    <s v="Generic"/>
    <s v="SKU-FAS-4258"/>
    <s v="B036100394"/>
    <x v="1"/>
    <x v="4"/>
    <n v="10"/>
    <n v="2163"/>
    <n v="1695"/>
    <n v="21.6"/>
    <n v="16950"/>
    <n v="2807.7"/>
    <n v="847.5"/>
    <n v="0"/>
    <n v="7268.27"/>
    <n v="0"/>
    <n v="0"/>
    <n v="0"/>
    <m/>
    <n v="16950"/>
    <n v="6026.53"/>
    <n v="35.6"/>
    <x v="1"/>
    <n v="0"/>
    <n v="0"/>
    <n v="0"/>
    <n v="0"/>
    <n v="0"/>
    <m/>
    <s v="No"/>
    <x v="9"/>
    <n v="1"/>
    <n v="44"/>
    <s v="OK"/>
  </r>
  <r>
    <x v="205"/>
    <x v="2"/>
    <s v="14-08-2024"/>
    <x v="1"/>
    <x v="1"/>
    <s v="Mamaearth"/>
    <s v="SKU-SPO-8656"/>
    <s v="B067706593"/>
    <x v="1"/>
    <x v="0"/>
    <n v="4"/>
    <n v="944"/>
    <n v="798"/>
    <n v="15.5"/>
    <n v="3192"/>
    <n v="574.48"/>
    <n v="159.6"/>
    <n v="0"/>
    <n v="1454.82"/>
    <n v="388.52"/>
    <n v="0"/>
    <n v="0"/>
    <m/>
    <n v="3192"/>
    <n v="614.58000000000004"/>
    <n v="19.3"/>
    <x v="2"/>
    <n v="4119"/>
    <n v="295"/>
    <n v="7.16"/>
    <n v="48"/>
    <n v="1"/>
    <n v="3"/>
    <s v="No"/>
    <x v="1"/>
    <n v="1"/>
    <n v="101"/>
    <s v="OK"/>
  </r>
  <r>
    <x v="206"/>
    <x v="61"/>
    <s v="13-06-2024"/>
    <x v="5"/>
    <x v="16"/>
    <s v="Mamaearth"/>
    <s v="SKU-HOM-5625"/>
    <s v="B093498495"/>
    <x v="1"/>
    <x v="0"/>
    <n v="7"/>
    <n v="1204"/>
    <n v="939"/>
    <n v="22"/>
    <n v="6573"/>
    <n v="1141.07"/>
    <n v="328.65"/>
    <n v="0"/>
    <n v="3556.24"/>
    <n v="214.17"/>
    <n v="0"/>
    <n v="0"/>
    <m/>
    <n v="6573"/>
    <n v="1332.87"/>
    <n v="20.3"/>
    <x v="1"/>
    <n v="6420"/>
    <n v="185"/>
    <n v="2.88"/>
    <n v="18"/>
    <n v="1.3"/>
    <n v="1"/>
    <s v="No"/>
    <x v="13"/>
    <n v="2"/>
    <n v="149"/>
    <s v="OK"/>
  </r>
  <r>
    <x v="207"/>
    <x v="175"/>
    <s v="08-04-2023"/>
    <x v="3"/>
    <x v="4"/>
    <s v="Skullcandy"/>
    <s v="SKU-ELE-8022"/>
    <s v="B090739444"/>
    <x v="1"/>
    <x v="0"/>
    <n v="2"/>
    <n v="2118"/>
    <n v="1532"/>
    <n v="27.7"/>
    <n v="3064"/>
    <n v="441.6"/>
    <n v="153.19999999999999"/>
    <n v="0"/>
    <n v="1515.88"/>
    <n v="31.8"/>
    <n v="0"/>
    <n v="0"/>
    <m/>
    <n v="3064"/>
    <n v="921.52"/>
    <n v="30.1"/>
    <x v="1"/>
    <n v="14847"/>
    <n v="239"/>
    <n v="1.61"/>
    <n v="45"/>
    <n v="0"/>
    <n v="4"/>
    <s v="No"/>
    <x v="11"/>
    <n v="3"/>
    <n v="105"/>
    <s v="OK"/>
  </r>
  <r>
    <x v="208"/>
    <x v="176"/>
    <s v="14-08-2023"/>
    <x v="0"/>
    <x v="14"/>
    <s v="Fastrack"/>
    <s v="SKU-FAS-1614"/>
    <s v="B054429506"/>
    <x v="1"/>
    <x v="0"/>
    <n v="2"/>
    <n v="2481"/>
    <n v="1936"/>
    <n v="22"/>
    <n v="3872"/>
    <n v="599.76"/>
    <n v="193.6"/>
    <n v="0"/>
    <n v="1492.01"/>
    <n v="210.67"/>
    <n v="0"/>
    <n v="0"/>
    <m/>
    <n v="3872"/>
    <n v="1375.96"/>
    <n v="35.5"/>
    <x v="0"/>
    <n v="4534"/>
    <n v="203"/>
    <n v="4.4800000000000004"/>
    <n v="23"/>
    <n v="0.5"/>
    <n v="3"/>
    <s v="Yes"/>
    <x v="0"/>
    <n v="3"/>
    <n v="136"/>
    <s v="OK"/>
  </r>
  <r>
    <x v="209"/>
    <x v="177"/>
    <s v="03-06-2024"/>
    <x v="4"/>
    <x v="6"/>
    <s v="Himalaya"/>
    <s v="SKU-OFF-4380"/>
    <s v="B078678235"/>
    <x v="1"/>
    <x v="0"/>
    <n v="6"/>
    <n v="636"/>
    <n v="466"/>
    <n v="26.7"/>
    <n v="2796"/>
    <n v="461.63"/>
    <n v="139.80000000000001"/>
    <n v="0"/>
    <n v="1033.6400000000001"/>
    <n v="319.49"/>
    <n v="0"/>
    <n v="0"/>
    <m/>
    <n v="2796"/>
    <n v="841.44"/>
    <n v="30.1"/>
    <x v="0"/>
    <n v="504"/>
    <n v="24"/>
    <n v="4.76"/>
    <n v="3"/>
    <n v="22.9"/>
    <n v="4"/>
    <s v="No"/>
    <x v="11"/>
    <n v="1"/>
    <n v="40"/>
    <s v="OK"/>
  </r>
  <r>
    <x v="210"/>
    <x v="178"/>
    <s v="26-12-2024"/>
    <x v="5"/>
    <x v="36"/>
    <s v="Noise"/>
    <s v="SKU-HOM-7171"/>
    <s v="B045129642"/>
    <x v="0"/>
    <x v="3"/>
    <n v="3"/>
    <n v="277"/>
    <n v="257"/>
    <n v="7.2"/>
    <n v="771"/>
    <n v="130.22999999999999"/>
    <n v="0"/>
    <n v="108.64"/>
    <n v="279.14"/>
    <n v="40.61"/>
    <n v="0"/>
    <n v="0"/>
    <s v="Changed Mind"/>
    <n v="771"/>
    <n v="212.38"/>
    <n v="27.5"/>
    <x v="3"/>
    <n v="3662"/>
    <n v="19"/>
    <n v="0.52"/>
    <n v="0"/>
    <n v="0"/>
    <m/>
    <s v="No"/>
    <x v="2"/>
    <n v="4"/>
    <n v="189"/>
    <s v="OK"/>
  </r>
  <r>
    <x v="211"/>
    <x v="179"/>
    <m/>
    <x v="3"/>
    <x v="10"/>
    <s v="Puma"/>
    <s v="SKU-ELE-5198"/>
    <s v="B089217896"/>
    <x v="0"/>
    <x v="1"/>
    <n v="5"/>
    <n v="3715"/>
    <n v="2959"/>
    <n v="20.3"/>
    <n v="14795"/>
    <n v="2361.4"/>
    <n v="0"/>
    <n v="36.46"/>
    <n v="4890.3"/>
    <n v="1.1399999999999999"/>
    <n v="0"/>
    <n v="0"/>
    <m/>
    <n v="14795"/>
    <n v="7505.7"/>
    <n v="50.7"/>
    <x v="2"/>
    <n v="6167"/>
    <n v="251"/>
    <n v="4.07"/>
    <n v="47"/>
    <n v="0"/>
    <m/>
    <s v="No"/>
    <x v="9"/>
    <n v="4"/>
    <n v="57"/>
    <s v="OK"/>
  </r>
  <r>
    <x v="212"/>
    <x v="180"/>
    <s v="25-03-2024"/>
    <x v="3"/>
    <x v="10"/>
    <s v="Cello"/>
    <s v="SKU-ELE-4373"/>
    <s v="B083954821"/>
    <x v="1"/>
    <x v="3"/>
    <n v="5"/>
    <n v="3362"/>
    <n v="3105"/>
    <n v="7.6"/>
    <n v="15525"/>
    <n v="1652.71"/>
    <n v="776.25"/>
    <n v="0"/>
    <n v="4692.8100000000004"/>
    <n v="76.83"/>
    <n v="3"/>
    <n v="9315"/>
    <s v="Not as Described"/>
    <n v="6210"/>
    <n v="-988.6"/>
    <n v="-15.9"/>
    <x v="3"/>
    <n v="4259"/>
    <n v="260"/>
    <n v="6.1"/>
    <n v="25"/>
    <n v="0.1"/>
    <m/>
    <s v="No"/>
    <x v="4"/>
    <n v="1"/>
    <n v="79"/>
    <s v="OK"/>
  </r>
  <r>
    <x v="213"/>
    <x v="181"/>
    <m/>
    <x v="0"/>
    <x v="33"/>
    <s v="Wildcraft"/>
    <s v="SKU-FAS-5330"/>
    <s v="B091552207"/>
    <x v="1"/>
    <x v="2"/>
    <n v="6"/>
    <n v="4565"/>
    <n v="3395"/>
    <n v="25.6"/>
    <n v="20370"/>
    <n v="2228.21"/>
    <n v="1018.5"/>
    <n v="0"/>
    <n v="10280.959999999999"/>
    <n v="182.21"/>
    <n v="0"/>
    <n v="0"/>
    <m/>
    <n v="20370"/>
    <n v="6660.12"/>
    <n v="32.700000000000003"/>
    <x v="3"/>
    <n v="13575"/>
    <n v="859"/>
    <n v="6.33"/>
    <n v="146"/>
    <n v="0"/>
    <m/>
    <s v="No"/>
    <x v="11"/>
    <n v="2"/>
    <n v="52"/>
    <s v="OK"/>
  </r>
  <r>
    <x v="214"/>
    <x v="182"/>
    <s v="11-04-2024"/>
    <x v="0"/>
    <x v="22"/>
    <s v="Lakme"/>
    <s v="SKU-FAS-7048"/>
    <s v="B079108933"/>
    <x v="1"/>
    <x v="0"/>
    <n v="6"/>
    <n v="557"/>
    <n v="394"/>
    <n v="29.3"/>
    <n v="2364"/>
    <n v="401.99"/>
    <n v="118.2"/>
    <n v="0"/>
    <n v="713.97"/>
    <n v="240.92"/>
    <n v="0"/>
    <n v="0"/>
    <m/>
    <n v="2364"/>
    <n v="888.92"/>
    <n v="37.6"/>
    <x v="1"/>
    <n v="868"/>
    <n v="43"/>
    <n v="4.95"/>
    <n v="7"/>
    <n v="8.6999999999999993"/>
    <n v="1"/>
    <s v="No"/>
    <x v="10"/>
    <n v="2"/>
    <n v="62"/>
    <s v="OK"/>
  </r>
  <r>
    <x v="215"/>
    <x v="183"/>
    <s v="15-04-2024"/>
    <x v="3"/>
    <x v="4"/>
    <s v="Amazon Basics"/>
    <s v="SKU-ELE-9500"/>
    <s v="B030766211"/>
    <x v="1"/>
    <x v="0"/>
    <n v="3"/>
    <n v="441"/>
    <n v="338"/>
    <n v="23.4"/>
    <n v="1014"/>
    <n v="105.08"/>
    <n v="50.7"/>
    <n v="0"/>
    <n v="511.39"/>
    <n v="0"/>
    <n v="0"/>
    <n v="0"/>
    <m/>
    <n v="1014"/>
    <n v="346.83"/>
    <n v="34.200000000000003"/>
    <x v="1"/>
    <n v="0"/>
    <n v="0"/>
    <n v="0"/>
    <n v="0"/>
    <n v="0"/>
    <n v="5"/>
    <s v="Yes"/>
    <x v="6"/>
    <n v="3"/>
    <n v="120"/>
    <s v="OK"/>
  </r>
  <r>
    <x v="216"/>
    <x v="184"/>
    <s v="22-09-2024"/>
    <x v="5"/>
    <x v="15"/>
    <s v="Amazon Basics"/>
    <s v="SKU-HOM-2729"/>
    <s v="B055209408"/>
    <x v="0"/>
    <x v="3"/>
    <n v="9"/>
    <n v="419"/>
    <n v="341"/>
    <n v="18.600000000000001"/>
    <n v="3069"/>
    <n v="408.5"/>
    <n v="0"/>
    <n v="85.45"/>
    <n v="1476.67"/>
    <n v="478.62"/>
    <n v="6"/>
    <n v="2046"/>
    <s v="Not as Described"/>
    <n v="1023"/>
    <n v="-1426.24"/>
    <n v="-139.4"/>
    <x v="3"/>
    <n v="9041"/>
    <n v="112"/>
    <n v="1.24"/>
    <n v="9"/>
    <n v="15.6"/>
    <m/>
    <s v="No"/>
    <x v="11"/>
    <n v="3"/>
    <n v="112"/>
    <s v="OK"/>
  </r>
  <r>
    <x v="217"/>
    <x v="185"/>
    <s v="22-04-2024"/>
    <x v="4"/>
    <x v="8"/>
    <s v="Decathlon"/>
    <s v="SKU-OFF-9473"/>
    <s v="B085420897"/>
    <x v="1"/>
    <x v="0"/>
    <n v="10"/>
    <n v="2305"/>
    <n v="2119"/>
    <n v="8.1"/>
    <n v="21190"/>
    <n v="3770.49"/>
    <n v="1059.5"/>
    <n v="0"/>
    <n v="6502.32"/>
    <n v="182.78"/>
    <n v="0"/>
    <n v="0"/>
    <m/>
    <n v="21190"/>
    <n v="9674.91"/>
    <n v="45.7"/>
    <x v="3"/>
    <n v="6612"/>
    <n v="152"/>
    <n v="2.2999999999999998"/>
    <n v="17"/>
    <n v="0.5"/>
    <n v="5"/>
    <s v="Yes"/>
    <x v="4"/>
    <n v="3"/>
    <n v="93"/>
    <s v="OK"/>
  </r>
  <r>
    <x v="218"/>
    <x v="186"/>
    <s v="17-10-2023"/>
    <x v="3"/>
    <x v="5"/>
    <s v="Fastrack"/>
    <s v="SKU-ELE-9026"/>
    <s v="B051988626"/>
    <x v="0"/>
    <x v="0"/>
    <n v="10"/>
    <n v="2806"/>
    <n v="2052"/>
    <n v="26.9"/>
    <n v="20520"/>
    <n v="3323.08"/>
    <n v="0"/>
    <n v="82.43"/>
    <n v="6540.3"/>
    <n v="181.66"/>
    <n v="0"/>
    <n v="0"/>
    <m/>
    <n v="20520"/>
    <n v="10392.530000000001"/>
    <n v="50.6"/>
    <x v="3"/>
    <n v="6140"/>
    <n v="357"/>
    <n v="5.81"/>
    <n v="16"/>
    <n v="0.6"/>
    <n v="4"/>
    <s v="Yes"/>
    <x v="5"/>
    <n v="6"/>
    <n v="22"/>
    <s v="OK"/>
  </r>
  <r>
    <x v="219"/>
    <x v="187"/>
    <s v="02-12-2023"/>
    <x v="3"/>
    <x v="18"/>
    <s v="Prestige"/>
    <s v="SKU-ELE-3355"/>
    <s v="B016519689"/>
    <x v="1"/>
    <x v="0"/>
    <n v="7"/>
    <n v="615"/>
    <n v="527"/>
    <n v="14.3"/>
    <n v="3689"/>
    <n v="516.75"/>
    <n v="184.45"/>
    <n v="0"/>
    <n v="1704.36"/>
    <n v="333.68"/>
    <n v="0"/>
    <n v="0"/>
    <m/>
    <n v="3689"/>
    <n v="949.76"/>
    <n v="25.7"/>
    <x v="0"/>
    <n v="13242"/>
    <n v="204"/>
    <n v="1.54"/>
    <n v="16"/>
    <n v="4"/>
    <n v="3"/>
    <s v="No"/>
    <x v="6"/>
    <n v="2"/>
    <n v="17"/>
    <s v="⚠️ Reorder"/>
  </r>
  <r>
    <x v="220"/>
    <x v="139"/>
    <s v="16-05-2024"/>
    <x v="1"/>
    <x v="19"/>
    <s v="Himalaya"/>
    <s v="SKU-SPO-4437"/>
    <s v="B017799645"/>
    <x v="1"/>
    <x v="3"/>
    <n v="7"/>
    <n v="4727"/>
    <n v="3885"/>
    <n v="17.8"/>
    <n v="27195"/>
    <n v="2848.72"/>
    <n v="1359.75"/>
    <n v="0"/>
    <n v="14081.33"/>
    <n v="98.36"/>
    <n v="3"/>
    <n v="11655"/>
    <s v="Defective"/>
    <n v="15540"/>
    <n v="-2848.16"/>
    <n v="-18.3"/>
    <x v="0"/>
    <n v="8524"/>
    <n v="334"/>
    <n v="3.92"/>
    <n v="52"/>
    <n v="0"/>
    <m/>
    <s v="No"/>
    <x v="6"/>
    <n v="2"/>
    <n v="22"/>
    <s v="OK"/>
  </r>
  <r>
    <x v="221"/>
    <x v="188"/>
    <s v="03-09-2024"/>
    <x v="5"/>
    <x v="11"/>
    <s v="Mamaearth"/>
    <s v="SKU-HOM-1688"/>
    <s v="B082704575"/>
    <x v="1"/>
    <x v="0"/>
    <n v="7"/>
    <n v="3240"/>
    <n v="2762"/>
    <n v="14.8"/>
    <n v="19334"/>
    <n v="2307.59"/>
    <n v="966.7"/>
    <n v="0"/>
    <n v="9764.17"/>
    <n v="173.82"/>
    <n v="0"/>
    <n v="0"/>
    <m/>
    <n v="19334"/>
    <n v="6121.72"/>
    <n v="31.7"/>
    <x v="3"/>
    <n v="4822"/>
    <n v="364"/>
    <n v="7.55"/>
    <n v="72"/>
    <n v="0.1"/>
    <n v="4"/>
    <s v="Yes"/>
    <x v="4"/>
    <n v="2"/>
    <n v="70"/>
    <s v="OK"/>
  </r>
  <r>
    <x v="222"/>
    <x v="189"/>
    <s v="07-07-2024"/>
    <x v="3"/>
    <x v="18"/>
    <s v="Noise"/>
    <s v="SKU-ELE-2611"/>
    <s v="B016409846"/>
    <x v="1"/>
    <x v="0"/>
    <n v="2"/>
    <n v="2334"/>
    <n v="2084"/>
    <n v="10.7"/>
    <n v="4168"/>
    <n v="429.44"/>
    <n v="208.4"/>
    <n v="0"/>
    <n v="2084.69"/>
    <n v="388.91"/>
    <n v="0"/>
    <n v="0"/>
    <m/>
    <n v="4168"/>
    <n v="1056.56"/>
    <n v="25.3"/>
    <x v="1"/>
    <n v="6213"/>
    <n v="26"/>
    <n v="0.42"/>
    <n v="3"/>
    <n v="6.2"/>
    <n v="1"/>
    <s v="Yes"/>
    <x v="9"/>
    <n v="2"/>
    <n v="138"/>
    <s v="OK"/>
  </r>
  <r>
    <x v="223"/>
    <x v="190"/>
    <s v="17-09-2023"/>
    <x v="0"/>
    <x v="22"/>
    <s v="Generic"/>
    <s v="SKU-FAS-3013"/>
    <s v="B025639115"/>
    <x v="1"/>
    <x v="0"/>
    <n v="9"/>
    <n v="1515"/>
    <n v="1175"/>
    <n v="22.4"/>
    <n v="10575"/>
    <n v="1712.17"/>
    <n v="528.75"/>
    <n v="0"/>
    <n v="4927.07"/>
    <n v="0"/>
    <n v="0"/>
    <n v="0"/>
    <m/>
    <n v="10575"/>
    <n v="3407.01"/>
    <n v="32.200000000000003"/>
    <x v="1"/>
    <n v="0"/>
    <n v="0"/>
    <n v="0"/>
    <n v="0"/>
    <n v="0"/>
    <n v="3"/>
    <s v="No"/>
    <x v="6"/>
    <n v="3"/>
    <n v="112"/>
    <s v="OK"/>
  </r>
  <r>
    <x v="224"/>
    <x v="191"/>
    <s v="31-01-2023"/>
    <x v="4"/>
    <x v="42"/>
    <s v="Himalaya"/>
    <s v="SKU-OFF-1328"/>
    <s v="B037106810"/>
    <x v="1"/>
    <x v="3"/>
    <n v="5"/>
    <n v="1069"/>
    <n v="868"/>
    <n v="18.8"/>
    <n v="4340"/>
    <n v="546.04999999999995"/>
    <n v="217"/>
    <n v="0"/>
    <n v="1510.77"/>
    <n v="109.82"/>
    <n v="1"/>
    <n v="868"/>
    <s v="Defective"/>
    <n v="3472"/>
    <n v="1088.3599999999999"/>
    <n v="31.3"/>
    <x v="0"/>
    <n v="12946"/>
    <n v="975"/>
    <n v="7.53"/>
    <n v="64"/>
    <n v="0.2"/>
    <m/>
    <s v="No"/>
    <x v="1"/>
    <n v="1"/>
    <n v="80"/>
    <s v="OK"/>
  </r>
  <r>
    <x v="225"/>
    <x v="192"/>
    <s v="07-08-2023"/>
    <x v="0"/>
    <x v="21"/>
    <s v="Decathlon"/>
    <s v="SKU-FAS-5281"/>
    <s v="B023363659"/>
    <x v="0"/>
    <x v="0"/>
    <n v="4"/>
    <n v="4722"/>
    <n v="3796"/>
    <n v="19.600000000000001"/>
    <n v="15184"/>
    <n v="2402.9299999999998"/>
    <n v="0"/>
    <n v="99.74"/>
    <n v="5379.48"/>
    <n v="470.37"/>
    <n v="0"/>
    <n v="0"/>
    <m/>
    <n v="15184"/>
    <n v="6831.48"/>
    <n v="45"/>
    <x v="1"/>
    <n v="4986"/>
    <n v="360"/>
    <n v="7.22"/>
    <n v="44"/>
    <n v="0.3"/>
    <n v="5"/>
    <s v="No"/>
    <x v="9"/>
    <n v="6"/>
    <n v="86"/>
    <s v="OK"/>
  </r>
  <r>
    <x v="226"/>
    <x v="193"/>
    <s v="21-07-2024"/>
    <x v="0"/>
    <x v="33"/>
    <s v="Decathlon"/>
    <s v="SKU-FAS-2422"/>
    <s v="B013437600"/>
    <x v="1"/>
    <x v="0"/>
    <n v="5"/>
    <n v="3292"/>
    <n v="2707"/>
    <n v="17.8"/>
    <n v="13535"/>
    <n v="1571.93"/>
    <n v="676.75"/>
    <n v="0"/>
    <n v="4452.28"/>
    <n v="331.26"/>
    <n v="0"/>
    <n v="0"/>
    <m/>
    <n v="13535"/>
    <n v="6502.78"/>
    <n v="48"/>
    <x v="1"/>
    <n v="10367"/>
    <n v="370"/>
    <n v="3.57"/>
    <n v="68"/>
    <n v="0.2"/>
    <n v="2"/>
    <s v="Yes"/>
    <x v="6"/>
    <n v="1"/>
    <n v="177"/>
    <s v="OK"/>
  </r>
  <r>
    <x v="227"/>
    <x v="194"/>
    <m/>
    <x v="5"/>
    <x v="30"/>
    <s v="Wildcraft"/>
    <s v="SKU-HOM-2750"/>
    <s v="B048652450"/>
    <x v="1"/>
    <x v="4"/>
    <n v="9"/>
    <n v="3327"/>
    <n v="2561"/>
    <n v="23"/>
    <n v="23049"/>
    <n v="2965.61"/>
    <n v="1152.45"/>
    <n v="0"/>
    <n v="12376.75"/>
    <n v="63.55"/>
    <n v="0"/>
    <n v="0"/>
    <m/>
    <n v="23049"/>
    <n v="6490.64"/>
    <n v="28.2"/>
    <x v="3"/>
    <n v="4387"/>
    <n v="118"/>
    <n v="2.69"/>
    <n v="8"/>
    <n v="0.3"/>
    <m/>
    <s v="No"/>
    <x v="12"/>
    <n v="1"/>
    <n v="15"/>
    <s v="⚠️ Reorder"/>
  </r>
  <r>
    <x v="228"/>
    <x v="195"/>
    <m/>
    <x v="2"/>
    <x v="29"/>
    <s v="BoAt"/>
    <s v="SKU-BEA-1823"/>
    <s v="B012194614"/>
    <x v="1"/>
    <x v="1"/>
    <n v="10"/>
    <n v="4629"/>
    <n v="3897"/>
    <n v="15.8"/>
    <n v="38970"/>
    <n v="6852.4"/>
    <n v="1948.5"/>
    <n v="0"/>
    <n v="16273.99"/>
    <n v="194.85"/>
    <n v="0"/>
    <n v="0"/>
    <m/>
    <n v="38970"/>
    <n v="13700.26"/>
    <n v="35.200000000000003"/>
    <x v="3"/>
    <n v="8003"/>
    <n v="556"/>
    <n v="6.95"/>
    <n v="74"/>
    <n v="0.1"/>
    <m/>
    <s v="No"/>
    <x v="2"/>
    <n v="2"/>
    <n v="12"/>
    <s v="⚠️ Reorder"/>
  </r>
  <r>
    <x v="229"/>
    <x v="196"/>
    <m/>
    <x v="2"/>
    <x v="43"/>
    <s v="Prestige"/>
    <s v="SKU-BEA-6932"/>
    <s v="B049981493"/>
    <x v="1"/>
    <x v="2"/>
    <n v="5"/>
    <n v="2770"/>
    <n v="2178"/>
    <n v="21.4"/>
    <n v="10890"/>
    <n v="1488.23"/>
    <n v="544.5"/>
    <n v="0"/>
    <n v="3493.84"/>
    <n v="470.31"/>
    <n v="0"/>
    <n v="0"/>
    <m/>
    <n v="10890"/>
    <n v="4893.12"/>
    <n v="44.9"/>
    <x v="1"/>
    <n v="13230"/>
    <n v="673"/>
    <n v="5.09"/>
    <n v="122"/>
    <n v="0.2"/>
    <m/>
    <s v="No"/>
    <x v="2"/>
    <n v="2"/>
    <n v="176"/>
    <s v="OK"/>
  </r>
  <r>
    <x v="230"/>
    <x v="148"/>
    <m/>
    <x v="1"/>
    <x v="28"/>
    <s v="Noise"/>
    <s v="SKU-SPO-1106"/>
    <s v="B047643613"/>
    <x v="0"/>
    <x v="2"/>
    <n v="8"/>
    <n v="3293"/>
    <n v="2705"/>
    <n v="17.899999999999999"/>
    <n v="21640"/>
    <n v="2762.82"/>
    <n v="0"/>
    <n v="45.36"/>
    <n v="9138.15"/>
    <n v="371.89"/>
    <n v="0"/>
    <n v="0"/>
    <m/>
    <n v="21640"/>
    <n v="9321.7800000000007"/>
    <n v="43.1"/>
    <x v="3"/>
    <n v="6183"/>
    <n v="319"/>
    <n v="5.16"/>
    <n v="7"/>
    <n v="2"/>
    <m/>
    <s v="No"/>
    <x v="4"/>
    <n v="6"/>
    <n v="197"/>
    <s v="OK"/>
  </r>
  <r>
    <x v="231"/>
    <x v="197"/>
    <s v="17-02-2024"/>
    <x v="4"/>
    <x v="44"/>
    <s v="Decathlon"/>
    <s v="SKU-OFF-7863"/>
    <s v="B032559247"/>
    <x v="0"/>
    <x v="3"/>
    <n v="8"/>
    <n v="4984"/>
    <n v="4668"/>
    <n v="6.3"/>
    <n v="37344"/>
    <n v="4304.99"/>
    <n v="0"/>
    <n v="35.19"/>
    <n v="13454.54"/>
    <n v="62.38"/>
    <n v="4"/>
    <n v="18672"/>
    <s v="Wrong Item"/>
    <n v="18672"/>
    <n v="814.9"/>
    <n v="4.4000000000000004"/>
    <x v="3"/>
    <n v="3849"/>
    <n v="36"/>
    <n v="0.94"/>
    <n v="7"/>
    <n v="0.2"/>
    <m/>
    <s v="No"/>
    <x v="3"/>
    <n v="3"/>
    <n v="80"/>
    <s v="OK"/>
  </r>
  <r>
    <x v="232"/>
    <x v="198"/>
    <s v="17-08-2024"/>
    <x v="4"/>
    <x v="13"/>
    <s v="Lakme"/>
    <s v="SKU-OFF-4963"/>
    <s v="B024672387"/>
    <x v="1"/>
    <x v="0"/>
    <n v="10"/>
    <n v="637"/>
    <n v="572"/>
    <n v="10.199999999999999"/>
    <n v="5720"/>
    <n v="498.58"/>
    <n v="286"/>
    <n v="0"/>
    <n v="2258.9299999999998"/>
    <n v="300.77999999999997"/>
    <n v="0"/>
    <n v="0"/>
    <m/>
    <n v="5720"/>
    <n v="2375.71"/>
    <n v="41.5"/>
    <x v="1"/>
    <n v="9779"/>
    <n v="729"/>
    <n v="7.45"/>
    <n v="112"/>
    <n v="0.5"/>
    <n v="3"/>
    <s v="Yes"/>
    <x v="11"/>
    <n v="2"/>
    <n v="71"/>
    <s v="OK"/>
  </r>
  <r>
    <x v="233"/>
    <x v="199"/>
    <s v="23-11-2024"/>
    <x v="3"/>
    <x v="4"/>
    <s v="Puma"/>
    <s v="SKU-ELE-4810"/>
    <s v="B078510945"/>
    <x v="1"/>
    <x v="0"/>
    <n v="4"/>
    <n v="3689"/>
    <n v="3077"/>
    <n v="16.600000000000001"/>
    <n v="12308"/>
    <n v="2008.39"/>
    <n v="615.4"/>
    <n v="0"/>
    <n v="5349.56"/>
    <n v="169.24"/>
    <n v="0"/>
    <n v="0"/>
    <m/>
    <n v="12308"/>
    <n v="4165.41"/>
    <n v="33.799999999999997"/>
    <x v="1"/>
    <n v="2679"/>
    <n v="190"/>
    <n v="7.09"/>
    <n v="12"/>
    <n v="0.5"/>
    <n v="5"/>
    <s v="Yes"/>
    <x v="8"/>
    <n v="1"/>
    <n v="113"/>
    <s v="OK"/>
  </r>
  <r>
    <x v="234"/>
    <x v="200"/>
    <s v="27-04-2023"/>
    <x v="1"/>
    <x v="19"/>
    <s v="Puma"/>
    <s v="SKU-SPO-2444"/>
    <s v="B013374099"/>
    <x v="1"/>
    <x v="3"/>
    <n v="8"/>
    <n v="481"/>
    <n v="364"/>
    <n v="24.3"/>
    <n v="2912"/>
    <n v="389.89"/>
    <n v="145.6"/>
    <n v="0"/>
    <n v="1599.31"/>
    <n v="76.44"/>
    <n v="1"/>
    <n v="364"/>
    <s v="Wrong Item"/>
    <n v="2548"/>
    <n v="336.76"/>
    <n v="13.2"/>
    <x v="0"/>
    <n v="7222"/>
    <n v="567"/>
    <n v="7.85"/>
    <n v="49"/>
    <n v="0.4"/>
    <m/>
    <s v="No"/>
    <x v="7"/>
    <n v="3"/>
    <n v="4"/>
    <s v="⚠️ Reorder"/>
  </r>
  <r>
    <x v="235"/>
    <x v="201"/>
    <s v="07-02-2024"/>
    <x v="3"/>
    <x v="5"/>
    <s v="Mamaearth"/>
    <s v="SKU-ELE-3361"/>
    <s v="B056277032"/>
    <x v="0"/>
    <x v="0"/>
    <n v="5"/>
    <n v="2864"/>
    <n v="2155"/>
    <n v="24.8"/>
    <n v="10775"/>
    <n v="930.35"/>
    <n v="0"/>
    <n v="80.42"/>
    <n v="3951.57"/>
    <n v="365.68"/>
    <n v="0"/>
    <n v="0"/>
    <m/>
    <n v="10775"/>
    <n v="5446.98"/>
    <n v="50.6"/>
    <x v="0"/>
    <n v="11063"/>
    <n v="584"/>
    <n v="5.28"/>
    <n v="78"/>
    <n v="0.2"/>
    <n v="3"/>
    <s v="No"/>
    <x v="10"/>
    <n v="4"/>
    <n v="86"/>
    <s v="OK"/>
  </r>
  <r>
    <x v="236"/>
    <x v="202"/>
    <s v="02-12-2024"/>
    <x v="5"/>
    <x v="30"/>
    <s v="Prestige"/>
    <s v="SKU-HOM-8391"/>
    <s v="B066101103"/>
    <x v="1"/>
    <x v="0"/>
    <n v="8"/>
    <n v="929"/>
    <n v="714"/>
    <n v="23.1"/>
    <n v="5712"/>
    <n v="903.75"/>
    <n v="285.60000000000002"/>
    <n v="0"/>
    <n v="1814.99"/>
    <n v="0"/>
    <n v="0"/>
    <n v="0"/>
    <m/>
    <n v="5712"/>
    <n v="2707.66"/>
    <n v="47.4"/>
    <x v="1"/>
    <n v="0"/>
    <n v="0"/>
    <n v="0"/>
    <n v="0"/>
    <n v="0"/>
    <n v="5"/>
    <s v="Yes"/>
    <x v="6"/>
    <n v="1"/>
    <n v="20"/>
    <s v="OK"/>
  </r>
  <r>
    <x v="237"/>
    <x v="203"/>
    <s v="23-12-2023"/>
    <x v="3"/>
    <x v="26"/>
    <s v="Generic"/>
    <s v="SKU-ELE-2989"/>
    <s v="B037568406"/>
    <x v="0"/>
    <x v="0"/>
    <n v="6"/>
    <n v="3220"/>
    <n v="2581"/>
    <n v="19.8"/>
    <n v="15486"/>
    <n v="1783.21"/>
    <n v="0"/>
    <n v="41.81"/>
    <n v="4745.8500000000004"/>
    <n v="0"/>
    <n v="0"/>
    <n v="0"/>
    <m/>
    <n v="15486"/>
    <n v="8915.1299999999992"/>
    <n v="57.6"/>
    <x v="1"/>
    <n v="0"/>
    <n v="0"/>
    <n v="0"/>
    <n v="0"/>
    <n v="0"/>
    <n v="2"/>
    <s v="Yes"/>
    <x v="9"/>
    <n v="3"/>
    <n v="172"/>
    <s v="OK"/>
  </r>
  <r>
    <x v="238"/>
    <x v="204"/>
    <s v="01-10-2024"/>
    <x v="5"/>
    <x v="15"/>
    <s v="Fastrack"/>
    <s v="SKU-HOM-5304"/>
    <s v="B093113009"/>
    <x v="0"/>
    <x v="0"/>
    <n v="9"/>
    <n v="1956"/>
    <n v="1607"/>
    <n v="17.8"/>
    <n v="14463"/>
    <n v="2058.0700000000002"/>
    <n v="0"/>
    <n v="38.14"/>
    <n v="4539.54"/>
    <n v="7.07"/>
    <n v="0"/>
    <n v="0"/>
    <m/>
    <n v="14463"/>
    <n v="7820.18"/>
    <n v="54.1"/>
    <x v="0"/>
    <n v="9306"/>
    <n v="197"/>
    <n v="2.12"/>
    <n v="0"/>
    <n v="0"/>
    <n v="5"/>
    <s v="Yes"/>
    <x v="10"/>
    <n v="5"/>
    <n v="175"/>
    <s v="OK"/>
  </r>
  <r>
    <x v="239"/>
    <x v="205"/>
    <m/>
    <x v="2"/>
    <x v="2"/>
    <s v="Prestige"/>
    <s v="SKU-BEA-1301"/>
    <s v="B010209552"/>
    <x v="1"/>
    <x v="1"/>
    <n v="6"/>
    <n v="2430"/>
    <n v="2164"/>
    <n v="10.9"/>
    <n v="12984"/>
    <n v="2292.12"/>
    <n v="649.20000000000005"/>
    <n v="0"/>
    <n v="5404.98"/>
    <n v="0"/>
    <n v="0"/>
    <n v="0"/>
    <m/>
    <n v="12984"/>
    <n v="4637.7"/>
    <n v="35.700000000000003"/>
    <x v="1"/>
    <n v="0"/>
    <n v="0"/>
    <n v="0"/>
    <n v="0"/>
    <n v="0"/>
    <m/>
    <s v="No"/>
    <x v="6"/>
    <n v="1"/>
    <n v="76"/>
    <s v="OK"/>
  </r>
  <r>
    <x v="240"/>
    <x v="206"/>
    <s v="04-05-2024"/>
    <x v="5"/>
    <x v="40"/>
    <s v="Classmate"/>
    <s v="SKU-HOM-2807"/>
    <s v="B012772071"/>
    <x v="1"/>
    <x v="0"/>
    <n v="5"/>
    <n v="2962"/>
    <n v="2549"/>
    <n v="13.9"/>
    <n v="12745"/>
    <n v="2075.7399999999998"/>
    <n v="637.25"/>
    <n v="0"/>
    <n v="4541.33"/>
    <n v="0"/>
    <n v="0"/>
    <n v="0"/>
    <m/>
    <n v="12745"/>
    <n v="5490.68"/>
    <n v="43.1"/>
    <x v="1"/>
    <n v="0"/>
    <n v="0"/>
    <n v="0"/>
    <n v="0"/>
    <n v="0"/>
    <n v="5"/>
    <s v="No"/>
    <x v="8"/>
    <n v="3"/>
    <n v="196"/>
    <s v="OK"/>
  </r>
  <r>
    <x v="241"/>
    <x v="207"/>
    <s v="24-08-2023"/>
    <x v="0"/>
    <x v="33"/>
    <s v="Decathlon"/>
    <s v="SKU-FAS-7801"/>
    <s v="B053153294"/>
    <x v="1"/>
    <x v="3"/>
    <n v="10"/>
    <n v="1170"/>
    <n v="1087"/>
    <n v="7.1"/>
    <n v="10870"/>
    <n v="1912.8"/>
    <n v="543.5"/>
    <n v="0"/>
    <n v="4744.9799999999996"/>
    <n v="405.35"/>
    <n v="0"/>
    <n v="0"/>
    <s v="Changed Mind"/>
    <n v="10870"/>
    <n v="3263.37"/>
    <n v="30"/>
    <x v="0"/>
    <n v="10209"/>
    <n v="151"/>
    <n v="1.48"/>
    <n v="0"/>
    <n v="0"/>
    <m/>
    <s v="No"/>
    <x v="2"/>
    <n v="1"/>
    <n v="4"/>
    <s v="⚠️ Reorder"/>
  </r>
  <r>
    <x v="242"/>
    <x v="208"/>
    <m/>
    <x v="3"/>
    <x v="18"/>
    <s v="Cello"/>
    <s v="SKU-ELE-1013"/>
    <s v="B023947231"/>
    <x v="1"/>
    <x v="2"/>
    <n v="9"/>
    <n v="2657"/>
    <n v="2435"/>
    <n v="8.4"/>
    <n v="21915"/>
    <n v="2752"/>
    <n v="1095.75"/>
    <n v="0"/>
    <n v="8066.59"/>
    <n v="253.7"/>
    <n v="0"/>
    <n v="0"/>
    <m/>
    <n v="21915"/>
    <n v="9746.9599999999991"/>
    <n v="44.5"/>
    <x v="2"/>
    <n v="4987"/>
    <n v="227"/>
    <n v="4.55"/>
    <n v="32"/>
    <n v="0.3"/>
    <m/>
    <s v="No"/>
    <x v="9"/>
    <n v="2"/>
    <n v="10"/>
    <s v="⚠️ Reorder"/>
  </r>
  <r>
    <x v="243"/>
    <x v="209"/>
    <m/>
    <x v="2"/>
    <x v="7"/>
    <s v="Puma"/>
    <s v="SKU-BEA-5588"/>
    <s v="B015496167"/>
    <x v="0"/>
    <x v="4"/>
    <n v="8"/>
    <n v="1632"/>
    <n v="1203"/>
    <n v="26.3"/>
    <n v="9624"/>
    <n v="1692.48"/>
    <n v="0"/>
    <n v="48.87"/>
    <n v="4374.6099999999997"/>
    <n v="481.47"/>
    <n v="0"/>
    <n v="0"/>
    <m/>
    <n v="9624"/>
    <n v="3026.57"/>
    <n v="31.4"/>
    <x v="0"/>
    <n v="6774"/>
    <n v="440"/>
    <n v="6.5"/>
    <n v="61"/>
    <n v="0.7"/>
    <m/>
    <s v="No"/>
    <x v="9"/>
    <n v="3"/>
    <n v="55"/>
    <s v="OK"/>
  </r>
  <r>
    <x v="244"/>
    <x v="97"/>
    <s v="24-09-2024"/>
    <x v="0"/>
    <x v="33"/>
    <s v="Decathlon"/>
    <s v="SKU-FAS-6385"/>
    <s v="B035463363"/>
    <x v="1"/>
    <x v="0"/>
    <n v="4"/>
    <n v="1502"/>
    <n v="1081"/>
    <n v="28"/>
    <n v="4324"/>
    <n v="346.28"/>
    <n v="216.2"/>
    <n v="0"/>
    <n v="1886.4"/>
    <n v="259.87"/>
    <n v="0"/>
    <n v="0"/>
    <m/>
    <n v="4324"/>
    <n v="1615.25"/>
    <n v="37.4"/>
    <x v="3"/>
    <n v="2524"/>
    <n v="51"/>
    <n v="2.02"/>
    <n v="2"/>
    <n v="12"/>
    <n v="5"/>
    <s v="Yes"/>
    <x v="11"/>
    <n v="3"/>
    <n v="193"/>
    <s v="OK"/>
  </r>
  <r>
    <x v="245"/>
    <x v="210"/>
    <s v="18-06-2023"/>
    <x v="0"/>
    <x v="33"/>
    <s v="Cello"/>
    <s v="SKU-FAS-8520"/>
    <s v="B050358935"/>
    <x v="0"/>
    <x v="3"/>
    <n v="3"/>
    <n v="748"/>
    <n v="586"/>
    <n v="21.7"/>
    <n v="1758"/>
    <n v="208.87"/>
    <n v="0"/>
    <n v="104.38"/>
    <n v="956.2"/>
    <n v="425.89"/>
    <n v="2"/>
    <n v="1172"/>
    <s v="Changed Mind"/>
    <n v="586"/>
    <n v="-1109.3399999999999"/>
    <n v="-189.3"/>
    <x v="3"/>
    <n v="14907"/>
    <n v="486"/>
    <n v="3.26"/>
    <n v="46"/>
    <n v="1.6"/>
    <m/>
    <s v="No"/>
    <x v="8"/>
    <n v="7"/>
    <n v="44"/>
    <s v="OK"/>
  </r>
  <r>
    <x v="246"/>
    <x v="211"/>
    <s v="07-10-2024"/>
    <x v="3"/>
    <x v="10"/>
    <s v="Noise"/>
    <s v="SKU-ELE-2900"/>
    <s v="B066550614"/>
    <x v="0"/>
    <x v="0"/>
    <n v="5"/>
    <n v="2522"/>
    <n v="1944"/>
    <n v="22.9"/>
    <n v="9720"/>
    <n v="1555.82"/>
    <n v="0"/>
    <n v="111.77"/>
    <n v="3205.1"/>
    <n v="368.41"/>
    <n v="0"/>
    <n v="0"/>
    <m/>
    <n v="9720"/>
    <n v="4478.8999999999996"/>
    <n v="46.1"/>
    <x v="0"/>
    <n v="12740"/>
    <n v="602"/>
    <n v="4.7300000000000004"/>
    <n v="25"/>
    <n v="0.8"/>
    <n v="3"/>
    <s v="No"/>
    <x v="6"/>
    <n v="6"/>
    <n v="156"/>
    <s v="OK"/>
  </r>
  <r>
    <x v="247"/>
    <x v="212"/>
    <s v="23-11-2023"/>
    <x v="0"/>
    <x v="14"/>
    <s v="Amazon Basics"/>
    <s v="SKU-FAS-1573"/>
    <s v="B083194129"/>
    <x v="0"/>
    <x v="0"/>
    <n v="1"/>
    <n v="3639"/>
    <n v="2751"/>
    <n v="24.4"/>
    <n v="2751"/>
    <n v="294.98"/>
    <n v="0"/>
    <n v="113.44"/>
    <n v="1226.51"/>
    <n v="72.73"/>
    <n v="0"/>
    <n v="0"/>
    <m/>
    <n v="2751"/>
    <n v="1043.3399999999999"/>
    <n v="37.9"/>
    <x v="0"/>
    <n v="11045"/>
    <n v="801"/>
    <n v="7.25"/>
    <n v="107"/>
    <n v="0"/>
    <n v="5"/>
    <s v="Yes"/>
    <x v="4"/>
    <n v="4"/>
    <n v="105"/>
    <s v="OK"/>
  </r>
  <r>
    <x v="248"/>
    <x v="213"/>
    <s v="12-09-2023"/>
    <x v="3"/>
    <x v="25"/>
    <s v="Milton"/>
    <s v="SKU-ELE-5234"/>
    <s v="B094398757"/>
    <x v="0"/>
    <x v="0"/>
    <n v="1"/>
    <n v="620"/>
    <n v="545"/>
    <n v="12.1"/>
    <n v="545"/>
    <n v="71.52"/>
    <n v="0"/>
    <n v="48.82"/>
    <n v="296.04000000000002"/>
    <n v="464.98"/>
    <n v="0"/>
    <n v="0"/>
    <m/>
    <n v="545"/>
    <n v="-336.36"/>
    <n v="-61.7"/>
    <x v="1"/>
    <n v="9861"/>
    <n v="324"/>
    <n v="3.29"/>
    <n v="17"/>
    <n v="5"/>
    <n v="3"/>
    <s v="Yes"/>
    <x v="7"/>
    <n v="3"/>
    <n v="124"/>
    <s v="OK"/>
  </r>
  <r>
    <x v="249"/>
    <x v="214"/>
    <s v="17-07-2024"/>
    <x v="3"/>
    <x v="18"/>
    <s v="Skullcandy"/>
    <s v="SKU-ELE-6093"/>
    <s v="B061741197"/>
    <x v="0"/>
    <x v="0"/>
    <n v="3"/>
    <n v="3961"/>
    <n v="3681"/>
    <n v="7.1"/>
    <n v="11043"/>
    <n v="1317.71"/>
    <n v="0"/>
    <n v="61.42"/>
    <n v="4201.32"/>
    <n v="284.38"/>
    <n v="0"/>
    <n v="0"/>
    <m/>
    <n v="11043"/>
    <n v="5178.17"/>
    <n v="46.9"/>
    <x v="1"/>
    <n v="10037"/>
    <n v="602"/>
    <n v="6"/>
    <n v="37"/>
    <n v="0.2"/>
    <n v="5"/>
    <s v="No"/>
    <x v="1"/>
    <n v="5"/>
    <n v="118"/>
    <s v="OK"/>
  </r>
  <r>
    <x v="250"/>
    <x v="215"/>
    <s v="12-03-2024"/>
    <x v="0"/>
    <x v="33"/>
    <s v="Generic"/>
    <s v="SKU-FAS-9136"/>
    <s v="B043791521"/>
    <x v="0"/>
    <x v="0"/>
    <n v="10"/>
    <n v="1632"/>
    <n v="1298"/>
    <n v="20.5"/>
    <n v="12980"/>
    <n v="1225.74"/>
    <n v="0"/>
    <n v="89.81"/>
    <n v="7099.94"/>
    <n v="0"/>
    <n v="0"/>
    <n v="0"/>
    <m/>
    <n v="12980"/>
    <n v="4564.51"/>
    <n v="35.200000000000003"/>
    <x v="1"/>
    <n v="0"/>
    <n v="0"/>
    <n v="0"/>
    <n v="0"/>
    <n v="0"/>
    <n v="4"/>
    <s v="No"/>
    <x v="9"/>
    <n v="4"/>
    <n v="34"/>
    <s v="OK"/>
  </r>
  <r>
    <x v="251"/>
    <x v="216"/>
    <m/>
    <x v="3"/>
    <x v="24"/>
    <s v="Cello"/>
    <s v="SKU-ELE-3194"/>
    <s v="B011248459"/>
    <x v="0"/>
    <x v="1"/>
    <n v="6"/>
    <n v="4185"/>
    <n v="3831"/>
    <n v="8.5"/>
    <n v="22986"/>
    <n v="2536.4"/>
    <n v="0"/>
    <n v="33.619999999999997"/>
    <n v="11588.83"/>
    <n v="0"/>
    <n v="0"/>
    <n v="0"/>
    <m/>
    <n v="22986"/>
    <n v="8827.15"/>
    <n v="38.4"/>
    <x v="1"/>
    <n v="0"/>
    <n v="0"/>
    <n v="0"/>
    <n v="0"/>
    <n v="0"/>
    <m/>
    <s v="No"/>
    <x v="4"/>
    <n v="6"/>
    <n v="96"/>
    <s v="OK"/>
  </r>
  <r>
    <x v="252"/>
    <x v="175"/>
    <s v="12-04-2023"/>
    <x v="2"/>
    <x v="17"/>
    <s v="Classmate"/>
    <s v="SKU-BEA-8709"/>
    <s v="B021925841"/>
    <x v="0"/>
    <x v="0"/>
    <n v="8"/>
    <n v="2848"/>
    <n v="2072"/>
    <n v="27.2"/>
    <n v="16576"/>
    <n v="1573.1"/>
    <n v="0"/>
    <n v="80.489999999999995"/>
    <n v="5928.61"/>
    <n v="0"/>
    <n v="0"/>
    <n v="0"/>
    <m/>
    <n v="16576"/>
    <n v="8993.7999999999993"/>
    <n v="54.3"/>
    <x v="1"/>
    <n v="0"/>
    <n v="0"/>
    <n v="0"/>
    <n v="0"/>
    <n v="0"/>
    <n v="4"/>
    <s v="Yes"/>
    <x v="6"/>
    <n v="7"/>
    <n v="1"/>
    <s v="⚠️ Reorder"/>
  </r>
  <r>
    <x v="253"/>
    <x v="217"/>
    <s v="06-12-2024"/>
    <x v="2"/>
    <x v="17"/>
    <s v="BoAt"/>
    <s v="SKU-BEA-4806"/>
    <s v="B022780174"/>
    <x v="0"/>
    <x v="0"/>
    <n v="1"/>
    <n v="2069"/>
    <n v="1843"/>
    <n v="10.9"/>
    <n v="1843"/>
    <n v="148"/>
    <n v="0"/>
    <n v="99.32"/>
    <n v="770.1"/>
    <n v="128.37"/>
    <n v="0"/>
    <n v="0"/>
    <m/>
    <n v="1843"/>
    <n v="697.21"/>
    <n v="37.799999999999997"/>
    <x v="1"/>
    <n v="3311"/>
    <n v="207"/>
    <n v="6.25"/>
    <n v="34"/>
    <n v="0.2"/>
    <n v="4"/>
    <s v="Yes"/>
    <x v="4"/>
    <n v="6"/>
    <n v="180"/>
    <s v="OK"/>
  </r>
  <r>
    <x v="254"/>
    <x v="218"/>
    <s v="27-04-2023"/>
    <x v="5"/>
    <x v="37"/>
    <s v="Decathlon"/>
    <s v="SKU-HOM-7080"/>
    <s v="B028190709"/>
    <x v="0"/>
    <x v="0"/>
    <n v="8"/>
    <n v="2914"/>
    <n v="2588"/>
    <n v="11.2"/>
    <n v="20704"/>
    <n v="3573.29"/>
    <n v="0"/>
    <n v="114.01"/>
    <n v="10364.120000000001"/>
    <n v="0"/>
    <n v="0"/>
    <n v="0"/>
    <m/>
    <n v="20704"/>
    <n v="6652.58"/>
    <n v="32.1"/>
    <x v="1"/>
    <n v="0"/>
    <n v="0"/>
    <n v="0"/>
    <n v="0"/>
    <n v="0"/>
    <n v="5"/>
    <s v="Yes"/>
    <x v="3"/>
    <n v="4"/>
    <n v="153"/>
    <s v="OK"/>
  </r>
  <r>
    <x v="255"/>
    <x v="219"/>
    <m/>
    <x v="4"/>
    <x v="13"/>
    <s v="Decathlon"/>
    <s v="SKU-OFF-7885"/>
    <s v="B023156450"/>
    <x v="0"/>
    <x v="1"/>
    <n v="10"/>
    <n v="3510"/>
    <n v="2879"/>
    <n v="18"/>
    <n v="28790"/>
    <n v="4795.8500000000004"/>
    <n v="0"/>
    <n v="56.78"/>
    <n v="12158.81"/>
    <n v="0"/>
    <n v="0"/>
    <n v="0"/>
    <m/>
    <n v="28790"/>
    <n v="11778.56"/>
    <n v="40.9"/>
    <x v="1"/>
    <n v="0"/>
    <n v="0"/>
    <n v="0"/>
    <n v="0"/>
    <n v="0"/>
    <m/>
    <s v="No"/>
    <x v="13"/>
    <n v="4"/>
    <n v="48"/>
    <s v="OK"/>
  </r>
  <r>
    <x v="256"/>
    <x v="217"/>
    <s v="05-12-2024"/>
    <x v="0"/>
    <x v="14"/>
    <s v="BoAt"/>
    <s v="SKU-FAS-1701"/>
    <s v="B034593048"/>
    <x v="0"/>
    <x v="3"/>
    <n v="7"/>
    <n v="4319"/>
    <n v="3125"/>
    <n v="27.6"/>
    <n v="21875"/>
    <n v="3855.52"/>
    <n v="0"/>
    <n v="86.69"/>
    <n v="10923.31"/>
    <n v="322.67"/>
    <n v="6"/>
    <n v="18750"/>
    <s v="Not as Described"/>
    <n v="3125"/>
    <n v="-12063.19"/>
    <n v="-386"/>
    <x v="1"/>
    <n v="10056"/>
    <n v="201"/>
    <n v="2"/>
    <n v="40"/>
    <n v="0.3"/>
    <m/>
    <s v="No"/>
    <x v="0"/>
    <n v="5"/>
    <n v="104"/>
    <s v="OK"/>
  </r>
  <r>
    <x v="257"/>
    <x v="220"/>
    <s v="11-12-2023"/>
    <x v="3"/>
    <x v="24"/>
    <s v="Himalaya"/>
    <s v="SKU-ELE-3838"/>
    <s v="B033990943"/>
    <x v="1"/>
    <x v="0"/>
    <n v="7"/>
    <n v="2604"/>
    <n v="2159"/>
    <n v="17.100000000000001"/>
    <n v="15113"/>
    <n v="1360.67"/>
    <n v="755.65"/>
    <n v="0"/>
    <n v="8278.0400000000009"/>
    <n v="0"/>
    <n v="0"/>
    <n v="0"/>
    <m/>
    <n v="15113"/>
    <n v="4718.6400000000003"/>
    <n v="31.2"/>
    <x v="1"/>
    <n v="0"/>
    <n v="0"/>
    <n v="0"/>
    <n v="0"/>
    <n v="0"/>
    <n v="2"/>
    <s v="No"/>
    <x v="10"/>
    <n v="1"/>
    <n v="4"/>
    <s v="⚠️ Reorder"/>
  </r>
  <r>
    <x v="258"/>
    <x v="68"/>
    <m/>
    <x v="3"/>
    <x v="25"/>
    <s v="Amazon Basics"/>
    <s v="SKU-ELE-3921"/>
    <s v="B017474244"/>
    <x v="1"/>
    <x v="4"/>
    <n v="6"/>
    <n v="2427"/>
    <n v="1921"/>
    <n v="20.8"/>
    <n v="11526"/>
    <n v="1990.68"/>
    <n v="576.29999999999995"/>
    <n v="0"/>
    <n v="5624.61"/>
    <n v="206.5"/>
    <n v="0"/>
    <n v="0"/>
    <m/>
    <n v="11526"/>
    <n v="3127.91"/>
    <n v="27.1"/>
    <x v="3"/>
    <n v="1090"/>
    <n v="44"/>
    <n v="4.04"/>
    <n v="6"/>
    <n v="1.8"/>
    <m/>
    <s v="No"/>
    <x v="0"/>
    <n v="2"/>
    <n v="129"/>
    <s v="OK"/>
  </r>
  <r>
    <x v="259"/>
    <x v="221"/>
    <m/>
    <x v="3"/>
    <x v="5"/>
    <s v="Wildcraft"/>
    <s v="SKU-ELE-9543"/>
    <s v="B070497239"/>
    <x v="1"/>
    <x v="4"/>
    <n v="8"/>
    <n v="1734"/>
    <n v="1617"/>
    <n v="6.7"/>
    <n v="12936"/>
    <n v="1477.23"/>
    <n v="646.79999999999995"/>
    <n v="0"/>
    <n v="6634.79"/>
    <n v="0"/>
    <n v="0"/>
    <n v="0"/>
    <m/>
    <n v="12936"/>
    <n v="4177.18"/>
    <n v="32.299999999999997"/>
    <x v="1"/>
    <n v="0"/>
    <n v="0"/>
    <n v="0"/>
    <n v="0"/>
    <n v="0"/>
    <m/>
    <s v="No"/>
    <x v="11"/>
    <n v="2"/>
    <n v="79"/>
    <s v="OK"/>
  </r>
  <r>
    <x v="260"/>
    <x v="222"/>
    <s v="28-10-2023"/>
    <x v="2"/>
    <x v="29"/>
    <s v="Wildcraft"/>
    <s v="SKU-BEA-8015"/>
    <s v="B024187507"/>
    <x v="1"/>
    <x v="0"/>
    <n v="1"/>
    <n v="767"/>
    <n v="694"/>
    <n v="9.5"/>
    <n v="694"/>
    <n v="78.22"/>
    <n v="34.700000000000003"/>
    <n v="0"/>
    <n v="218.89"/>
    <n v="158.49"/>
    <n v="0"/>
    <n v="0"/>
    <m/>
    <n v="694"/>
    <n v="203.7"/>
    <n v="29.4"/>
    <x v="3"/>
    <n v="10562"/>
    <n v="64"/>
    <n v="0.61"/>
    <n v="5"/>
    <n v="4.5999999999999996"/>
    <n v="4"/>
    <s v="No"/>
    <x v="0"/>
    <n v="1"/>
    <n v="52"/>
    <s v="OK"/>
  </r>
  <r>
    <x v="261"/>
    <x v="12"/>
    <m/>
    <x v="2"/>
    <x v="7"/>
    <s v="Mamaearth"/>
    <s v="SKU-BEA-8825"/>
    <s v="B028323160"/>
    <x v="0"/>
    <x v="4"/>
    <n v="3"/>
    <n v="2427"/>
    <n v="2231"/>
    <n v="8.1"/>
    <n v="6693"/>
    <n v="1127.48"/>
    <n v="0"/>
    <n v="113.69"/>
    <n v="3234.72"/>
    <n v="321.79000000000002"/>
    <n v="0"/>
    <n v="0"/>
    <m/>
    <n v="6693"/>
    <n v="1895.32"/>
    <n v="28.3"/>
    <x v="1"/>
    <n v="14533"/>
    <n v="397"/>
    <n v="2.73"/>
    <n v="73"/>
    <n v="0.2"/>
    <m/>
    <s v="No"/>
    <x v="10"/>
    <n v="4"/>
    <n v="101"/>
    <s v="OK"/>
  </r>
  <r>
    <x v="262"/>
    <x v="223"/>
    <m/>
    <x v="2"/>
    <x v="41"/>
    <s v="Milton"/>
    <s v="SKU-BEA-5764"/>
    <s v="B066686844"/>
    <x v="1"/>
    <x v="4"/>
    <n v="5"/>
    <n v="4203"/>
    <n v="3081"/>
    <n v="26.7"/>
    <n v="15405"/>
    <n v="2508.65"/>
    <n v="770.25"/>
    <n v="0"/>
    <n v="6527.67"/>
    <n v="189.32"/>
    <n v="0"/>
    <n v="0"/>
    <m/>
    <n v="15405"/>
    <n v="5409.11"/>
    <n v="35.1"/>
    <x v="2"/>
    <n v="3504"/>
    <n v="110"/>
    <n v="3.14"/>
    <n v="4"/>
    <n v="1.5"/>
    <m/>
    <s v="No"/>
    <x v="8"/>
    <n v="3"/>
    <n v="116"/>
    <s v="OK"/>
  </r>
  <r>
    <x v="263"/>
    <x v="148"/>
    <s v="04-05-2023"/>
    <x v="2"/>
    <x v="32"/>
    <s v="Himalaya"/>
    <s v="SKU-BEA-8998"/>
    <s v="B079312483"/>
    <x v="1"/>
    <x v="0"/>
    <n v="6"/>
    <n v="3788"/>
    <n v="3089"/>
    <n v="18.5"/>
    <n v="18534"/>
    <n v="2352.7800000000002"/>
    <n v="926.7"/>
    <n v="0"/>
    <n v="6469.25"/>
    <n v="0"/>
    <n v="0"/>
    <n v="0"/>
    <m/>
    <n v="18534"/>
    <n v="8785.27"/>
    <n v="47.4"/>
    <x v="1"/>
    <n v="0"/>
    <n v="0"/>
    <n v="0"/>
    <n v="0"/>
    <n v="0"/>
    <n v="4"/>
    <s v="Yes"/>
    <x v="10"/>
    <n v="3"/>
    <n v="77"/>
    <s v="OK"/>
  </r>
  <r>
    <x v="264"/>
    <x v="224"/>
    <s v="19-05-2024"/>
    <x v="1"/>
    <x v="12"/>
    <s v="Wildcraft"/>
    <s v="SKU-SPO-3382"/>
    <s v="B037753245"/>
    <x v="0"/>
    <x v="0"/>
    <n v="10"/>
    <n v="1569"/>
    <n v="1478"/>
    <n v="5.8"/>
    <n v="14780"/>
    <n v="1276.53"/>
    <n v="0"/>
    <n v="89.16"/>
    <n v="6316.88"/>
    <n v="146.15"/>
    <n v="0"/>
    <n v="0"/>
    <m/>
    <n v="14780"/>
    <n v="6951.28"/>
    <n v="47"/>
    <x v="2"/>
    <n v="9555"/>
    <n v="122"/>
    <n v="1.28"/>
    <n v="17"/>
    <n v="0.6"/>
    <n v="5"/>
    <s v="No"/>
    <x v="2"/>
    <n v="4"/>
    <n v="51"/>
    <s v="OK"/>
  </r>
  <r>
    <x v="265"/>
    <x v="225"/>
    <m/>
    <x v="5"/>
    <x v="37"/>
    <s v="Skullcandy"/>
    <s v="SKU-HOM-4016"/>
    <s v="B015872265"/>
    <x v="0"/>
    <x v="1"/>
    <n v="2"/>
    <n v="1296"/>
    <n v="1080"/>
    <n v="16.7"/>
    <n v="2160"/>
    <n v="225.03"/>
    <n v="0"/>
    <n v="100.2"/>
    <n v="661.26"/>
    <n v="293.02"/>
    <n v="0"/>
    <n v="0"/>
    <m/>
    <n v="2160"/>
    <n v="880.49"/>
    <n v="40.799999999999997"/>
    <x v="0"/>
    <n v="2772"/>
    <n v="68"/>
    <n v="2.4500000000000002"/>
    <n v="8"/>
    <n v="3.4"/>
    <m/>
    <s v="No"/>
    <x v="6"/>
    <n v="7"/>
    <n v="33"/>
    <s v="OK"/>
  </r>
  <r>
    <x v="266"/>
    <x v="226"/>
    <s v="23-05-2024"/>
    <x v="2"/>
    <x v="43"/>
    <s v="Classmate"/>
    <s v="SKU-BEA-6230"/>
    <s v="B070480902"/>
    <x v="1"/>
    <x v="0"/>
    <n v="7"/>
    <n v="4815"/>
    <n v="3911"/>
    <n v="18.8"/>
    <n v="27377"/>
    <n v="2816.68"/>
    <n v="1368.85"/>
    <n v="0"/>
    <n v="12012.98"/>
    <n v="0"/>
    <n v="0"/>
    <n v="0"/>
    <m/>
    <n v="27377"/>
    <n v="11178.49"/>
    <n v="40.799999999999997"/>
    <x v="1"/>
    <n v="0"/>
    <n v="0"/>
    <n v="0"/>
    <n v="0"/>
    <n v="0"/>
    <n v="3"/>
    <s v="No"/>
    <x v="13"/>
    <n v="1"/>
    <n v="46"/>
    <s v="OK"/>
  </r>
  <r>
    <x v="267"/>
    <x v="227"/>
    <s v="23-05-2024"/>
    <x v="5"/>
    <x v="37"/>
    <s v="Prestige"/>
    <s v="SKU-HOM-2822"/>
    <s v="B024398136"/>
    <x v="1"/>
    <x v="0"/>
    <n v="10"/>
    <n v="2429"/>
    <n v="1900"/>
    <n v="21.8"/>
    <n v="19000"/>
    <n v="3369.11"/>
    <n v="950"/>
    <n v="0"/>
    <n v="7286.7"/>
    <n v="0"/>
    <n v="0"/>
    <n v="0"/>
    <m/>
    <n v="19000"/>
    <n v="7394.19"/>
    <n v="38.9"/>
    <x v="1"/>
    <n v="0"/>
    <n v="0"/>
    <n v="0"/>
    <n v="0"/>
    <n v="0"/>
    <n v="4"/>
    <s v="No"/>
    <x v="9"/>
    <n v="3"/>
    <n v="24"/>
    <s v="OK"/>
  </r>
  <r>
    <x v="268"/>
    <x v="228"/>
    <m/>
    <x v="0"/>
    <x v="14"/>
    <s v="Classmate"/>
    <s v="SKU-FAS-3979"/>
    <s v="B057848773"/>
    <x v="0"/>
    <x v="4"/>
    <n v="3"/>
    <n v="2308"/>
    <n v="2077"/>
    <n v="10"/>
    <n v="6231"/>
    <n v="1014.75"/>
    <n v="0"/>
    <n v="68.14"/>
    <n v="2829.1"/>
    <n v="252.98"/>
    <n v="0"/>
    <n v="0"/>
    <m/>
    <n v="6231"/>
    <n v="2066.0300000000002"/>
    <n v="33.200000000000003"/>
    <x v="3"/>
    <n v="8474"/>
    <n v="240"/>
    <n v="2.83"/>
    <n v="16"/>
    <n v="0.8"/>
    <m/>
    <s v="No"/>
    <x v="4"/>
    <n v="3"/>
    <n v="197"/>
    <s v="OK"/>
  </r>
  <r>
    <x v="269"/>
    <x v="229"/>
    <m/>
    <x v="5"/>
    <x v="11"/>
    <s v="Prestige"/>
    <s v="SKU-HOM-3082"/>
    <s v="B024840247"/>
    <x v="1"/>
    <x v="4"/>
    <n v="1"/>
    <n v="3978"/>
    <n v="3132"/>
    <n v="21.3"/>
    <n v="3132"/>
    <n v="392.19"/>
    <n v="156.6"/>
    <n v="0"/>
    <n v="1116.9000000000001"/>
    <n v="0"/>
    <n v="0"/>
    <n v="0"/>
    <m/>
    <n v="3132"/>
    <n v="1466.31"/>
    <n v="46.8"/>
    <x v="1"/>
    <n v="0"/>
    <n v="0"/>
    <n v="0"/>
    <n v="0"/>
    <n v="0"/>
    <m/>
    <s v="No"/>
    <x v="0"/>
    <n v="3"/>
    <n v="108"/>
    <s v="OK"/>
  </r>
  <r>
    <x v="270"/>
    <x v="230"/>
    <s v="08-01-2024"/>
    <x v="3"/>
    <x v="26"/>
    <s v="Fastrack"/>
    <s v="SKU-ELE-2176"/>
    <s v="B059103364"/>
    <x v="1"/>
    <x v="0"/>
    <n v="4"/>
    <n v="1117"/>
    <n v="975"/>
    <n v="12.7"/>
    <n v="3900"/>
    <n v="524.29"/>
    <n v="195"/>
    <n v="0"/>
    <n v="1557.27"/>
    <n v="285.77"/>
    <n v="0"/>
    <n v="0"/>
    <m/>
    <n v="3900"/>
    <n v="1337.67"/>
    <n v="34.299999999999997"/>
    <x v="2"/>
    <n v="14648"/>
    <n v="128"/>
    <n v="0.87"/>
    <n v="3"/>
    <n v="9.8000000000000007"/>
    <n v="3"/>
    <s v="Yes"/>
    <x v="11"/>
    <n v="3"/>
    <n v="39"/>
    <s v="OK"/>
  </r>
  <r>
    <x v="271"/>
    <x v="231"/>
    <s v="14-01-2024"/>
    <x v="5"/>
    <x v="47"/>
    <s v="Skullcandy"/>
    <s v="SKU-HOM-8376"/>
    <s v="B023436880"/>
    <x v="0"/>
    <x v="3"/>
    <n v="8"/>
    <n v="3853"/>
    <n v="2995"/>
    <n v="22.3"/>
    <n v="23960"/>
    <n v="2291.37"/>
    <n v="0"/>
    <n v="66.33"/>
    <n v="9441.36"/>
    <n v="14.42"/>
    <n v="1"/>
    <n v="2995"/>
    <s v="Not as Described"/>
    <n v="20965"/>
    <n v="9151.52"/>
    <n v="43.7"/>
    <x v="0"/>
    <n v="3636"/>
    <n v="33"/>
    <n v="0.91"/>
    <n v="6"/>
    <n v="0.1"/>
    <m/>
    <s v="No"/>
    <x v="4"/>
    <n v="3"/>
    <n v="9"/>
    <s v="⚠️ Reorder"/>
  </r>
  <r>
    <x v="272"/>
    <x v="232"/>
    <m/>
    <x v="1"/>
    <x v="46"/>
    <s v="Fastrack"/>
    <s v="SKU-SPO-6005"/>
    <s v="B097628491"/>
    <x v="1"/>
    <x v="1"/>
    <n v="7"/>
    <n v="4338"/>
    <n v="3599"/>
    <n v="17"/>
    <n v="25193"/>
    <n v="3082"/>
    <n v="1259.6500000000001"/>
    <n v="0"/>
    <n v="10884.37"/>
    <n v="192.51"/>
    <n v="0"/>
    <n v="0"/>
    <m/>
    <n v="25193"/>
    <n v="9774.4699999999993"/>
    <n v="38.799999999999997"/>
    <x v="3"/>
    <n v="6227"/>
    <n v="326"/>
    <n v="5.24"/>
    <n v="6"/>
    <n v="0.9"/>
    <m/>
    <s v="No"/>
    <x v="4"/>
    <n v="2"/>
    <n v="44"/>
    <s v="OK"/>
  </r>
  <r>
    <x v="273"/>
    <x v="233"/>
    <m/>
    <x v="3"/>
    <x v="26"/>
    <s v="Himalaya"/>
    <s v="SKU-ELE-6155"/>
    <s v="B081157300"/>
    <x v="0"/>
    <x v="2"/>
    <n v="2"/>
    <n v="1028"/>
    <n v="793"/>
    <n v="22.9"/>
    <n v="1586"/>
    <n v="218.26"/>
    <n v="0"/>
    <n v="73.900000000000006"/>
    <n v="625.11"/>
    <n v="91.22"/>
    <n v="0"/>
    <n v="0"/>
    <m/>
    <n v="1586"/>
    <n v="577.51"/>
    <n v="36.4"/>
    <x v="3"/>
    <n v="6212"/>
    <n v="331"/>
    <n v="5.33"/>
    <n v="37"/>
    <n v="0.3"/>
    <m/>
    <s v="No"/>
    <x v="6"/>
    <n v="4"/>
    <n v="117"/>
    <s v="OK"/>
  </r>
  <r>
    <x v="274"/>
    <x v="234"/>
    <m/>
    <x v="2"/>
    <x v="2"/>
    <s v="Cello"/>
    <s v="SKU-BEA-9674"/>
    <s v="B010840371"/>
    <x v="0"/>
    <x v="2"/>
    <n v="3"/>
    <n v="234"/>
    <n v="184"/>
    <n v="21.4"/>
    <n v="552"/>
    <n v="47.39"/>
    <n v="0"/>
    <n v="37.64"/>
    <n v="296.8"/>
    <n v="5.33"/>
    <n v="0"/>
    <n v="0"/>
    <m/>
    <n v="552"/>
    <n v="164.84"/>
    <n v="29.9"/>
    <x v="0"/>
    <n v="9157"/>
    <n v="696"/>
    <n v="7.6"/>
    <n v="101"/>
    <n v="0"/>
    <m/>
    <s v="No"/>
    <x v="12"/>
    <n v="5"/>
    <n v="144"/>
    <s v="OK"/>
  </r>
  <r>
    <x v="275"/>
    <x v="235"/>
    <m/>
    <x v="1"/>
    <x v="46"/>
    <s v="Mamaearth"/>
    <s v="SKU-SPO-1506"/>
    <s v="B078697599"/>
    <x v="1"/>
    <x v="4"/>
    <n v="4"/>
    <n v="846"/>
    <n v="767"/>
    <n v="9.3000000000000007"/>
    <n v="3068"/>
    <n v="286.07"/>
    <n v="153.4"/>
    <n v="0"/>
    <n v="1065.6600000000001"/>
    <n v="352.08"/>
    <n v="0"/>
    <n v="0"/>
    <m/>
    <n v="3068"/>
    <n v="1210.79"/>
    <n v="39.5"/>
    <x v="1"/>
    <n v="3031"/>
    <n v="192"/>
    <n v="6.33"/>
    <n v="15"/>
    <n v="3.1"/>
    <m/>
    <s v="No"/>
    <x v="13"/>
    <n v="1"/>
    <n v="76"/>
    <s v="OK"/>
  </r>
  <r>
    <x v="276"/>
    <x v="236"/>
    <s v="14-02-2024"/>
    <x v="4"/>
    <x v="8"/>
    <s v="Amazon Basics"/>
    <s v="SKU-OFF-6724"/>
    <s v="B066329361"/>
    <x v="0"/>
    <x v="0"/>
    <n v="4"/>
    <n v="1553"/>
    <n v="1403"/>
    <n v="9.6999999999999993"/>
    <n v="5612"/>
    <n v="686.16"/>
    <n v="0"/>
    <n v="71.69"/>
    <n v="2277.5100000000002"/>
    <n v="462.33"/>
    <n v="0"/>
    <n v="0"/>
    <m/>
    <n v="5612"/>
    <n v="2114.31"/>
    <n v="37.700000000000003"/>
    <x v="2"/>
    <n v="4766"/>
    <n v="212"/>
    <n v="4.45"/>
    <n v="7"/>
    <n v="4.7"/>
    <n v="5"/>
    <s v="No"/>
    <x v="3"/>
    <n v="3"/>
    <n v="5"/>
    <s v="⚠️ Reorder"/>
  </r>
  <r>
    <x v="277"/>
    <x v="237"/>
    <s v="03-08-2024"/>
    <x v="0"/>
    <x v="22"/>
    <s v="Generic"/>
    <s v="SKU-FAS-7488"/>
    <s v="B081234209"/>
    <x v="1"/>
    <x v="0"/>
    <n v="2"/>
    <n v="1976"/>
    <n v="1723"/>
    <n v="12.8"/>
    <n v="3446"/>
    <n v="475.91"/>
    <n v="172.3"/>
    <n v="0"/>
    <n v="1248.22"/>
    <n v="0"/>
    <n v="0"/>
    <n v="0"/>
    <m/>
    <n v="3446"/>
    <n v="1549.57"/>
    <n v="45"/>
    <x v="1"/>
    <n v="0"/>
    <n v="0"/>
    <n v="0"/>
    <n v="0"/>
    <n v="0"/>
    <n v="4"/>
    <s v="Yes"/>
    <x v="7"/>
    <n v="3"/>
    <n v="163"/>
    <s v="OK"/>
  </r>
  <r>
    <x v="278"/>
    <x v="140"/>
    <s v="01-03-2024"/>
    <x v="5"/>
    <x v="15"/>
    <s v="Noise"/>
    <s v="SKU-HOM-4982"/>
    <s v="B081800993"/>
    <x v="1"/>
    <x v="0"/>
    <n v="3"/>
    <n v="1188"/>
    <n v="976"/>
    <n v="17.8"/>
    <n v="2928"/>
    <n v="267.55"/>
    <n v="146.4"/>
    <n v="0"/>
    <n v="1559.21"/>
    <n v="469.69"/>
    <n v="0"/>
    <n v="0"/>
    <m/>
    <n v="2928"/>
    <n v="485.15"/>
    <n v="16.600000000000001"/>
    <x v="3"/>
    <n v="1671"/>
    <n v="32"/>
    <n v="1.92"/>
    <n v="2"/>
    <n v="24.1"/>
    <n v="4"/>
    <s v="No"/>
    <x v="1"/>
    <n v="1"/>
    <n v="186"/>
    <s v="OK"/>
  </r>
  <r>
    <x v="279"/>
    <x v="238"/>
    <s v="17-10-2024"/>
    <x v="2"/>
    <x v="32"/>
    <s v="Lakme"/>
    <s v="SKU-BEA-4254"/>
    <s v="B051609048"/>
    <x v="0"/>
    <x v="0"/>
    <n v="4"/>
    <n v="3928"/>
    <n v="3594"/>
    <n v="8.5"/>
    <n v="14376"/>
    <n v="2586.84"/>
    <n v="0"/>
    <n v="73.87"/>
    <n v="6610.86"/>
    <n v="23.18"/>
    <n v="0"/>
    <n v="0"/>
    <m/>
    <n v="14376"/>
    <n v="5081.25"/>
    <n v="35.299999999999997"/>
    <x v="2"/>
    <n v="4003"/>
    <n v="220"/>
    <n v="5.5"/>
    <n v="20"/>
    <n v="0"/>
    <n v="1"/>
    <s v="Yes"/>
    <x v="9"/>
    <n v="6"/>
    <n v="20"/>
    <s v="OK"/>
  </r>
  <r>
    <x v="280"/>
    <x v="239"/>
    <m/>
    <x v="0"/>
    <x v="33"/>
    <s v="Noise"/>
    <s v="SKU-FAS-2597"/>
    <s v="B086690636"/>
    <x v="1"/>
    <x v="4"/>
    <n v="4"/>
    <n v="3499"/>
    <n v="2491"/>
    <n v="28.8"/>
    <n v="9964"/>
    <n v="1646.12"/>
    <n v="498.2"/>
    <n v="0"/>
    <n v="3528.19"/>
    <n v="391.89"/>
    <n v="0"/>
    <n v="0"/>
    <m/>
    <n v="9964"/>
    <n v="3899.6"/>
    <n v="39.1"/>
    <x v="0"/>
    <n v="8291"/>
    <n v="451"/>
    <n v="5.44"/>
    <n v="26"/>
    <n v="0.6"/>
    <m/>
    <s v="No"/>
    <x v="4"/>
    <n v="3"/>
    <n v="19"/>
    <s v="⚠️ Reorder"/>
  </r>
  <r>
    <x v="281"/>
    <x v="193"/>
    <m/>
    <x v="2"/>
    <x v="7"/>
    <s v="Wildcraft"/>
    <s v="SKU-BEA-4141"/>
    <s v="B067157007"/>
    <x v="1"/>
    <x v="4"/>
    <n v="9"/>
    <n v="247"/>
    <n v="207"/>
    <n v="16.2"/>
    <n v="1863"/>
    <n v="220.13"/>
    <n v="93.15"/>
    <n v="0"/>
    <n v="658.92"/>
    <n v="0"/>
    <n v="0"/>
    <n v="0"/>
    <m/>
    <n v="1863"/>
    <n v="890.8"/>
    <n v="47.8"/>
    <x v="1"/>
    <n v="0"/>
    <n v="0"/>
    <n v="0"/>
    <n v="0"/>
    <n v="0"/>
    <m/>
    <s v="No"/>
    <x v="3"/>
    <n v="1"/>
    <n v="182"/>
    <s v="OK"/>
  </r>
  <r>
    <x v="282"/>
    <x v="240"/>
    <m/>
    <x v="1"/>
    <x v="45"/>
    <s v="Mamaearth"/>
    <s v="SKU-SPO-1691"/>
    <s v="B067661724"/>
    <x v="0"/>
    <x v="1"/>
    <n v="9"/>
    <n v="257"/>
    <n v="208"/>
    <n v="19.100000000000001"/>
    <n v="1872"/>
    <n v="179.09"/>
    <n v="0"/>
    <n v="48.85"/>
    <n v="650.27"/>
    <n v="192.25"/>
    <n v="0"/>
    <n v="0"/>
    <m/>
    <n v="1872"/>
    <n v="801.54"/>
    <n v="42.8"/>
    <x v="2"/>
    <n v="3420"/>
    <n v="216"/>
    <n v="6.32"/>
    <n v="39"/>
    <n v="2.4"/>
    <m/>
    <s v="No"/>
    <x v="7"/>
    <n v="5"/>
    <n v="99"/>
    <s v="OK"/>
  </r>
  <r>
    <x v="283"/>
    <x v="171"/>
    <s v="27-12-2024"/>
    <x v="1"/>
    <x v="23"/>
    <s v="Fastrack"/>
    <s v="SKU-SPO-1235"/>
    <s v="B091645185"/>
    <x v="0"/>
    <x v="3"/>
    <n v="8"/>
    <n v="3623"/>
    <n v="2648"/>
    <n v="26.9"/>
    <n v="21184"/>
    <n v="3125.03"/>
    <n v="0"/>
    <n v="52.74"/>
    <n v="7296.32"/>
    <n v="337.88"/>
    <n v="3"/>
    <n v="7944"/>
    <s v="Changed Mind"/>
    <n v="13240"/>
    <n v="2428.0300000000002"/>
    <n v="18.3"/>
    <x v="0"/>
    <n v="5398"/>
    <n v="246"/>
    <n v="4.5599999999999996"/>
    <n v="45"/>
    <n v="0.3"/>
    <m/>
    <s v="No"/>
    <x v="3"/>
    <n v="7"/>
    <n v="180"/>
    <s v="OK"/>
  </r>
  <r>
    <x v="284"/>
    <x v="241"/>
    <s v="12-08-2024"/>
    <x v="5"/>
    <x v="30"/>
    <s v="Amazon Basics"/>
    <s v="SKU-HOM-5695"/>
    <s v="B072677116"/>
    <x v="0"/>
    <x v="3"/>
    <n v="1"/>
    <n v="3282"/>
    <n v="3017"/>
    <n v="8.1"/>
    <n v="3017"/>
    <n v="482.38"/>
    <n v="0"/>
    <n v="42.36"/>
    <n v="1226.49"/>
    <n v="291.35000000000002"/>
    <n v="0"/>
    <n v="0"/>
    <s v="Damaged in Transit"/>
    <n v="3017"/>
    <n v="974.42"/>
    <n v="32.299999999999997"/>
    <x v="0"/>
    <n v="2294"/>
    <n v="44"/>
    <n v="1.92"/>
    <n v="1"/>
    <n v="9.6999999999999993"/>
    <m/>
    <s v="No"/>
    <x v="0"/>
    <n v="6"/>
    <n v="61"/>
    <s v="OK"/>
  </r>
  <r>
    <x v="285"/>
    <x v="62"/>
    <m/>
    <x v="2"/>
    <x v="2"/>
    <s v="Milton"/>
    <s v="SKU-BEA-7012"/>
    <s v="B047171223"/>
    <x v="1"/>
    <x v="1"/>
    <n v="7"/>
    <n v="2802"/>
    <n v="2146"/>
    <n v="23.4"/>
    <n v="15022"/>
    <n v="1860.3"/>
    <n v="751.1"/>
    <n v="0"/>
    <n v="4692.82"/>
    <n v="351.76"/>
    <n v="0"/>
    <n v="0"/>
    <m/>
    <n v="15022"/>
    <n v="7366.02"/>
    <n v="49"/>
    <x v="2"/>
    <n v="1559"/>
    <n v="119"/>
    <n v="7.63"/>
    <n v="12"/>
    <n v="1.4"/>
    <m/>
    <s v="No"/>
    <x v="13"/>
    <n v="3"/>
    <n v="138"/>
    <s v="OK"/>
  </r>
  <r>
    <x v="286"/>
    <x v="242"/>
    <s v="24-11-2024"/>
    <x v="0"/>
    <x v="35"/>
    <s v="Himalaya"/>
    <s v="SKU-FAS-3741"/>
    <s v="B011360570"/>
    <x v="1"/>
    <x v="0"/>
    <n v="8"/>
    <n v="3811"/>
    <n v="3283"/>
    <n v="13.9"/>
    <n v="26264"/>
    <n v="3654.24"/>
    <n v="1313.2"/>
    <n v="0"/>
    <n v="13455.58"/>
    <n v="0"/>
    <n v="0"/>
    <n v="0"/>
    <m/>
    <n v="26264"/>
    <n v="7840.98"/>
    <n v="29.9"/>
    <x v="1"/>
    <n v="0"/>
    <n v="0"/>
    <n v="0"/>
    <n v="0"/>
    <n v="0"/>
    <n v="5"/>
    <s v="No"/>
    <x v="8"/>
    <n v="1"/>
    <n v="71"/>
    <s v="OK"/>
  </r>
  <r>
    <x v="287"/>
    <x v="243"/>
    <s v="07-03-2024"/>
    <x v="2"/>
    <x v="32"/>
    <s v="Classmate"/>
    <s v="SKU-BEA-1443"/>
    <s v="B085986485"/>
    <x v="0"/>
    <x v="0"/>
    <n v="1"/>
    <n v="1382"/>
    <n v="1298"/>
    <n v="6.1"/>
    <n v="1298"/>
    <n v="130.33000000000001"/>
    <n v="0"/>
    <n v="49.19"/>
    <n v="470.65"/>
    <n v="0"/>
    <n v="0"/>
    <n v="0"/>
    <m/>
    <n v="1298"/>
    <n v="647.83000000000004"/>
    <n v="49.9"/>
    <x v="1"/>
    <n v="0"/>
    <n v="0"/>
    <n v="0"/>
    <n v="0"/>
    <n v="0"/>
    <n v="5"/>
    <s v="No"/>
    <x v="1"/>
    <n v="3"/>
    <n v="187"/>
    <s v="OK"/>
  </r>
  <r>
    <x v="288"/>
    <x v="235"/>
    <s v="09-12-2024"/>
    <x v="5"/>
    <x v="15"/>
    <s v="Amazon Basics"/>
    <s v="SKU-HOM-1704"/>
    <s v="B075270394"/>
    <x v="1"/>
    <x v="0"/>
    <n v="6"/>
    <n v="3158"/>
    <n v="2498"/>
    <n v="20.9"/>
    <n v="14988"/>
    <n v="2308.09"/>
    <n v="749.4"/>
    <n v="0"/>
    <n v="5562.47"/>
    <n v="189.36"/>
    <n v="0"/>
    <n v="0"/>
    <m/>
    <n v="14988"/>
    <n v="6178.68"/>
    <n v="41.2"/>
    <x v="1"/>
    <n v="10610"/>
    <n v="800"/>
    <n v="7.54"/>
    <n v="126"/>
    <n v="0.1"/>
    <n v="5"/>
    <s v="Yes"/>
    <x v="3"/>
    <n v="3"/>
    <n v="193"/>
    <s v="OK"/>
  </r>
  <r>
    <x v="289"/>
    <x v="244"/>
    <s v="10-03-2024"/>
    <x v="2"/>
    <x v="43"/>
    <s v="Puma"/>
    <s v="SKU-BEA-7264"/>
    <s v="B079772519"/>
    <x v="0"/>
    <x v="3"/>
    <n v="6"/>
    <n v="3278"/>
    <n v="2618"/>
    <n v="20.100000000000001"/>
    <n v="15708"/>
    <n v="2720.86"/>
    <n v="0"/>
    <n v="78.62"/>
    <n v="7295.9"/>
    <n v="0"/>
    <n v="4"/>
    <n v="10472"/>
    <s v="Wrong Item"/>
    <n v="5236"/>
    <n v="-4859.38"/>
    <n v="-92.8"/>
    <x v="1"/>
    <n v="0"/>
    <n v="0"/>
    <n v="0"/>
    <n v="0"/>
    <n v="0"/>
    <m/>
    <s v="No"/>
    <x v="9"/>
    <n v="3"/>
    <n v="82"/>
    <s v="OK"/>
  </r>
  <r>
    <x v="290"/>
    <x v="245"/>
    <s v="11-05-2023"/>
    <x v="0"/>
    <x v="33"/>
    <s v="Milton"/>
    <s v="SKU-FAS-5245"/>
    <s v="B021559564"/>
    <x v="1"/>
    <x v="0"/>
    <n v="7"/>
    <n v="2607"/>
    <n v="2313"/>
    <n v="11.3"/>
    <n v="16191"/>
    <n v="1726.92"/>
    <n v="809.55"/>
    <n v="0"/>
    <n v="5272.85"/>
    <n v="238.66"/>
    <n v="0"/>
    <n v="0"/>
    <m/>
    <n v="16191"/>
    <n v="8143.02"/>
    <n v="50.3"/>
    <x v="0"/>
    <n v="2301"/>
    <n v="88"/>
    <n v="3.82"/>
    <n v="3"/>
    <n v="3.4"/>
    <n v="3"/>
    <s v="No"/>
    <x v="7"/>
    <n v="1"/>
    <n v="31"/>
    <s v="OK"/>
  </r>
  <r>
    <x v="291"/>
    <x v="183"/>
    <s v="13-04-2024"/>
    <x v="1"/>
    <x v="1"/>
    <s v="Puma"/>
    <s v="SKU-SPO-4029"/>
    <s v="B018456359"/>
    <x v="1"/>
    <x v="0"/>
    <n v="7"/>
    <n v="2296"/>
    <n v="2156"/>
    <n v="6.1"/>
    <n v="15092"/>
    <n v="2242.65"/>
    <n v="754.6"/>
    <n v="0"/>
    <n v="8037.23"/>
    <n v="149.01"/>
    <n v="0"/>
    <n v="0"/>
    <m/>
    <n v="15092"/>
    <n v="3908.51"/>
    <n v="25.9"/>
    <x v="1"/>
    <n v="8020"/>
    <n v="14"/>
    <n v="0.17"/>
    <n v="0"/>
    <n v="0"/>
    <n v="5"/>
    <s v="No"/>
    <x v="12"/>
    <n v="1"/>
    <n v="178"/>
    <s v="OK"/>
  </r>
  <r>
    <x v="292"/>
    <x v="68"/>
    <m/>
    <x v="4"/>
    <x v="42"/>
    <s v="Classmate"/>
    <s v="SKU-OFF-3900"/>
    <s v="B077297275"/>
    <x v="0"/>
    <x v="1"/>
    <n v="5"/>
    <n v="1483"/>
    <n v="1283"/>
    <n v="13.5"/>
    <n v="6415"/>
    <n v="886.38"/>
    <n v="0"/>
    <n v="91.89"/>
    <n v="2148.25"/>
    <n v="285.64"/>
    <n v="0"/>
    <n v="0"/>
    <m/>
    <n v="6415"/>
    <n v="3002.84"/>
    <n v="46.8"/>
    <x v="0"/>
    <n v="8953"/>
    <n v="705"/>
    <n v="7.87"/>
    <n v="48"/>
    <n v="0.5"/>
    <m/>
    <s v="No"/>
    <x v="9"/>
    <n v="3"/>
    <n v="174"/>
    <s v="OK"/>
  </r>
  <r>
    <x v="293"/>
    <x v="246"/>
    <s v="26-01-2023"/>
    <x v="0"/>
    <x v="22"/>
    <s v="Puma"/>
    <s v="SKU-FAS-6428"/>
    <s v="B091873276"/>
    <x v="0"/>
    <x v="3"/>
    <n v="4"/>
    <n v="3562"/>
    <n v="2505"/>
    <n v="29.7"/>
    <n v="10020"/>
    <n v="1791.13"/>
    <n v="0"/>
    <n v="46.17"/>
    <n v="5149.2299999999996"/>
    <n v="335.95"/>
    <n v="0"/>
    <n v="0"/>
    <s v="Not as Described"/>
    <n v="10020"/>
    <n v="2697.52"/>
    <n v="26.9"/>
    <x v="1"/>
    <n v="8493"/>
    <n v="79"/>
    <n v="0.93"/>
    <n v="4"/>
    <n v="3.4"/>
    <m/>
    <s v="No"/>
    <x v="7"/>
    <n v="3"/>
    <n v="197"/>
    <s v="OK"/>
  </r>
  <r>
    <x v="294"/>
    <x v="247"/>
    <s v="26-01-2024"/>
    <x v="5"/>
    <x v="37"/>
    <s v="Lakme"/>
    <s v="SKU-HOM-9458"/>
    <s v="B061873879"/>
    <x v="1"/>
    <x v="0"/>
    <n v="2"/>
    <n v="3754"/>
    <n v="3164"/>
    <n v="15.7"/>
    <n v="6328"/>
    <n v="707.18"/>
    <n v="316.39999999999998"/>
    <n v="0"/>
    <n v="2499.4"/>
    <n v="0"/>
    <n v="0"/>
    <n v="0"/>
    <m/>
    <n v="6328"/>
    <n v="2805.02"/>
    <n v="44.3"/>
    <x v="1"/>
    <n v="0"/>
    <n v="0"/>
    <n v="0"/>
    <n v="0"/>
    <n v="0"/>
    <n v="4"/>
    <s v="Yes"/>
    <x v="10"/>
    <n v="2"/>
    <n v="88"/>
    <s v="OK"/>
  </r>
  <r>
    <x v="295"/>
    <x v="248"/>
    <m/>
    <x v="4"/>
    <x v="13"/>
    <s v="Cello"/>
    <s v="SKU-OFF-4259"/>
    <s v="B099120924"/>
    <x v="1"/>
    <x v="2"/>
    <n v="1"/>
    <n v="3496"/>
    <n v="3090"/>
    <n v="11.6"/>
    <n v="3090"/>
    <n v="484.67"/>
    <n v="154.5"/>
    <n v="0"/>
    <n v="1463.62"/>
    <n v="14.57"/>
    <n v="0"/>
    <n v="0"/>
    <m/>
    <n v="3090"/>
    <n v="972.64"/>
    <n v="31.5"/>
    <x v="0"/>
    <n v="1614"/>
    <n v="73"/>
    <n v="4.5199999999999996"/>
    <n v="1"/>
    <n v="0.5"/>
    <m/>
    <s v="No"/>
    <x v="7"/>
    <n v="1"/>
    <n v="3"/>
    <s v="⚠️ Reorder"/>
  </r>
  <r>
    <x v="296"/>
    <x v="249"/>
    <s v="16-11-2023"/>
    <x v="4"/>
    <x v="42"/>
    <s v="Generic"/>
    <s v="SKU-OFF-6048"/>
    <s v="B075337721"/>
    <x v="1"/>
    <x v="0"/>
    <n v="10"/>
    <n v="3022"/>
    <n v="2700"/>
    <n v="10.7"/>
    <n v="27000"/>
    <n v="3491.93"/>
    <n v="1350"/>
    <n v="0"/>
    <n v="14270.02"/>
    <n v="220.18"/>
    <n v="0"/>
    <n v="0"/>
    <m/>
    <n v="27000"/>
    <n v="7667.87"/>
    <n v="28.4"/>
    <x v="1"/>
    <n v="962"/>
    <n v="40"/>
    <n v="4.16"/>
    <n v="5"/>
    <n v="1.6"/>
    <n v="5"/>
    <s v="Yes"/>
    <x v="6"/>
    <n v="1"/>
    <n v="198"/>
    <s v="OK"/>
  </r>
  <r>
    <x v="297"/>
    <x v="250"/>
    <m/>
    <x v="3"/>
    <x v="25"/>
    <s v="BoAt"/>
    <s v="SKU-ELE-9294"/>
    <s v="B045541059"/>
    <x v="0"/>
    <x v="1"/>
    <n v="7"/>
    <n v="2964"/>
    <n v="2642"/>
    <n v="10.9"/>
    <n v="18494"/>
    <n v="2398.33"/>
    <n v="0"/>
    <n v="111.49"/>
    <n v="9291.59"/>
    <n v="103.15"/>
    <n v="0"/>
    <n v="0"/>
    <m/>
    <n v="18494"/>
    <n v="6589.44"/>
    <n v="35.6"/>
    <x v="0"/>
    <n v="5425"/>
    <n v="296"/>
    <n v="5.46"/>
    <n v="48"/>
    <n v="0.1"/>
    <m/>
    <s v="No"/>
    <x v="9"/>
    <n v="6"/>
    <n v="122"/>
    <s v="OK"/>
  </r>
  <r>
    <x v="298"/>
    <x v="251"/>
    <s v="27-02-2023"/>
    <x v="3"/>
    <x v="18"/>
    <s v="Fastrack"/>
    <s v="SKU-ELE-8069"/>
    <s v="B020126772"/>
    <x v="1"/>
    <x v="3"/>
    <n v="7"/>
    <n v="2767"/>
    <n v="2041"/>
    <n v="26.2"/>
    <n v="14287"/>
    <n v="1615.14"/>
    <n v="714.35"/>
    <n v="0"/>
    <n v="7459.33"/>
    <n v="0"/>
    <n v="6"/>
    <n v="12246"/>
    <s v="Damaged in Transit"/>
    <n v="2041"/>
    <n v="-7747.82"/>
    <n v="-379.6"/>
    <x v="1"/>
    <n v="0"/>
    <n v="0"/>
    <n v="0"/>
    <n v="0"/>
    <n v="0"/>
    <m/>
    <s v="No"/>
    <x v="4"/>
    <n v="2"/>
    <n v="75"/>
    <s v="OK"/>
  </r>
  <r>
    <x v="299"/>
    <x v="252"/>
    <s v="28-03-2023"/>
    <x v="1"/>
    <x v="23"/>
    <s v="Puma"/>
    <s v="SKU-SPO-7712"/>
    <s v="B089704761"/>
    <x v="0"/>
    <x v="0"/>
    <n v="10"/>
    <n v="3698"/>
    <n v="3041"/>
    <n v="17.8"/>
    <n v="30410"/>
    <n v="3619.46"/>
    <n v="0"/>
    <n v="67.150000000000006"/>
    <n v="10563.73"/>
    <n v="428.66"/>
    <n v="0"/>
    <n v="0"/>
    <m/>
    <n v="30410"/>
    <n v="15731"/>
    <n v="51.7"/>
    <x v="3"/>
    <n v="2487"/>
    <n v="161"/>
    <n v="6.47"/>
    <n v="9"/>
    <n v="1.6"/>
    <n v="4"/>
    <s v="Yes"/>
    <x v="5"/>
    <n v="6"/>
    <n v="133"/>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869DF-62EC-47C7-9BEE-11F1CDB578B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40">
    <pivotField dataField="1" showAll="0"/>
    <pivotField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numFmtId="164" showAll="0"/>
    <pivotField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16001D-8510-4908-9F9D-7DB2A0263C5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40">
    <pivotField showAll="0"/>
    <pivotField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numFmtId="164" showAll="0"/>
    <pivotField dataField="1"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Average Margin %" fld="25"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11B20F-2C24-4F55-942E-48F0999187C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A15" firstHeaderRow="1" firstDataRow="1" firstDataCol="0"/>
  <pivotFields count="40">
    <pivotField showAll="0"/>
    <pivotField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dataField="1" showAll="0"/>
    <pivotField numFmtId="164" showAll="0"/>
    <pivotField numFmtId="164" showAll="0"/>
    <pivotField numFmtId="165" showAll="0"/>
    <pivotField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numFmtId="164" showAll="0"/>
    <pivotField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Unit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067FC4-BB0C-4428-9B05-7F88B424634C}"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E9" firstHeaderRow="1" firstDataRow="1" firstDataCol="1"/>
  <pivotFields count="40">
    <pivotField showAll="0"/>
    <pivotField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axis="axisRow" showAll="0" sortType="descending">
      <items count="7">
        <item x="2"/>
        <item x="3"/>
        <item x="0"/>
        <item x="5"/>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numFmtId="164" showAll="0"/>
    <pivotField dataField="1"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7">
    <i>
      <x v="3"/>
    </i>
    <i>
      <x/>
    </i>
    <i>
      <x v="5"/>
    </i>
    <i>
      <x v="1"/>
    </i>
    <i>
      <x v="4"/>
    </i>
    <i>
      <x v="2"/>
    </i>
    <i t="grand">
      <x/>
    </i>
  </rowItems>
  <colItems count="1">
    <i/>
  </colItems>
  <dataFields count="1">
    <dataField name="Average of Profit_Margin_%" fld="25" subtotal="average" baseField="3" baseItem="0" numFmtId="9"/>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31D0AD-90B3-47E8-9C31-2454B7F1FC8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3" firstHeaderRow="1" firstDataRow="1" firstDataCol="0"/>
  <pivotFields count="40">
    <pivotField showAll="0"/>
    <pivotField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dataField="1"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numFmtId="164" showAll="0"/>
    <pivotField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Sales" fld="14" baseField="0" baseItem="0" numFmtId="166"/>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9564CD-C832-45E6-971A-E3F45F6F783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7:A18" firstHeaderRow="1" firstDataRow="1" firstDataCol="0"/>
  <pivotFields count="40">
    <pivotField showAll="0"/>
    <pivotField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numFmtId="164" showAll="0"/>
    <pivotField numFmtId="164" showAll="0"/>
    <pivotField numFmtId="164" showAll="0"/>
    <pivotField numFmtId="164" showAll="0"/>
    <pivotField numFmtId="164" showAll="0"/>
    <pivotField numFmtId="164" showAll="0"/>
    <pivotField dataField="1" showAll="0"/>
    <pivotField numFmtId="164" showAll="0"/>
    <pivotField showAll="0"/>
    <pivotField numFmtId="164" showAll="0"/>
    <pivotField numFmtId="164" showAll="0"/>
    <pivotField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Return"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CD7C5C-CF9E-4340-9C59-FFA16CA37E7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40">
    <pivotField showAll="0"/>
    <pivotField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dataField="1" numFmtId="164" showAll="0"/>
    <pivotField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Profit" fld="24" baseField="0" baseItem="0" numFmtId="166"/>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B5AC3A-759F-4754-A814-89DF1D513CFB}" name="PivotTable1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O2:P4" firstHeaderRow="1" firstDataRow="1" firstDataCol="1"/>
  <pivotFields count="40">
    <pivotField showAll="0"/>
    <pivotField numFmtId="14"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axis="axisRow"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dataField="1"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numFmtId="164" showAll="0"/>
    <pivotField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defaultSubtotal="0"/>
    <pivotField showAll="0" defaultSubtotal="0">
      <items count="4">
        <item x="0"/>
        <item x="1"/>
        <item x="2"/>
        <item x="3"/>
      </items>
    </pivotField>
  </pivotFields>
  <rowFields count="1">
    <field x="8"/>
  </rowFields>
  <rowItems count="2">
    <i>
      <x/>
    </i>
    <i>
      <x v="1"/>
    </i>
  </rowItems>
  <colItems count="1">
    <i/>
  </colItems>
  <dataFields count="1">
    <dataField name="Sum of Gross_Sales_INR" fld="14" baseField="0" baseItem="0" numFmtId="166"/>
  </dataFields>
  <formats count="1">
    <format dxfId="43">
      <pivotArea outline="0" collapsedLevelsAreSubtotals="1" fieldPosition="0"/>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EDBB6E-2E46-47E2-9B5C-269895D8DF64}"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K2:L8" firstHeaderRow="1" firstDataRow="1" firstDataCol="1"/>
  <pivotFields count="40">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umFmtId="14"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showAll="0">
      <items count="3">
        <item x="1"/>
        <item x="0"/>
        <item t="default"/>
      </items>
    </pivotField>
    <pivotField axis="axisRow" showAll="0">
      <items count="6">
        <item x="4"/>
        <item x="0"/>
        <item x="2"/>
        <item x="1"/>
        <item x="3"/>
        <item t="default"/>
      </items>
    </pivotField>
    <pivotField showAll="0"/>
    <pivotField numFmtId="164" showAll="0"/>
    <pivotField numFmtId="164" showAll="0"/>
    <pivotField numFmtId="165" showAll="0"/>
    <pivotField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numFmtId="164" showAll="0"/>
    <pivotField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defaultSubtotal="0"/>
    <pivotField showAll="0" defaultSubtotal="0">
      <items count="4">
        <item x="0"/>
        <item x="1"/>
        <item x="2"/>
        <item x="3"/>
      </items>
    </pivotField>
  </pivotFields>
  <rowFields count="1">
    <field x="9"/>
  </rowFields>
  <rowItems count="6">
    <i>
      <x/>
    </i>
    <i>
      <x v="1"/>
    </i>
    <i>
      <x v="2"/>
    </i>
    <i>
      <x v="3"/>
    </i>
    <i>
      <x v="4"/>
    </i>
    <i t="grand">
      <x/>
    </i>
  </rowItems>
  <colItems count="1">
    <i/>
  </colItems>
  <dataFields count="1">
    <dataField name="Count of Order_ID" fld="0" subtotal="count" baseField="0" baseItem="0"/>
  </dataFields>
  <chartFormats count="6">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9" count="1" selected="0">
            <x v="0"/>
          </reference>
        </references>
      </pivotArea>
    </chartFormat>
    <chartFormat chart="7" format="21">
      <pivotArea type="data" outline="0" fieldPosition="0">
        <references count="2">
          <reference field="4294967294" count="1" selected="0">
            <x v="0"/>
          </reference>
          <reference field="9" count="1" selected="0">
            <x v="1"/>
          </reference>
        </references>
      </pivotArea>
    </chartFormat>
    <chartFormat chart="7" format="22">
      <pivotArea type="data" outline="0" fieldPosition="0">
        <references count="2">
          <reference field="4294967294" count="1" selected="0">
            <x v="0"/>
          </reference>
          <reference field="9" count="1" selected="0">
            <x v="2"/>
          </reference>
        </references>
      </pivotArea>
    </chartFormat>
    <chartFormat chart="7" format="23">
      <pivotArea type="data" outline="0" fieldPosition="0">
        <references count="2">
          <reference field="4294967294" count="1" selected="0">
            <x v="0"/>
          </reference>
          <reference field="9" count="1" selected="0">
            <x v="3"/>
          </reference>
        </references>
      </pivotArea>
    </chartFormat>
    <chartFormat chart="7" format="24">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D0E755-F636-44B1-8CBE-0742D013692B}" name="PivotTable1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7">
  <location ref="H2:I16" firstHeaderRow="1" firstDataRow="1" firstDataCol="1"/>
  <pivotFields count="40">
    <pivotField showAll="0"/>
    <pivotField numFmtId="14"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dataField="1"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numFmtId="164" showAll="0"/>
    <pivotField numFmtId="165" showAll="0"/>
    <pivotField showAll="0"/>
    <pivotField showAll="0"/>
    <pivotField showAll="0"/>
    <pivotField numFmtId="165" showAll="0"/>
    <pivotField showAll="0"/>
    <pivotField numFmtId="165" showAll="0"/>
    <pivotField showAll="0"/>
    <pivotField showAll="0"/>
    <pivotField axis="axisRow" showAll="0" sortType="descending">
      <items count="15">
        <item x="1"/>
        <item x="0"/>
        <item x="6"/>
        <item x="10"/>
        <item x="4"/>
        <item x="11"/>
        <item x="13"/>
        <item x="3"/>
        <item x="5"/>
        <item x="2"/>
        <item x="9"/>
        <item x="12"/>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pivotField showAll="0" defaultSubtotal="0">
      <items count="4">
        <item x="0"/>
        <item x="1"/>
        <item x="2"/>
        <item x="3"/>
      </items>
    </pivotField>
  </pivotFields>
  <rowFields count="1">
    <field x="34"/>
  </rowFields>
  <rowItems count="14">
    <i>
      <x v="4"/>
    </i>
    <i>
      <x v="10"/>
    </i>
    <i>
      <x v="9"/>
    </i>
    <i>
      <x v="2"/>
    </i>
    <i>
      <x v="6"/>
    </i>
    <i>
      <x v="5"/>
    </i>
    <i>
      <x v="13"/>
    </i>
    <i>
      <x v="11"/>
    </i>
    <i>
      <x/>
    </i>
    <i>
      <x v="7"/>
    </i>
    <i>
      <x v="1"/>
    </i>
    <i>
      <x v="12"/>
    </i>
    <i>
      <x v="8"/>
    </i>
    <i>
      <x v="3"/>
    </i>
  </rowItems>
  <colItems count="1">
    <i/>
  </colItems>
  <dataFields count="1">
    <dataField name="Sum of Gross_Sales_INR" fld="14" baseField="0" baseItem="0" numFmtId="164"/>
  </dataFields>
  <chartFormats count="15">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34" count="1" selected="0">
            <x v="4"/>
          </reference>
        </references>
      </pivotArea>
    </chartFormat>
    <chartFormat chart="15" format="26">
      <pivotArea type="data" outline="0" fieldPosition="0">
        <references count="2">
          <reference field="4294967294" count="1" selected="0">
            <x v="0"/>
          </reference>
          <reference field="34" count="1" selected="0">
            <x v="10"/>
          </reference>
        </references>
      </pivotArea>
    </chartFormat>
    <chartFormat chart="15" format="27">
      <pivotArea type="data" outline="0" fieldPosition="0">
        <references count="2">
          <reference field="4294967294" count="1" selected="0">
            <x v="0"/>
          </reference>
          <reference field="34" count="1" selected="0">
            <x v="9"/>
          </reference>
        </references>
      </pivotArea>
    </chartFormat>
    <chartFormat chart="15" format="28">
      <pivotArea type="data" outline="0" fieldPosition="0">
        <references count="2">
          <reference field="4294967294" count="1" selected="0">
            <x v="0"/>
          </reference>
          <reference field="34" count="1" selected="0">
            <x v="2"/>
          </reference>
        </references>
      </pivotArea>
    </chartFormat>
    <chartFormat chart="15" format="29">
      <pivotArea type="data" outline="0" fieldPosition="0">
        <references count="2">
          <reference field="4294967294" count="1" selected="0">
            <x v="0"/>
          </reference>
          <reference field="34" count="1" selected="0">
            <x v="6"/>
          </reference>
        </references>
      </pivotArea>
    </chartFormat>
    <chartFormat chart="15" format="30">
      <pivotArea type="data" outline="0" fieldPosition="0">
        <references count="2">
          <reference field="4294967294" count="1" selected="0">
            <x v="0"/>
          </reference>
          <reference field="34" count="1" selected="0">
            <x v="5"/>
          </reference>
        </references>
      </pivotArea>
    </chartFormat>
    <chartFormat chart="15" format="31">
      <pivotArea type="data" outline="0" fieldPosition="0">
        <references count="2">
          <reference field="4294967294" count="1" selected="0">
            <x v="0"/>
          </reference>
          <reference field="34" count="1" selected="0">
            <x v="13"/>
          </reference>
        </references>
      </pivotArea>
    </chartFormat>
    <chartFormat chart="15" format="32">
      <pivotArea type="data" outline="0" fieldPosition="0">
        <references count="2">
          <reference field="4294967294" count="1" selected="0">
            <x v="0"/>
          </reference>
          <reference field="34" count="1" selected="0">
            <x v="11"/>
          </reference>
        </references>
      </pivotArea>
    </chartFormat>
    <chartFormat chart="15" format="33">
      <pivotArea type="data" outline="0" fieldPosition="0">
        <references count="2">
          <reference field="4294967294" count="1" selected="0">
            <x v="0"/>
          </reference>
          <reference field="34" count="1" selected="0">
            <x v="0"/>
          </reference>
        </references>
      </pivotArea>
    </chartFormat>
    <chartFormat chart="15" format="34">
      <pivotArea type="data" outline="0" fieldPosition="0">
        <references count="2">
          <reference field="4294967294" count="1" selected="0">
            <x v="0"/>
          </reference>
          <reference field="34" count="1" selected="0">
            <x v="7"/>
          </reference>
        </references>
      </pivotArea>
    </chartFormat>
    <chartFormat chart="15" format="35">
      <pivotArea type="data" outline="0" fieldPosition="0">
        <references count="2">
          <reference field="4294967294" count="1" selected="0">
            <x v="0"/>
          </reference>
          <reference field="34" count="1" selected="0">
            <x v="1"/>
          </reference>
        </references>
      </pivotArea>
    </chartFormat>
    <chartFormat chart="15" format="36">
      <pivotArea type="data" outline="0" fieldPosition="0">
        <references count="2">
          <reference field="4294967294" count="1" selected="0">
            <x v="0"/>
          </reference>
          <reference field="34" count="1" selected="0">
            <x v="12"/>
          </reference>
        </references>
      </pivotArea>
    </chartFormat>
    <chartFormat chart="15" format="37">
      <pivotArea type="data" outline="0" fieldPosition="0">
        <references count="2">
          <reference field="4294967294" count="1" selected="0">
            <x v="0"/>
          </reference>
          <reference field="34" count="1" selected="0">
            <x v="8"/>
          </reference>
        </references>
      </pivotArea>
    </chartFormat>
    <chartFormat chart="15" format="38">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DC33D6-79EF-4FF8-A722-89D137D791A0}"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D2:F9" firstHeaderRow="0" firstDataRow="1" firstDataCol="1"/>
  <pivotFields count="40">
    <pivotField showAll="0"/>
    <pivotField numFmtId="14"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axis="axisRow" showAll="0">
      <items count="7">
        <item x="2"/>
        <item x="3"/>
        <item x="0"/>
        <item x="5"/>
        <item x="4"/>
        <item x="1"/>
        <item t="default"/>
      </items>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dataField="1"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dataField="1" numFmtId="164" showAll="0"/>
    <pivotField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defaultSubtotal="0"/>
    <pivotField showAll="0" defaultSubtotal="0">
      <items count="4">
        <item x="0"/>
        <item x="1"/>
        <item x="2"/>
        <item x="3"/>
      </items>
    </pivotField>
  </pivotFields>
  <rowFields count="1">
    <field x="3"/>
  </rowFields>
  <rowItems count="7">
    <i>
      <x/>
    </i>
    <i>
      <x v="1"/>
    </i>
    <i>
      <x v="2"/>
    </i>
    <i>
      <x v="3"/>
    </i>
    <i>
      <x v="4"/>
    </i>
    <i>
      <x v="5"/>
    </i>
    <i t="grand">
      <x/>
    </i>
  </rowItems>
  <colFields count="1">
    <field x="-2"/>
  </colFields>
  <colItems count="2">
    <i>
      <x/>
    </i>
    <i i="1">
      <x v="1"/>
    </i>
  </colItems>
  <dataFields count="2">
    <dataField name="Sales" fld="14" baseField="0" baseItem="0" numFmtId="164"/>
    <dataField name="Profit" fld="24" baseField="0" baseItem="0" numFmtId="164"/>
  </dataFields>
  <chartFormats count="2">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EBB364-786B-4DAD-BCF9-AD73FB52FBE4}" name="PivotTable1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9">
  <location ref="O7:P11" firstHeaderRow="1" firstDataRow="1" firstDataCol="1"/>
  <pivotFields count="40">
    <pivotField showAll="0"/>
    <pivotField numFmtId="14"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showAll="0"/>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numFmtId="164" showAll="0"/>
    <pivotField numFmtId="164" showAll="0"/>
    <pivotField numFmtId="164" showAll="0"/>
    <pivotField numFmtId="164" showAll="0"/>
    <pivotField numFmtId="164" showAll="0"/>
    <pivotField dataField="1" numFmtId="164" showAll="0"/>
    <pivotField showAll="0"/>
    <pivotField numFmtId="164" showAll="0"/>
    <pivotField showAll="0"/>
    <pivotField numFmtId="164" showAll="0"/>
    <pivotField numFmtId="164" showAll="0"/>
    <pivotField numFmtId="165" showAll="0"/>
    <pivotField axis="axisRow" showAll="0">
      <items count="5">
        <item x="0"/>
        <item x="3"/>
        <item x="2"/>
        <item x="1"/>
        <item t="default"/>
      </items>
    </pivotField>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defaultSubtotal="0"/>
    <pivotField showAll="0" defaultSubtotal="0">
      <items count="4">
        <item x="0"/>
        <item x="1"/>
        <item x="2"/>
        <item x="3"/>
      </items>
    </pivotField>
  </pivotFields>
  <rowFields count="1">
    <field x="26"/>
  </rowFields>
  <rowItems count="4">
    <i>
      <x/>
    </i>
    <i>
      <x v="1"/>
    </i>
    <i>
      <x v="2"/>
    </i>
    <i>
      <x v="3"/>
    </i>
  </rowItems>
  <colItems count="1">
    <i/>
  </colItems>
  <dataFields count="1">
    <dataField name="Sum of Ad_Spend_INR" fld="19" baseField="0" baseItem="0" numFmtId="164"/>
  </dataFields>
  <formats count="1">
    <format dxfId="44">
      <pivotArea outline="0" collapsedLevelsAreSubtotals="1" fieldPosition="0"/>
    </format>
  </formats>
  <chartFormats count="5">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6" count="1" selected="0">
            <x v="0"/>
          </reference>
        </references>
      </pivotArea>
    </chartFormat>
    <chartFormat chart="9" format="12">
      <pivotArea type="data" outline="0" fieldPosition="0">
        <references count="2">
          <reference field="4294967294" count="1" selected="0">
            <x v="0"/>
          </reference>
          <reference field="26" count="1" selected="0">
            <x v="1"/>
          </reference>
        </references>
      </pivotArea>
    </chartFormat>
    <chartFormat chart="9" format="13">
      <pivotArea type="data" outline="0" fieldPosition="0">
        <references count="2">
          <reference field="4294967294" count="1" selected="0">
            <x v="0"/>
          </reference>
          <reference field="26" count="1" selected="0">
            <x v="2"/>
          </reference>
        </references>
      </pivotArea>
    </chartFormat>
    <chartFormat chart="9" format="14">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136D92-7761-44C6-B408-84ED92776507}" name="PivotTable1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4">
  <location ref="R2:S10" firstHeaderRow="1" firstDataRow="1" firstDataCol="1"/>
  <pivotFields count="40">
    <pivotField showAll="0"/>
    <pivotField numFmtId="14" showAll="0">
      <items count="254">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 t="default"/>
      </items>
    </pivotField>
    <pivotField showAll="0"/>
    <pivotField showAll="0">
      <items count="7">
        <item x="2"/>
        <item x="3"/>
        <item x="0"/>
        <item x="5"/>
        <item x="4"/>
        <item x="1"/>
        <item t="default"/>
      </items>
    </pivotField>
    <pivotField axis="axisRow" showAll="0" measureFilter="1" sortType="descending">
      <items count="49">
        <item x="30"/>
        <item x="47"/>
        <item x="4"/>
        <item x="7"/>
        <item x="14"/>
        <item x="0"/>
        <item x="16"/>
        <item x="37"/>
        <item x="45"/>
        <item x="44"/>
        <item x="19"/>
        <item x="5"/>
        <item x="29"/>
        <item x="3"/>
        <item x="32"/>
        <item x="8"/>
        <item x="42"/>
        <item x="17"/>
        <item x="34"/>
        <item x="46"/>
        <item x="23"/>
        <item x="11"/>
        <item x="20"/>
        <item x="43"/>
        <item x="22"/>
        <item x="2"/>
        <item x="39"/>
        <item x="26"/>
        <item x="40"/>
        <item x="24"/>
        <item x="9"/>
        <item x="12"/>
        <item x="1"/>
        <item x="25"/>
        <item x="33"/>
        <item x="38"/>
        <item x="6"/>
        <item x="36"/>
        <item x="35"/>
        <item x="41"/>
        <item x="13"/>
        <item x="10"/>
        <item x="31"/>
        <item x="27"/>
        <item x="15"/>
        <item x="18"/>
        <item x="21"/>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items count="6">
        <item x="4"/>
        <item x="0"/>
        <item x="2"/>
        <item x="1"/>
        <item x="3"/>
        <item t="default"/>
      </items>
    </pivotField>
    <pivotField showAll="0"/>
    <pivotField numFmtId="164" showAll="0"/>
    <pivotField numFmtId="164" showAll="0"/>
    <pivotField numFmtId="165" showAll="0"/>
    <pivotField dataField="1" numFmtId="164" showAll="0"/>
    <pivotField numFmtId="164" showAll="0"/>
    <pivotField numFmtId="164" showAll="0"/>
    <pivotField numFmtId="164" showAll="0"/>
    <pivotField numFmtId="164" showAll="0"/>
    <pivotField numFmtId="164" showAll="0"/>
    <pivotField showAll="0"/>
    <pivotField numFmtId="164" showAll="0"/>
    <pivotField showAll="0"/>
    <pivotField numFmtId="164" showAll="0"/>
    <pivotField numFmtId="164" showAll="0"/>
    <pivotField numFmtId="165" showAll="0"/>
    <pivotField showAll="0"/>
    <pivotField showAll="0"/>
    <pivotField showAll="0"/>
    <pivotField numFmtId="165" showAll="0"/>
    <pivotField showAll="0"/>
    <pivotField numFmtId="165" showAll="0"/>
    <pivotField showAll="0"/>
    <pivotField showAll="0"/>
    <pivotField showAll="0">
      <items count="15">
        <item x="1"/>
        <item x="0"/>
        <item x="6"/>
        <item x="10"/>
        <item x="4"/>
        <item x="11"/>
        <item x="13"/>
        <item x="3"/>
        <item x="5"/>
        <item x="2"/>
        <item x="9"/>
        <item x="12"/>
        <item x="7"/>
        <item x="8"/>
        <item t="default"/>
      </items>
    </pivotField>
    <pivotField showAll="0"/>
    <pivotField showAll="0"/>
    <pivotField showAll="0"/>
    <pivotField showAll="0" defaultSubtotal="0"/>
    <pivotField showAll="0" defaultSubtotal="0">
      <items count="4">
        <item x="0"/>
        <item x="1"/>
        <item x="2"/>
        <item x="3"/>
      </items>
    </pivotField>
  </pivotFields>
  <rowFields count="1">
    <field x="4"/>
  </rowFields>
  <rowItems count="8">
    <i>
      <x v="45"/>
    </i>
    <i>
      <x v="34"/>
    </i>
    <i>
      <x v="44"/>
    </i>
    <i>
      <x v="33"/>
    </i>
    <i>
      <x v="9"/>
    </i>
    <i>
      <x v="30"/>
    </i>
    <i>
      <x v="15"/>
    </i>
    <i>
      <x v="13"/>
    </i>
  </rowItems>
  <colItems count="1">
    <i/>
  </colItems>
  <dataFields count="1">
    <dataField name="Sum of Gross_Sales_INR" fld="14" baseField="0" baseItem="0" numFmtId="164"/>
  </dataFields>
  <chartFormats count="9">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4" count="1" selected="0">
            <x v="45"/>
          </reference>
        </references>
      </pivotArea>
    </chartFormat>
    <chartFormat chart="4" format="20">
      <pivotArea type="data" outline="0" fieldPosition="0">
        <references count="2">
          <reference field="4294967294" count="1" selected="0">
            <x v="0"/>
          </reference>
          <reference field="4" count="1" selected="0">
            <x v="34"/>
          </reference>
        </references>
      </pivotArea>
    </chartFormat>
    <chartFormat chart="4" format="21">
      <pivotArea type="data" outline="0" fieldPosition="0">
        <references count="2">
          <reference field="4294967294" count="1" selected="0">
            <x v="0"/>
          </reference>
          <reference field="4" count="1" selected="0">
            <x v="44"/>
          </reference>
        </references>
      </pivotArea>
    </chartFormat>
    <chartFormat chart="4" format="22">
      <pivotArea type="data" outline="0" fieldPosition="0">
        <references count="2">
          <reference field="4294967294" count="1" selected="0">
            <x v="0"/>
          </reference>
          <reference field="4" count="1" selected="0">
            <x v="33"/>
          </reference>
        </references>
      </pivotArea>
    </chartFormat>
    <chartFormat chart="4" format="23">
      <pivotArea type="data" outline="0" fieldPosition="0">
        <references count="2">
          <reference field="4294967294" count="1" selected="0">
            <x v="0"/>
          </reference>
          <reference field="4" count="1" selected="0">
            <x v="9"/>
          </reference>
        </references>
      </pivotArea>
    </chartFormat>
    <chartFormat chart="4" format="24">
      <pivotArea type="data" outline="0" fieldPosition="0">
        <references count="2">
          <reference field="4294967294" count="1" selected="0">
            <x v="0"/>
          </reference>
          <reference field="4" count="1" selected="0">
            <x v="30"/>
          </reference>
        </references>
      </pivotArea>
    </chartFormat>
    <chartFormat chart="4" format="25">
      <pivotArea type="data" outline="0" fieldPosition="0">
        <references count="2">
          <reference field="4294967294" count="1" selected="0">
            <x v="0"/>
          </reference>
          <reference field="4" count="1" selected="0">
            <x v="15"/>
          </reference>
        </references>
      </pivotArea>
    </chartFormat>
    <chartFormat chart="4" format="26">
      <pivotArea type="data" outline="0" fieldPosition="0">
        <references count="2">
          <reference field="4294967294" count="1" selected="0">
            <x v="0"/>
          </reference>
          <reference field="4" count="1" selected="0">
            <x v="13"/>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C2BE3A-F70F-42CC-B125-A5CE3F854DDE}"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0">
  <location ref="A2:B28" firstHeaderRow="1" firstDataRow="1" firstDataCol="1"/>
  <pivotFields count="40">
    <pivotField showAll="0" defaultSubtotal="0"/>
    <pivotField showAll="0" defaultSubtotal="0">
      <items count="253">
        <item x="85"/>
        <item x="106"/>
        <item x="228"/>
        <item x="43"/>
        <item x="99"/>
        <item x="82"/>
        <item x="19"/>
        <item x="246"/>
        <item x="69"/>
        <item x="5"/>
        <item x="191"/>
        <item x="166"/>
        <item x="76"/>
        <item x="113"/>
        <item x="3"/>
        <item x="251"/>
        <item x="165"/>
        <item x="108"/>
        <item x="144"/>
        <item x="101"/>
        <item x="9"/>
        <item x="252"/>
        <item x="53"/>
        <item x="239"/>
        <item x="175"/>
        <item x="22"/>
        <item x="216"/>
        <item x="63"/>
        <item x="84"/>
        <item x="173"/>
        <item x="218"/>
        <item x="200"/>
        <item x="133"/>
        <item x="147"/>
        <item x="148"/>
        <item x="120"/>
        <item x="245"/>
        <item x="94"/>
        <item x="159"/>
        <item x="135"/>
        <item x="96"/>
        <item x="92"/>
        <item x="248"/>
        <item x="169"/>
        <item x="4"/>
        <item x="67"/>
        <item x="52"/>
        <item x="210"/>
        <item x="136"/>
        <item x="95"/>
        <item x="179"/>
        <item x="162"/>
        <item x="160"/>
        <item x="117"/>
        <item x="221"/>
        <item x="88"/>
        <item x="115"/>
        <item x="225"/>
        <item x="54"/>
        <item x="6"/>
        <item x="80"/>
        <item x="129"/>
        <item x="192"/>
        <item x="161"/>
        <item x="32"/>
        <item x="176"/>
        <item x="116"/>
        <item x="150"/>
        <item x="181"/>
        <item x="207"/>
        <item x="83"/>
        <item x="195"/>
        <item x="170"/>
        <item x="119"/>
        <item x="213"/>
        <item x="35"/>
        <item x="112"/>
        <item x="126"/>
        <item x="190"/>
        <item x="0"/>
        <item x="111"/>
        <item x="125"/>
        <item x="13"/>
        <item x="1"/>
        <item x="16"/>
        <item x="114"/>
        <item x="45"/>
        <item x="186"/>
        <item x="51"/>
        <item x="153"/>
        <item x="141"/>
        <item x="234"/>
        <item x="222"/>
        <item x="134"/>
        <item x="49"/>
        <item x="66"/>
        <item x="100"/>
        <item x="48"/>
        <item x="249"/>
        <item x="40"/>
        <item x="212"/>
        <item x="90"/>
        <item x="187"/>
        <item x="17"/>
        <item x="220"/>
        <item x="36"/>
        <item x="123"/>
        <item x="104"/>
        <item x="59"/>
        <item x="203"/>
        <item x="79"/>
        <item x="146"/>
        <item x="250"/>
        <item x="72"/>
        <item x="208"/>
        <item x="64"/>
        <item x="230"/>
        <item x="231"/>
        <item x="47"/>
        <item x="33"/>
        <item x="151"/>
        <item x="247"/>
        <item x="50"/>
        <item x="201"/>
        <item x="236"/>
        <item x="197"/>
        <item x="71"/>
        <item x="62"/>
        <item x="143"/>
        <item x="14"/>
        <item x="110"/>
        <item x="140"/>
        <item x="243"/>
        <item x="86"/>
        <item x="21"/>
        <item x="244"/>
        <item x="215"/>
        <item x="194"/>
        <item x="24"/>
        <item x="232"/>
        <item x="105"/>
        <item x="180"/>
        <item x="44"/>
        <item x="172"/>
        <item x="46"/>
        <item x="138"/>
        <item x="39"/>
        <item x="15"/>
        <item x="182"/>
        <item x="23"/>
        <item x="37"/>
        <item x="183"/>
        <item x="102"/>
        <item x="185"/>
        <item x="89"/>
        <item x="18"/>
        <item x="103"/>
        <item x="205"/>
        <item x="27"/>
        <item x="206"/>
        <item x="209"/>
        <item x="30"/>
        <item x="122"/>
        <item x="139"/>
        <item x="224"/>
        <item x="38"/>
        <item x="29"/>
        <item x="227"/>
        <item x="226"/>
        <item x="137"/>
        <item x="156"/>
        <item x="28"/>
        <item x="10"/>
        <item x="177"/>
        <item x="26"/>
        <item x="75"/>
        <item x="57"/>
        <item x="61"/>
        <item x="131"/>
        <item x="164"/>
        <item x="219"/>
        <item x="174"/>
        <item x="152"/>
        <item x="65"/>
        <item x="168"/>
        <item x="223"/>
        <item x="81"/>
        <item x="149"/>
        <item x="34"/>
        <item x="189"/>
        <item x="229"/>
        <item x="31"/>
        <item x="214"/>
        <item x="42"/>
        <item x="193"/>
        <item x="163"/>
        <item x="70"/>
        <item x="107"/>
        <item x="127"/>
        <item x="56"/>
        <item x="237"/>
        <item x="12"/>
        <item x="157"/>
        <item x="241"/>
        <item x="130"/>
        <item x="2"/>
        <item x="198"/>
        <item x="142"/>
        <item x="11"/>
        <item x="60"/>
        <item x="233"/>
        <item x="188"/>
        <item x="98"/>
        <item x="41"/>
        <item x="91"/>
        <item x="154"/>
        <item x="184"/>
        <item x="97"/>
        <item x="93"/>
        <item x="240"/>
        <item x="204"/>
        <item x="158"/>
        <item x="211"/>
        <item x="58"/>
        <item x="118"/>
        <item x="238"/>
        <item x="73"/>
        <item x="8"/>
        <item x="87"/>
        <item x="20"/>
        <item x="155"/>
        <item x="109"/>
        <item x="124"/>
        <item x="132"/>
        <item x="145"/>
        <item x="25"/>
        <item x="121"/>
        <item x="199"/>
        <item x="242"/>
        <item x="74"/>
        <item x="7"/>
        <item x="217"/>
        <item x="202"/>
        <item x="235"/>
        <item x="78"/>
        <item x="128"/>
        <item x="167"/>
        <item x="171"/>
        <item x="178"/>
        <item x="55"/>
        <item x="68"/>
        <item x="77"/>
        <item x="196"/>
      </items>
    </pivotField>
    <pivotField showAll="0" defaultSubtotal="0"/>
    <pivotField showAll="0" defaultSubtotal="0">
      <items count="6">
        <item x="2"/>
        <item x="3"/>
        <item x="0"/>
        <item x="5"/>
        <item x="4"/>
        <item x="1"/>
      </items>
    </pivotField>
    <pivotField showAll="0" defaultSubtotal="0"/>
    <pivotField showAll="0" defaultSubtotal="0"/>
    <pivotField showAll="0" defaultSubtotal="0"/>
    <pivotField showAll="0" defaultSubtotal="0"/>
    <pivotField showAll="0" defaultSubtotal="0">
      <items count="2">
        <item x="1"/>
        <item x="0"/>
      </items>
    </pivotField>
    <pivotField showAll="0" defaultSubtotal="0">
      <items count="5">
        <item x="4"/>
        <item x="0"/>
        <item x="2"/>
        <item x="1"/>
        <item x="3"/>
      </items>
    </pivotField>
    <pivotField showAll="0" defaultSubtotal="0"/>
    <pivotField numFmtId="164" showAll="0" defaultSubtotal="0"/>
    <pivotField numFmtId="164" showAll="0" defaultSubtotal="0"/>
    <pivotField numFmtId="165" showAll="0" defaultSubtotal="0"/>
    <pivotField dataField="1"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showAll="0" defaultSubtotal="0"/>
    <pivotField numFmtId="164" showAll="0" defaultSubtotal="0"/>
    <pivotField showAll="0" defaultSubtotal="0"/>
    <pivotField numFmtId="164" showAll="0" defaultSubtotal="0"/>
    <pivotField numFmtId="164" showAll="0" defaultSubtotal="0"/>
    <pivotField numFmtId="165" showAll="0" defaultSubtotal="0"/>
    <pivotField showAll="0" defaultSubtotal="0"/>
    <pivotField showAll="0" defaultSubtotal="0"/>
    <pivotField showAll="0" defaultSubtotal="0"/>
    <pivotField numFmtId="165" showAll="0" defaultSubtotal="0"/>
    <pivotField showAll="0" defaultSubtotal="0"/>
    <pivotField numFmtId="165" showAll="0" defaultSubtotal="0"/>
    <pivotField showAll="0" defaultSubtotal="0"/>
    <pivotField showAll="0" defaultSubtotal="0"/>
    <pivotField showAll="0" defaultSubtotal="0">
      <items count="14">
        <item x="1"/>
        <item x="0"/>
        <item x="6"/>
        <item x="10"/>
        <item x="4"/>
        <item x="11"/>
        <item x="13"/>
        <item x="3"/>
        <item x="5"/>
        <item x="2"/>
        <item x="9"/>
        <item x="12"/>
        <item x="7"/>
        <item x="8"/>
      </items>
    </pivotField>
    <pivotField showAll="0" defaultSubtotal="0"/>
    <pivotField showAll="0" defaultSubtotal="0"/>
    <pivotField showAll="0" defaultSubtotal="0"/>
    <pivotField axis="axisRow" showAll="0" defaultSubtotal="0">
      <items count="14">
        <item x="0"/>
        <item x="1"/>
        <item x="2"/>
        <item x="3"/>
        <item x="4"/>
        <item x="5"/>
        <item x="6"/>
        <item x="7"/>
        <item x="8"/>
        <item x="9"/>
        <item x="10"/>
        <item x="11"/>
        <item x="12"/>
        <item x="13"/>
      </items>
    </pivotField>
    <pivotField axis="axisRow" showAll="0" defaultSubtotal="0">
      <items count="4">
        <item x="0"/>
        <item x="1"/>
        <item x="2"/>
        <item x="3"/>
      </items>
    </pivotField>
  </pivotFields>
  <rowFields count="2">
    <field x="39"/>
    <field x="38"/>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Items count="1">
    <i/>
  </colItems>
  <dataFields count="1">
    <dataField name="Sum of Gross_Sales_INR" fld="14" baseField="0" baseItem="0" numFmtId="164"/>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e" xr10:uid="{2A5BE909-4978-41EB-8A47-AC61D30F2ED7}" sourceName="Customer_State">
  <pivotTables>
    <pivotTable tabId="5" name="PivotTable9"/>
    <pivotTable tabId="3" name="PivotTable16"/>
    <pivotTable tabId="3" name="PivotTable3"/>
    <pivotTable tabId="3" name="PivotTable4"/>
    <pivotTable tabId="3" name="PivotTable5"/>
    <pivotTable tabId="3" name="PivotTable6"/>
    <pivotTable tabId="3" name="PivotTable7"/>
    <pivotTable tabId="3" name="PivotTable8"/>
    <pivotTable tabId="5" name="PivotTable10"/>
    <pivotTable tabId="5" name="PivotTable11"/>
    <pivotTable tabId="5" name="PivotTable12"/>
    <pivotTable tabId="5" name="PivotTable13"/>
    <pivotTable tabId="5" name="PivotTable14"/>
    <pivotTable tabId="5" name="PivotTable17"/>
  </pivotTables>
  <data>
    <tabular pivotCacheId="1695201336">
      <items count="14">
        <i x="1" s="1"/>
        <i x="0" s="1"/>
        <i x="6" s="1"/>
        <i x="10" s="1"/>
        <i x="4" s="1"/>
        <i x="11" s="1"/>
        <i x="13" s="1"/>
        <i x="3" s="1"/>
        <i x="5" s="1"/>
        <i x="2" s="1"/>
        <i x="9" s="1"/>
        <i x="12"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9F53051-D8A8-49B8-9E93-C05CE0947F28}" sourceName="Order_Status">
  <pivotTables>
    <pivotTable tabId="5" name="PivotTable9"/>
    <pivotTable tabId="3" name="PivotTable16"/>
    <pivotTable tabId="3" name="PivotTable3"/>
    <pivotTable tabId="3" name="PivotTable4"/>
    <pivotTable tabId="3" name="PivotTable5"/>
    <pivotTable tabId="3" name="PivotTable6"/>
    <pivotTable tabId="3" name="PivotTable7"/>
    <pivotTable tabId="3" name="PivotTable8"/>
    <pivotTable tabId="5" name="PivotTable10"/>
    <pivotTable tabId="5" name="PivotTable11"/>
    <pivotTable tabId="5" name="PivotTable12"/>
    <pivotTable tabId="5" name="PivotTable13"/>
    <pivotTable tabId="5" name="PivotTable14"/>
    <pivotTable tabId="5" name="PivotTable17"/>
  </pivotTables>
  <data>
    <tabular pivotCacheId="1695201336">
      <items count="5">
        <i x="4" s="1"/>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F0941E-1B74-40B1-9BBA-C6A8C63D6AAD}" sourceName="Category">
  <pivotTables>
    <pivotTable tabId="5" name="PivotTable9"/>
    <pivotTable tabId="3" name="PivotTable16"/>
    <pivotTable tabId="3" name="PivotTable3"/>
    <pivotTable tabId="3" name="PivotTable4"/>
    <pivotTable tabId="3" name="PivotTable5"/>
    <pivotTable tabId="3" name="PivotTable6"/>
    <pivotTable tabId="3" name="PivotTable7"/>
    <pivotTable tabId="3" name="PivotTable8"/>
    <pivotTable tabId="5" name="PivotTable10"/>
    <pivotTable tabId="5" name="PivotTable11"/>
    <pivotTable tabId="5" name="PivotTable12"/>
    <pivotTable tabId="5" name="PivotTable13"/>
    <pivotTable tabId="5" name="PivotTable14"/>
    <pivotTable tabId="5" name="PivotTable17"/>
  </pivotTables>
  <data>
    <tabular pivotCacheId="1695201336">
      <items count="6">
        <i x="2" s="1"/>
        <i x="3" s="1"/>
        <i x="0" s="1"/>
        <i x="5"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fillment_Type" xr10:uid="{07DA2A89-A8B6-43E7-ACB9-AF47566489E4}" sourceName="Fulfillment_Type">
  <pivotTables>
    <pivotTable tabId="5" name="PivotTable9"/>
    <pivotTable tabId="3" name="PivotTable16"/>
    <pivotTable tabId="3" name="PivotTable3"/>
    <pivotTable tabId="3" name="PivotTable4"/>
    <pivotTable tabId="3" name="PivotTable5"/>
    <pivotTable tabId="3" name="PivotTable6"/>
    <pivotTable tabId="3" name="PivotTable7"/>
    <pivotTable tabId="3" name="PivotTable8"/>
    <pivotTable tabId="5" name="PivotTable10"/>
    <pivotTable tabId="5" name="PivotTable11"/>
    <pivotTable tabId="5" name="PivotTable12"/>
    <pivotTable tabId="5" name="PivotTable13"/>
    <pivotTable tabId="5" name="PivotTable14"/>
    <pivotTable tabId="5" name="PivotTable17"/>
  </pivotTables>
  <data>
    <tabular pivotCacheId="16952013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tate" xr10:uid="{9E4FBB17-C5F0-4C47-BCF6-CF6829D4A71A}" cache="Slicer_Customer_State" caption="Customer_State" columnCount="5" style="MY STYLE" rowHeight="234950"/>
  <slicer name="Order_Status" xr10:uid="{6E452E3A-143F-4B08-A24F-D8AAAEDD4753}" cache="Slicer_Order_Status" caption="Order_Status" columnCount="5" style="MY STYLE" rowHeight="234950"/>
  <slicer name="Category" xr10:uid="{ABC39117-498E-4B2B-890B-84C18CA6658F}" cache="Slicer_Category" caption="Category" columnCount="6" style="MY STYLE" rowHeight="234950"/>
  <slicer name="Fulfillment_Type" xr10:uid="{19834753-65D7-4925-9B59-CF12684A31DE}" cache="Slicer_Fulfillment_Type" caption="Fulfillment_Type" columnCount="2" style="MY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54FC2C-B0DB-4988-A90A-654473FF9010}" name="SalesData" displayName="SalesData" ref="A1:AL302" totalsRowCount="1" headerRowDxfId="127" dataDxfId="125" headerRowBorderDxfId="126" tableBorderDxfId="124" totalsRowBorderDxfId="123">
  <autoFilter ref="A1:AL301" xr:uid="{2E54FC2C-B0DB-4988-A90A-654473FF9010}"/>
  <tableColumns count="38">
    <tableColumn id="1" xr3:uid="{0DDB6915-1592-49A9-BD6E-7D929CC9B3E0}" name="Order_ID" dataDxfId="122" totalsRowDxfId="121"/>
    <tableColumn id="2" xr3:uid="{ECBCDD29-3251-43D0-B41C-1B5E93ED7BF1}" name="Order_Date" dataDxfId="120" totalsRowDxfId="119"/>
    <tableColumn id="3" xr3:uid="{7585DF5C-53D0-4876-9AEC-0F2605C4607A}" name="Delivery_Date" dataDxfId="118" totalsRowDxfId="117"/>
    <tableColumn id="4" xr3:uid="{576CB114-03FF-4004-B160-3E08E4BCAF87}" name="Category" dataDxfId="116" totalsRowDxfId="115"/>
    <tableColumn id="5" xr3:uid="{A1393540-1B15-46D5-B944-476D94AA4159}" name="Product_Name" dataDxfId="114" totalsRowDxfId="113"/>
    <tableColumn id="6" xr3:uid="{3D70DC80-CD16-49AF-957D-B60D268052F7}" name="Brand" dataDxfId="112" totalsRowDxfId="111"/>
    <tableColumn id="7" xr3:uid="{B48760F7-0C85-49AA-A835-5FEC886DCEAD}" name="SKU" dataDxfId="110" totalsRowDxfId="109"/>
    <tableColumn id="8" xr3:uid="{E7CF11BD-4341-49A9-A519-645E4548A319}" name="ASIN" dataDxfId="108" totalsRowDxfId="107"/>
    <tableColumn id="9" xr3:uid="{92E917B4-3FC9-403D-A3C8-AD20CF1D36D6}" name="Fulfillment_Type" dataDxfId="106" totalsRowDxfId="105"/>
    <tableColumn id="10" xr3:uid="{00BAD75C-F1F7-4584-B2CE-455CD1C3C319}" name="Order_Status" dataDxfId="104" totalsRowDxfId="103"/>
    <tableColumn id="11" xr3:uid="{03B58D9C-A84A-4469-AF3E-30F52D807263}" name="Units_Sold" dataDxfId="102" totalsRowDxfId="101"/>
    <tableColumn id="12" xr3:uid="{6C45E033-B2C3-4A5B-A8B2-AC103024F36D}" name="MRP_INR" dataDxfId="100" totalsRowDxfId="99"/>
    <tableColumn id="13" xr3:uid="{522DA38C-BB1B-4B80-80D7-D91EFD37FF7C}" name="Selling_Price_INR" dataDxfId="98" totalsRowDxfId="97"/>
    <tableColumn id="14" xr3:uid="{44A5BA9A-8591-4CC8-A3A5-18818708B829}" name="Discount_%" dataDxfId="96" totalsRowDxfId="95"/>
    <tableColumn id="15" xr3:uid="{038C1E5B-C751-411A-937B-988A97BD7B43}" name="Gross_Sales_INR" dataDxfId="94" totalsRowDxfId="93"/>
    <tableColumn id="16" xr3:uid="{F26B103E-407B-4D94-9AE2-B262F603B902}" name="Amazon_Commission_INR" dataDxfId="92" totalsRowDxfId="91"/>
    <tableColumn id="17" xr3:uid="{A8BD2571-F647-4801-A681-C3F0634DE670}" name="FBA_Fee_INR" dataDxfId="90" totalsRowDxfId="89"/>
    <tableColumn id="18" xr3:uid="{5C9928C9-6321-4FB5-AC85-8793C3624544}" name="Shipping_Cost_INR" dataDxfId="88" totalsRowDxfId="87"/>
    <tableColumn id="19" xr3:uid="{9431CD05-70CD-42DC-8863-CC6591FA1219}" name="COGS_INR" dataDxfId="86" totalsRowDxfId="85"/>
    <tableColumn id="20" xr3:uid="{AFF45C4B-13BB-4278-8C1F-C9BC73102A46}" name="Ad_Spend_INR" dataDxfId="84" totalsRowDxfId="83"/>
    <tableColumn id="21" xr3:uid="{FE1A71DB-645E-418E-B6D1-22435D7F76E8}" name="Returns_Qty" dataDxfId="82" totalsRowDxfId="81"/>
    <tableColumn id="22" xr3:uid="{36AB37D8-73D0-4E97-944C-88499A0CB56D}" name="Return_Value_INR" dataDxfId="80" totalsRowDxfId="79"/>
    <tableColumn id="23" xr3:uid="{083E56E0-6506-41DE-86F9-54FE60A0F327}" name="Return_Reason" dataDxfId="78" totalsRowDxfId="77"/>
    <tableColumn id="24" xr3:uid="{F91BE7FE-AC90-4B18-996E-BDD4A538BCDF}" name="Net_Sales_INR" totalsRowFunction="sum" dataDxfId="76" totalsRowDxfId="75"/>
    <tableColumn id="25" xr3:uid="{6B898F82-3BC2-42AB-8363-17724F179496}" name="Net_Profit_INR" totalsRowFunction="sum" dataDxfId="74" totalsRowDxfId="73"/>
    <tableColumn id="26" xr3:uid="{92C662B0-A08F-401B-B378-36F4BCF6576A}" name="Profit_Margin_%" dataDxfId="72" totalsRowDxfId="71"/>
    <tableColumn id="27" xr3:uid="{FE82840D-0D37-46E2-9C99-4188C9C382F1}" name="Ad_Type" dataDxfId="70" totalsRowDxfId="69"/>
    <tableColumn id="28" xr3:uid="{C071690B-16F8-49A0-88BA-BAFA5B12D412}" name="Ad_Impressions" dataDxfId="68" totalsRowDxfId="67"/>
    <tableColumn id="29" xr3:uid="{96D58BD4-FB77-4927-BA54-BFFB7C534474}" name="Ad_Clicks" dataDxfId="66" totalsRowDxfId="65"/>
    <tableColumn id="30" xr3:uid="{E9B82690-1FB6-4BEF-AFA4-692A79F309AC}" name="CTR_%" dataDxfId="64" totalsRowDxfId="63"/>
    <tableColumn id="31" xr3:uid="{A61E0916-328E-4CB2-B164-8F2BDBCBF32A}" name="Orders_from_Ads" dataDxfId="62" totalsRowDxfId="61"/>
    <tableColumn id="32" xr3:uid="{43A81782-7519-4FE5-B2F8-462679331D8F}" name="ACOS_%" dataDxfId="60" totalsRowDxfId="59"/>
    <tableColumn id="33" xr3:uid="{FAFEE8AD-614B-42E9-AAC6-92400388D7B3}" name="Customer_Rating" dataDxfId="58" totalsRowDxfId="57"/>
    <tableColumn id="34" xr3:uid="{B9568481-4940-449C-B1D8-0A830B919397}" name="Review_Received" dataDxfId="56" totalsRowDxfId="55"/>
    <tableColumn id="35" xr3:uid="{3E18EDB6-0BC6-457A-A7D3-277CDE48915A}" name="Customer_State" dataDxfId="54" totalsRowDxfId="53"/>
    <tableColumn id="36" xr3:uid="{1B8FE690-6B1C-4E74-BA2E-47B790850E11}" name="Delivery_Days" dataDxfId="52" totalsRowDxfId="51"/>
    <tableColumn id="37" xr3:uid="{579C0202-5E07-44E7-AAC6-D55CCB21D543}" name="Current_Inventory" dataDxfId="50" totalsRowDxfId="49"/>
    <tableColumn id="38" xr3:uid="{70462CFB-D686-45F9-9593-B123591D20BA}" name="Reorder_Flag" totalsRowDxfId="4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4B952C-EC51-4FA8-88E3-730EF619A24E}" name="Table2" displayName="Table2" ref="A3:AL19" totalsRowShown="0">
  <autoFilter ref="A3:AL19" xr:uid="{274B952C-EC51-4FA8-88E3-730EF619A24E}"/>
  <tableColumns count="38">
    <tableColumn id="1" xr3:uid="{E90B7FC6-3EFC-422F-A2D0-323760C58559}" name="Order_ID"/>
    <tableColumn id="2" xr3:uid="{0013A79F-9E4B-445F-BEC1-8A9ABD69D499}" name="Order_Date" dataDxfId="42"/>
    <tableColumn id="3" xr3:uid="{1BF21654-EF45-46F4-B52B-5C4DF3D9E9C0}" name="Delivery_Date"/>
    <tableColumn id="4" xr3:uid="{8E98ED05-9F42-4197-82B1-F4A44DFC2D3A}" name="Category"/>
    <tableColumn id="5" xr3:uid="{C7186AB6-935D-4F12-BC03-CE6045F34CD6}" name="Product_Name"/>
    <tableColumn id="6" xr3:uid="{4AF64590-D0FE-414D-9B9D-25CB1F748F31}" name="Brand"/>
    <tableColumn id="7" xr3:uid="{ACF5AB96-A8D8-44A3-8FA8-7F1A5FA2B2D0}" name="SKU"/>
    <tableColumn id="8" xr3:uid="{B860409E-FE25-495D-9553-88559F80CF67}" name="ASIN"/>
    <tableColumn id="9" xr3:uid="{4B7FE8E3-6C6C-44D7-BF04-13C43031A4E8}" name="Fulfillment_Type"/>
    <tableColumn id="10" xr3:uid="{3AE4FC10-3D8D-43DF-8DAA-001D23BD58DC}" name="Order_Status"/>
    <tableColumn id="11" xr3:uid="{34F3E5E0-17B2-4E6A-AE4C-ACCB1D251CC5}" name="Units_Sold"/>
    <tableColumn id="12" xr3:uid="{6E1481B0-5B99-4517-8CF1-203A981B9096}" name="MRP_INR"/>
    <tableColumn id="13" xr3:uid="{8DC42F8F-CD26-46C0-850F-5ABEDD731760}" name="Selling_Price_INR"/>
    <tableColumn id="14" xr3:uid="{BD8F392E-549D-4538-831C-3C65C1C4E3A3}" name="Discount_%"/>
    <tableColumn id="15" xr3:uid="{29E5C0B2-D6C4-4504-804D-D50F02E7BD82}" name="Gross_Sales_INR"/>
    <tableColumn id="16" xr3:uid="{6E3B8FDE-35C3-44D8-BF4E-24E16B94F123}" name="Amazon_Commission_INR"/>
    <tableColumn id="17" xr3:uid="{DC4E7445-3F68-44A5-A17C-4BF29804F2A0}" name="FBA_Fee_INR"/>
    <tableColumn id="18" xr3:uid="{428181A7-4C39-4098-829B-6D8DBFC910CE}" name="Shipping_Cost_INR"/>
    <tableColumn id="19" xr3:uid="{2B7BB497-1FBD-44A0-B7D1-ACAB9FF64D01}" name="COGS_INR"/>
    <tableColumn id="20" xr3:uid="{452592E3-9830-4876-AD91-4858C8526E0D}" name="Ad_Spend_INR"/>
    <tableColumn id="21" xr3:uid="{F57DA02B-B439-47FD-9C38-DA43C991890E}" name="Returns_Qty"/>
    <tableColumn id="22" xr3:uid="{5F69C694-FEC1-4C48-9FAF-76FFC89C6792}" name="Return_Value_INR"/>
    <tableColumn id="23" xr3:uid="{66A42D79-3520-4566-B011-41F6B58FF913}" name="Return_Reason"/>
    <tableColumn id="24" xr3:uid="{DD5FE881-C7C0-49AC-9889-920B65D16045}" name="Net_Sales_INR"/>
    <tableColumn id="25" xr3:uid="{775CB631-0113-4749-A4C4-101DC3DF5232}" name="Net_Profit_INR"/>
    <tableColumn id="26" xr3:uid="{9143E52B-5D8F-45B0-B9B4-5B515C1BCB10}" name="Profit_Margin_%"/>
    <tableColumn id="27" xr3:uid="{DF02F1E7-388C-4A13-A6F6-B20CCC3E9D99}" name="Ad_Type"/>
    <tableColumn id="28" xr3:uid="{09F1AF9F-BC19-420F-9C9F-A220C3878756}" name="Ad_Impressions"/>
    <tableColumn id="29" xr3:uid="{1CC815BF-D046-40A8-AEF3-597ED2E71669}" name="Ad_Clicks"/>
    <tableColumn id="30" xr3:uid="{AB27EB77-059E-4361-BD87-567C2ECACE46}" name="CTR_%"/>
    <tableColumn id="31" xr3:uid="{E627E85E-AA13-4EE4-9CC3-1E2009B2D439}" name="Orders_from_Ads"/>
    <tableColumn id="32" xr3:uid="{BD7A9A0F-9B3E-4B4D-821A-E47C292AB20E}" name="ACOS_%"/>
    <tableColumn id="33" xr3:uid="{6601DEA3-0424-4199-901E-D3B4DEEE6DD2}" name="Customer_Rating"/>
    <tableColumn id="34" xr3:uid="{8B4DD641-189F-4F9C-9824-F047D6E2A30A}" name="Review_Received"/>
    <tableColumn id="35" xr3:uid="{882DE724-2A27-4973-B222-B524BC5407F1}" name="Customer_State"/>
    <tableColumn id="36" xr3:uid="{C4D9BA19-942F-4178-BBAB-55A595D76F21}" name="Delivery_Days"/>
    <tableColumn id="37" xr3:uid="{C82A7347-E4B6-4E57-9FAE-9217315F39EF}" name="Current_Inventory"/>
    <tableColumn id="38" xr3:uid="{34BF26B0-3132-445B-A649-E1BCFFFA8567}" name="Reorder_Flag"/>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4EF21-382E-49D1-BDD3-E8B0D86EF6EC}" name="Table3" displayName="Table3" ref="A69:V592" totalsRowShown="0" headerRowDxfId="151" dataDxfId="150">
  <autoFilter ref="A69:V592" xr:uid="{FA64EF21-382E-49D1-BDD3-E8B0D86EF6EC}"/>
  <tableColumns count="22">
    <tableColumn id="1" xr3:uid="{6ADD0131-F9CA-4BAA-B6E9-DBF730A3A0D4}" name="Order_ID" dataDxfId="149">
      <calculatedColumnFormula>SalesData[[#This Row],[Order_ID]]</calculatedColumnFormula>
    </tableColumn>
    <tableColumn id="2" xr3:uid="{C6385616-E280-4718-9902-522A0DA2258A}" name="Order_Date" dataDxfId="148">
      <calculatedColumnFormula array="1">INDEX(SalesData[Order_Date], ROW()-1)</calculatedColumnFormula>
    </tableColumn>
    <tableColumn id="3" xr3:uid="{04ED4D65-1016-4CB0-BD06-F6ADEC76B2F4}" name="Category" dataDxfId="147">
      <calculatedColumnFormula array="1">INDEX(SalesData[Category], ROW()-1)</calculatedColumnFormula>
    </tableColumn>
    <tableColumn id="4" xr3:uid="{3167D979-3353-4043-9F9F-8749560085DA}" name="Product" dataDxfId="146">
      <calculatedColumnFormula array="1">INDEX(SalesData[Product_Name],ROW()-1)</calculatedColumnFormula>
    </tableColumn>
    <tableColumn id="5" xr3:uid="{4EC04FB0-66C1-431E-8B17-9E96F973FC6B}" name="State" dataDxfId="145">
      <calculatedColumnFormula array="1">INDEX(SalesData[Customer_State],ROW()-1)</calculatedColumnFormula>
    </tableColumn>
    <tableColumn id="6" xr3:uid="{FF4D7EAC-066A-46C3-9AC6-5D34AAF86815}" name="Status" dataDxfId="144">
      <calculatedColumnFormula array="1">INDEX(SalesData[Order_Status], ROW()-1)</calculatedColumnFormula>
    </tableColumn>
    <tableColumn id="7" xr3:uid="{F7F9C64F-1FA4-4C1F-8686-02C9882D143F}" name="Fulfilment" dataDxfId="143">
      <calculatedColumnFormula array="1">INDEX(SalesData[Fulfillment_Type], ROW()-1)</calculatedColumnFormula>
    </tableColumn>
    <tableColumn id="8" xr3:uid="{1794BF31-A63C-421F-A33C-6E4F2C09B3DB}" name="Units" dataDxfId="142">
      <calculatedColumnFormula array="1">INDEX(SalesData[Units_Sold], ROW()-1)</calculatedColumnFormula>
    </tableColumn>
    <tableColumn id="9" xr3:uid="{19AD8806-1F4B-497B-9B02-EE22E75CFBFC}" name="Sales" dataDxfId="141">
      <calculatedColumnFormula array="1">INDEX(SalesData[Gross_Sales_INR], ROW()-1)</calculatedColumnFormula>
    </tableColumn>
    <tableColumn id="10" xr3:uid="{9A75CED0-9FED-45FD-B328-A793F45CB990}" name="Profit" dataDxfId="140">
      <calculatedColumnFormula array="1">INDEX(SalesData[Net_Profit_INR], ROW()-1)</calculatedColumnFormula>
    </tableColumn>
    <tableColumn id="11" xr3:uid="{FD60ED65-5171-4109-ABFF-5E6ED66C8C4E}" name="Margin %" dataDxfId="139">
      <calculatedColumnFormula array="1">INDEX(SalesData[Profit_Margin_%], ROW()-1)</calculatedColumnFormula>
    </tableColumn>
    <tableColumn id="12" xr3:uid="{FBC34985-3FE1-47AC-89F2-A122A6FB991C}" name="Rating" dataDxfId="138">
      <calculatedColumnFormula array="1">IF(INDEX(SalesData[Customer_Rating], ROW()-1)="", "—",REPT("★", INDEX(SalesData[Customer_Rating], ROW()-1)) &amp; REPT("☆", 5-INDEX(SalesData[Customer_Rating], ROW()-1)))</calculatedColumnFormula>
    </tableColumn>
    <tableColumn id="13" xr3:uid="{21A1A1AB-981F-4E05-BAAA-C87743C62C85}" name="Reorder" dataDxfId="137">
      <calculatedColumnFormula array="1">IF(INDEX(SalesData[Reorder_Flag], ROW()-1)="Yes", "⚠️ Reorder", "OK")</calculatedColumnFormula>
    </tableColumn>
    <tableColumn id="14" xr3:uid="{47F66175-074E-4580-817B-B58A5CD88CA2}" name="Profit (+,- ve)" dataDxfId="136">
      <calculatedColumnFormula>IF(J2&gt;0, "Profit", IF(J2&lt;0, "Loss", "Breakeven"))</calculatedColumnFormula>
    </tableColumn>
    <tableColumn id="15" xr3:uid="{558510C1-792D-4C48-8ACF-6E9E3B204E5E}" name="AD TYPE" dataDxfId="135">
      <calculatedColumnFormula>SalesData[[#This Row],[Ad_Type]]</calculatedColumnFormula>
    </tableColumn>
    <tableColumn id="16" xr3:uid="{A77A3FAC-79C3-4D6E-9438-A878351D0EF9}" name="BRAND" dataDxfId="134">
      <calculatedColumnFormula array="1">Amazon_Orders!F76:F301</calculatedColumnFormula>
    </tableColumn>
    <tableColumn id="17" xr3:uid="{DAFABCD9-3BAD-44FD-9A63-016ABED0445B}" name="PRODUCT NAME" dataDxfId="133">
      <calculatedColumnFormula>SalesData[[#This Row],[Product_Name]]</calculatedColumnFormula>
    </tableColumn>
    <tableColumn id="18" xr3:uid="{D38AB700-1C17-45D5-B5EF-B6192B01862B}" name="Column1" dataDxfId="132"/>
    <tableColumn id="19" xr3:uid="{3148EA81-9C54-48C0-8637-29EBC0E9BE61}" name="Column2" dataDxfId="131"/>
    <tableColumn id="20" xr3:uid="{BD45734B-AF26-4BF6-81C3-CCBB6397FC79}" name="Column3" dataDxfId="130"/>
    <tableColumn id="21" xr3:uid="{9D3F659D-CAF6-42B3-A688-1C18099972D2}" name="Column4" dataDxfId="129"/>
    <tableColumn id="22" xr3:uid="{E55E3EBD-7A1D-496B-87E0-A85A573596FA}" name="Column5" dataDxfId="12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C9690C6-4F88-4907-B321-F5FF2CC6C048}" sourceName="Order_Date">
  <pivotTables>
    <pivotTable tabId="5" name="PivotTable9"/>
    <pivotTable tabId="3" name="PivotTable16"/>
    <pivotTable tabId="3" name="PivotTable3"/>
    <pivotTable tabId="3" name="PivotTable4"/>
    <pivotTable tabId="3" name="PivotTable5"/>
    <pivotTable tabId="3" name="PivotTable6"/>
    <pivotTable tabId="3" name="PivotTable7"/>
    <pivotTable tabId="3" name="PivotTable8"/>
    <pivotTable tabId="5" name="PivotTable10"/>
    <pivotTable tabId="5" name="PivotTable11"/>
    <pivotTable tabId="5" name="PivotTable12"/>
    <pivotTable tabId="5" name="PivotTable13"/>
    <pivotTable tabId="5" name="PivotTable14"/>
    <pivotTable tabId="5" name="PivotTable17"/>
  </pivotTables>
  <state minimalRefreshVersion="6" lastRefreshVersion="6" pivotCacheId="169520133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1049628-47A1-441E-AC4F-0F19D88A2587}" cache="NativeTimeline_Order_Date" caption="Order_Date" showSelectionLabel="0" showTimeLevel="0" showHorizontalScrollbar="0" level="2" selectionLevel="2" scrollPosition="2023-10-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03"/>
  <sheetViews>
    <sheetView showGridLines="0" topLeftCell="L1" zoomScale="115" zoomScaleNormal="115" workbookViewId="0">
      <pane ySplit="1" topLeftCell="A283" activePane="bottomLeft" state="frozen"/>
      <selection pane="bottomLeft" activeCell="X6" sqref="X6"/>
    </sheetView>
  </sheetViews>
  <sheetFormatPr defaultRowHeight="14.4"/>
  <cols>
    <col min="1" max="3" width="13" customWidth="1"/>
    <col min="4" max="4" width="16" customWidth="1"/>
    <col min="5" max="5" width="22" customWidth="1"/>
    <col min="6" max="7" width="14" customWidth="1"/>
    <col min="8" max="8" width="13" customWidth="1"/>
    <col min="9" max="9" width="16" customWidth="1"/>
    <col min="10" max="10" width="13" customWidth="1"/>
    <col min="11" max="11" width="11" customWidth="1"/>
    <col min="12" max="12" width="13" customWidth="1"/>
    <col min="13" max="13" width="17" customWidth="1"/>
    <col min="14" max="14" width="11" customWidth="1"/>
    <col min="15" max="15" width="16" customWidth="1"/>
    <col min="16" max="16" width="20.33203125" customWidth="1"/>
    <col min="17" max="17" width="12" customWidth="1"/>
    <col min="18" max="18" width="16" customWidth="1"/>
    <col min="19" max="19" width="12" customWidth="1"/>
    <col min="20" max="20" width="13" customWidth="1"/>
    <col min="21" max="21" width="12" customWidth="1"/>
    <col min="22" max="22" width="16" customWidth="1"/>
    <col min="23" max="23" width="18" customWidth="1"/>
    <col min="24" max="26" width="15" customWidth="1"/>
    <col min="27" max="27" width="18" customWidth="1"/>
    <col min="28" max="28" width="14" customWidth="1"/>
    <col min="29" max="29" width="11" customWidth="1"/>
    <col min="30" max="30" width="8" customWidth="1"/>
    <col min="31" max="31" width="14.5546875" customWidth="1"/>
    <col min="32" max="32" width="9" customWidth="1"/>
    <col min="33" max="33" width="14.33203125" customWidth="1"/>
    <col min="34" max="34" width="14.6640625" customWidth="1"/>
    <col min="35" max="35" width="16" customWidth="1"/>
    <col min="36" max="36" width="13" customWidth="1"/>
    <col min="37" max="37" width="16" customWidth="1"/>
    <col min="38" max="38" width="14" customWidth="1"/>
  </cols>
  <sheetData>
    <row r="1" spans="1:38" ht="30" customHeight="1">
      <c r="A1" s="13" t="s">
        <v>0</v>
      </c>
      <c r="B1" s="25"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row>
    <row r="2" spans="1:38" ht="16.05" customHeight="1">
      <c r="A2" s="1" t="s">
        <v>38</v>
      </c>
      <c r="B2" s="22">
        <v>45185</v>
      </c>
      <c r="C2" s="1" t="s">
        <v>40</v>
      </c>
      <c r="D2" s="1" t="s">
        <v>41</v>
      </c>
      <c r="E2" s="1" t="s">
        <v>42</v>
      </c>
      <c r="F2" s="1" t="s">
        <v>43</v>
      </c>
      <c r="G2" s="1" t="s">
        <v>44</v>
      </c>
      <c r="H2" s="1" t="s">
        <v>45</v>
      </c>
      <c r="I2" s="1" t="s">
        <v>46</v>
      </c>
      <c r="J2" s="1" t="s">
        <v>47</v>
      </c>
      <c r="K2" s="1">
        <v>3</v>
      </c>
      <c r="L2" s="2">
        <v>2867</v>
      </c>
      <c r="M2" s="2">
        <v>2481</v>
      </c>
      <c r="N2" s="3">
        <v>13.5</v>
      </c>
      <c r="O2" s="2">
        <v>7443</v>
      </c>
      <c r="P2" s="2">
        <v>597.25</v>
      </c>
      <c r="Q2" s="2">
        <v>0</v>
      </c>
      <c r="R2" s="2">
        <v>55.19</v>
      </c>
      <c r="S2" s="2">
        <v>3707.43</v>
      </c>
      <c r="T2" s="2">
        <v>248.58</v>
      </c>
      <c r="U2" s="1">
        <v>0</v>
      </c>
      <c r="V2" s="2">
        <v>0</v>
      </c>
      <c r="W2" s="1"/>
      <c r="X2" s="2">
        <v>7443</v>
      </c>
      <c r="Y2" s="4">
        <v>2834.55</v>
      </c>
      <c r="Z2" s="3">
        <v>38.1</v>
      </c>
      <c r="AA2" s="1" t="s">
        <v>48</v>
      </c>
      <c r="AB2" s="1">
        <v>8811</v>
      </c>
      <c r="AC2" s="1">
        <v>407</v>
      </c>
      <c r="AD2" s="3">
        <v>4.62</v>
      </c>
      <c r="AE2" s="1">
        <v>23</v>
      </c>
      <c r="AF2" s="3">
        <v>0.4</v>
      </c>
      <c r="AG2" s="1">
        <v>5</v>
      </c>
      <c r="AH2" s="1" t="s">
        <v>49</v>
      </c>
      <c r="AI2" s="1" t="s">
        <v>50</v>
      </c>
      <c r="AJ2" s="1">
        <v>7</v>
      </c>
      <c r="AK2" s="1">
        <v>199</v>
      </c>
      <c r="AL2" s="1" t="s">
        <v>51</v>
      </c>
    </row>
    <row r="3" spans="1:38" ht="16.05" customHeight="1">
      <c r="A3" s="5" t="s">
        <v>52</v>
      </c>
      <c r="B3" s="23">
        <v>45193</v>
      </c>
      <c r="C3" s="5" t="s">
        <v>53</v>
      </c>
      <c r="D3" s="5" t="s">
        <v>54</v>
      </c>
      <c r="E3" s="5" t="s">
        <v>55</v>
      </c>
      <c r="F3" s="5" t="s">
        <v>56</v>
      </c>
      <c r="G3" s="5" t="s">
        <v>57</v>
      </c>
      <c r="H3" s="5" t="s">
        <v>58</v>
      </c>
      <c r="I3" s="5" t="s">
        <v>59</v>
      </c>
      <c r="J3" s="5" t="s">
        <v>47</v>
      </c>
      <c r="K3" s="5">
        <v>9</v>
      </c>
      <c r="L3" s="6">
        <v>4525</v>
      </c>
      <c r="M3" s="6">
        <v>3841</v>
      </c>
      <c r="N3" s="7">
        <v>15.1</v>
      </c>
      <c r="O3" s="6">
        <v>34569</v>
      </c>
      <c r="P3" s="6">
        <v>4627.91</v>
      </c>
      <c r="Q3" s="6">
        <v>1728.45</v>
      </c>
      <c r="R3" s="6">
        <v>0</v>
      </c>
      <c r="S3" s="6">
        <v>17296.64</v>
      </c>
      <c r="T3" s="6">
        <v>0</v>
      </c>
      <c r="U3" s="5">
        <v>0</v>
      </c>
      <c r="V3" s="6">
        <v>0</v>
      </c>
      <c r="W3" s="5"/>
      <c r="X3" s="6">
        <v>34569</v>
      </c>
      <c r="Y3" s="8">
        <v>10916</v>
      </c>
      <c r="Z3" s="7">
        <v>31.6</v>
      </c>
      <c r="AA3" s="5" t="s">
        <v>60</v>
      </c>
      <c r="AB3" s="5">
        <v>0</v>
      </c>
      <c r="AC3" s="5">
        <v>0</v>
      </c>
      <c r="AD3" s="7">
        <v>0</v>
      </c>
      <c r="AE3" s="5">
        <v>0</v>
      </c>
      <c r="AF3" s="7">
        <v>0</v>
      </c>
      <c r="AG3" s="5">
        <v>4</v>
      </c>
      <c r="AH3" s="5" t="s">
        <v>61</v>
      </c>
      <c r="AI3" s="5" t="s">
        <v>62</v>
      </c>
      <c r="AJ3" s="5">
        <v>1</v>
      </c>
      <c r="AK3" s="5">
        <v>24</v>
      </c>
      <c r="AL3" s="5" t="s">
        <v>51</v>
      </c>
    </row>
    <row r="4" spans="1:38" ht="16.05" customHeight="1">
      <c r="A4" s="1" t="s">
        <v>63</v>
      </c>
      <c r="B4" s="22">
        <v>45517</v>
      </c>
      <c r="C4" s="1" t="s">
        <v>64</v>
      </c>
      <c r="D4" s="1" t="s">
        <v>65</v>
      </c>
      <c r="E4" s="1" t="s">
        <v>66</v>
      </c>
      <c r="F4" s="1" t="s">
        <v>67</v>
      </c>
      <c r="G4" s="1" t="s">
        <v>68</v>
      </c>
      <c r="H4" s="1" t="s">
        <v>69</v>
      </c>
      <c r="I4" s="1" t="s">
        <v>46</v>
      </c>
      <c r="J4" s="1" t="s">
        <v>47</v>
      </c>
      <c r="K4" s="1">
        <v>6</v>
      </c>
      <c r="L4" s="2">
        <v>4696</v>
      </c>
      <c r="M4" s="2">
        <v>3353</v>
      </c>
      <c r="N4" s="3">
        <v>28.6</v>
      </c>
      <c r="O4" s="2">
        <v>20118</v>
      </c>
      <c r="P4" s="2">
        <v>3305.6</v>
      </c>
      <c r="Q4" s="2">
        <v>0</v>
      </c>
      <c r="R4" s="2">
        <v>117.66</v>
      </c>
      <c r="S4" s="2">
        <v>8705.91</v>
      </c>
      <c r="T4" s="2">
        <v>472.93</v>
      </c>
      <c r="U4" s="1">
        <v>0</v>
      </c>
      <c r="V4" s="2">
        <v>0</v>
      </c>
      <c r="W4" s="1"/>
      <c r="X4" s="2">
        <v>20118</v>
      </c>
      <c r="Y4" s="4">
        <v>7515.9</v>
      </c>
      <c r="Z4" s="3">
        <v>37.4</v>
      </c>
      <c r="AA4" s="1" t="s">
        <v>48</v>
      </c>
      <c r="AB4" s="1">
        <v>9882</v>
      </c>
      <c r="AC4" s="1">
        <v>493</v>
      </c>
      <c r="AD4" s="3">
        <v>4.99</v>
      </c>
      <c r="AE4" s="1">
        <v>51</v>
      </c>
      <c r="AF4" s="3">
        <v>0.3</v>
      </c>
      <c r="AG4" s="1">
        <v>4</v>
      </c>
      <c r="AH4" s="1" t="s">
        <v>61</v>
      </c>
      <c r="AI4" s="1" t="s">
        <v>70</v>
      </c>
      <c r="AJ4" s="1">
        <v>3</v>
      </c>
      <c r="AK4" s="1">
        <v>8</v>
      </c>
      <c r="AL4" s="9" t="s">
        <v>71</v>
      </c>
    </row>
    <row r="5" spans="1:38" ht="16.05" customHeight="1">
      <c r="A5" s="5" t="s">
        <v>72</v>
      </c>
      <c r="B5" s="23">
        <v>44980</v>
      </c>
      <c r="C5" s="5"/>
      <c r="D5" s="5" t="s">
        <v>65</v>
      </c>
      <c r="E5" s="5" t="s">
        <v>73</v>
      </c>
      <c r="F5" s="5" t="s">
        <v>74</v>
      </c>
      <c r="G5" s="5" t="s">
        <v>75</v>
      </c>
      <c r="H5" s="5" t="s">
        <v>76</v>
      </c>
      <c r="I5" s="5" t="s">
        <v>46</v>
      </c>
      <c r="J5" s="5" t="s">
        <v>77</v>
      </c>
      <c r="K5" s="5">
        <v>1</v>
      </c>
      <c r="L5" s="6">
        <v>3322</v>
      </c>
      <c r="M5" s="6">
        <v>3009</v>
      </c>
      <c r="N5" s="7">
        <v>9.4</v>
      </c>
      <c r="O5" s="6">
        <v>3009</v>
      </c>
      <c r="P5" s="6">
        <v>437.66</v>
      </c>
      <c r="Q5" s="6">
        <v>0</v>
      </c>
      <c r="R5" s="6">
        <v>43.27</v>
      </c>
      <c r="S5" s="6">
        <v>1267.93</v>
      </c>
      <c r="T5" s="6">
        <v>8.58</v>
      </c>
      <c r="U5" s="5">
        <v>0</v>
      </c>
      <c r="V5" s="6">
        <v>0</v>
      </c>
      <c r="W5" s="5"/>
      <c r="X5" s="6">
        <v>3009</v>
      </c>
      <c r="Y5" s="8">
        <v>1251.56</v>
      </c>
      <c r="Z5" s="7">
        <v>41.6</v>
      </c>
      <c r="AA5" s="5" t="s">
        <v>78</v>
      </c>
      <c r="AB5" s="5">
        <v>13857</v>
      </c>
      <c r="AC5" s="5">
        <v>860</v>
      </c>
      <c r="AD5" s="7">
        <v>6.21</v>
      </c>
      <c r="AE5" s="5">
        <v>147</v>
      </c>
      <c r="AF5" s="7">
        <v>0</v>
      </c>
      <c r="AG5" s="5"/>
      <c r="AH5" s="5" t="s">
        <v>49</v>
      </c>
      <c r="AI5" s="5" t="s">
        <v>79</v>
      </c>
      <c r="AJ5" s="5">
        <v>3</v>
      </c>
      <c r="AK5" s="5">
        <v>123</v>
      </c>
      <c r="AL5" s="5" t="s">
        <v>51</v>
      </c>
    </row>
    <row r="6" spans="1:38" ht="16.05" customHeight="1">
      <c r="A6" s="1" t="s">
        <v>80</v>
      </c>
      <c r="B6" s="22">
        <v>45076</v>
      </c>
      <c r="C6" s="1"/>
      <c r="D6" s="1" t="s">
        <v>81</v>
      </c>
      <c r="E6" s="1" t="s">
        <v>82</v>
      </c>
      <c r="F6" s="1" t="s">
        <v>43</v>
      </c>
      <c r="G6" s="1" t="s">
        <v>83</v>
      </c>
      <c r="H6" s="1" t="s">
        <v>84</v>
      </c>
      <c r="I6" s="1" t="s">
        <v>59</v>
      </c>
      <c r="J6" s="1" t="s">
        <v>85</v>
      </c>
      <c r="K6" s="1">
        <v>8</v>
      </c>
      <c r="L6" s="2">
        <v>694</v>
      </c>
      <c r="M6" s="2">
        <v>634</v>
      </c>
      <c r="N6" s="3">
        <v>8.6</v>
      </c>
      <c r="O6" s="2">
        <v>5072</v>
      </c>
      <c r="P6" s="2">
        <v>527.16999999999996</v>
      </c>
      <c r="Q6" s="2">
        <v>253.6</v>
      </c>
      <c r="R6" s="2">
        <v>0</v>
      </c>
      <c r="S6" s="2">
        <v>2583.6999999999998</v>
      </c>
      <c r="T6" s="2">
        <v>0</v>
      </c>
      <c r="U6" s="1">
        <v>0</v>
      </c>
      <c r="V6" s="2">
        <v>0</v>
      </c>
      <c r="W6" s="1"/>
      <c r="X6" s="2">
        <v>5072</v>
      </c>
      <c r="Y6" s="4">
        <v>1707.53</v>
      </c>
      <c r="Z6" s="3">
        <v>33.700000000000003</v>
      </c>
      <c r="AA6" s="1" t="s">
        <v>60</v>
      </c>
      <c r="AB6" s="1">
        <v>0</v>
      </c>
      <c r="AC6" s="1">
        <v>0</v>
      </c>
      <c r="AD6" s="3">
        <v>0</v>
      </c>
      <c r="AE6" s="1">
        <v>0</v>
      </c>
      <c r="AF6" s="3">
        <v>0</v>
      </c>
      <c r="AG6" s="1"/>
      <c r="AH6" s="1" t="s">
        <v>49</v>
      </c>
      <c r="AI6" s="1" t="s">
        <v>86</v>
      </c>
      <c r="AJ6" s="1">
        <v>1</v>
      </c>
      <c r="AK6" s="1">
        <v>38</v>
      </c>
      <c r="AL6" s="1" t="s">
        <v>51</v>
      </c>
    </row>
    <row r="7" spans="1:38" ht="16.05" customHeight="1">
      <c r="A7" s="5" t="s">
        <v>87</v>
      </c>
      <c r="B7" s="23">
        <v>44952</v>
      </c>
      <c r="C7" s="5" t="s">
        <v>89</v>
      </c>
      <c r="D7" s="5" t="s">
        <v>81</v>
      </c>
      <c r="E7" s="5" t="s">
        <v>90</v>
      </c>
      <c r="F7" s="5" t="s">
        <v>91</v>
      </c>
      <c r="G7" s="5" t="s">
        <v>92</v>
      </c>
      <c r="H7" s="5" t="s">
        <v>93</v>
      </c>
      <c r="I7" s="5" t="s">
        <v>59</v>
      </c>
      <c r="J7" s="5" t="s">
        <v>47</v>
      </c>
      <c r="K7" s="5">
        <v>8</v>
      </c>
      <c r="L7" s="6">
        <v>3184</v>
      </c>
      <c r="M7" s="6">
        <v>2464</v>
      </c>
      <c r="N7" s="7">
        <v>22.6</v>
      </c>
      <c r="O7" s="6">
        <v>19712</v>
      </c>
      <c r="P7" s="6">
        <v>2121.52</v>
      </c>
      <c r="Q7" s="6">
        <v>985.6</v>
      </c>
      <c r="R7" s="6">
        <v>0</v>
      </c>
      <c r="S7" s="6">
        <v>8830.17</v>
      </c>
      <c r="T7" s="6">
        <v>94.56</v>
      </c>
      <c r="U7" s="5">
        <v>0</v>
      </c>
      <c r="V7" s="6">
        <v>0</v>
      </c>
      <c r="W7" s="5"/>
      <c r="X7" s="6">
        <v>19712</v>
      </c>
      <c r="Y7" s="8">
        <v>7680.15</v>
      </c>
      <c r="Z7" s="7">
        <v>39</v>
      </c>
      <c r="AA7" s="5" t="s">
        <v>94</v>
      </c>
      <c r="AB7" s="5">
        <v>1084</v>
      </c>
      <c r="AC7" s="5">
        <v>12</v>
      </c>
      <c r="AD7" s="7">
        <v>1.1100000000000001</v>
      </c>
      <c r="AE7" s="5">
        <v>2</v>
      </c>
      <c r="AF7" s="7">
        <v>1.9</v>
      </c>
      <c r="AG7" s="5">
        <v>4</v>
      </c>
      <c r="AH7" s="5" t="s">
        <v>49</v>
      </c>
      <c r="AI7" s="5" t="s">
        <v>95</v>
      </c>
      <c r="AJ7" s="5">
        <v>1</v>
      </c>
      <c r="AK7" s="5">
        <v>130</v>
      </c>
      <c r="AL7" s="5" t="s">
        <v>51</v>
      </c>
    </row>
    <row r="8" spans="1:38" ht="16.05" customHeight="1">
      <c r="A8" s="1" t="s">
        <v>96</v>
      </c>
      <c r="B8" s="22">
        <v>45135</v>
      </c>
      <c r="C8" s="1" t="s">
        <v>97</v>
      </c>
      <c r="D8" s="1" t="s">
        <v>98</v>
      </c>
      <c r="E8" s="1" t="s">
        <v>99</v>
      </c>
      <c r="F8" s="1" t="s">
        <v>100</v>
      </c>
      <c r="G8" s="1" t="s">
        <v>101</v>
      </c>
      <c r="H8" s="1" t="s">
        <v>102</v>
      </c>
      <c r="I8" s="1" t="s">
        <v>46</v>
      </c>
      <c r="J8" s="1" t="s">
        <v>103</v>
      </c>
      <c r="K8" s="1">
        <v>8</v>
      </c>
      <c r="L8" s="2">
        <v>4410</v>
      </c>
      <c r="M8" s="2">
        <v>3674</v>
      </c>
      <c r="N8" s="3">
        <v>16.7</v>
      </c>
      <c r="O8" s="2">
        <v>29392</v>
      </c>
      <c r="P8" s="2">
        <v>4755.3100000000004</v>
      </c>
      <c r="Q8" s="2">
        <v>0</v>
      </c>
      <c r="R8" s="2">
        <v>66.2</v>
      </c>
      <c r="S8" s="2">
        <v>15029.93</v>
      </c>
      <c r="T8" s="2">
        <v>324.98</v>
      </c>
      <c r="U8" s="1">
        <v>4</v>
      </c>
      <c r="V8" s="2">
        <v>14696</v>
      </c>
      <c r="W8" s="1" t="s">
        <v>104</v>
      </c>
      <c r="X8" s="2">
        <v>14696</v>
      </c>
      <c r="Y8" s="10">
        <v>-5480.42</v>
      </c>
      <c r="Z8" s="3">
        <v>-37.299999999999997</v>
      </c>
      <c r="AA8" s="1" t="s">
        <v>94</v>
      </c>
      <c r="AB8" s="1">
        <v>14557</v>
      </c>
      <c r="AC8" s="1">
        <v>1082</v>
      </c>
      <c r="AD8" s="3">
        <v>7.43</v>
      </c>
      <c r="AE8" s="1">
        <v>82</v>
      </c>
      <c r="AF8" s="3">
        <v>0.1</v>
      </c>
      <c r="AG8" s="1"/>
      <c r="AH8" s="1" t="s">
        <v>49</v>
      </c>
      <c r="AI8" s="1" t="s">
        <v>105</v>
      </c>
      <c r="AJ8" s="1">
        <v>4</v>
      </c>
      <c r="AK8" s="1">
        <v>94</v>
      </c>
      <c r="AL8" s="1" t="s">
        <v>51</v>
      </c>
    </row>
    <row r="9" spans="1:38" ht="16.05" customHeight="1">
      <c r="A9" s="5" t="s">
        <v>106</v>
      </c>
      <c r="B9" s="23">
        <v>45624</v>
      </c>
      <c r="C9" s="5" t="s">
        <v>107</v>
      </c>
      <c r="D9" s="5" t="s">
        <v>65</v>
      </c>
      <c r="E9" s="5" t="s">
        <v>108</v>
      </c>
      <c r="F9" s="5" t="s">
        <v>91</v>
      </c>
      <c r="G9" s="5" t="s">
        <v>109</v>
      </c>
      <c r="H9" s="5" t="s">
        <v>110</v>
      </c>
      <c r="I9" s="5" t="s">
        <v>46</v>
      </c>
      <c r="J9" s="5" t="s">
        <v>103</v>
      </c>
      <c r="K9" s="5">
        <v>2</v>
      </c>
      <c r="L9" s="6">
        <v>1516</v>
      </c>
      <c r="M9" s="6">
        <v>1100</v>
      </c>
      <c r="N9" s="7">
        <v>27.4</v>
      </c>
      <c r="O9" s="6">
        <v>2200</v>
      </c>
      <c r="P9" s="6">
        <v>206.26</v>
      </c>
      <c r="Q9" s="6">
        <v>0</v>
      </c>
      <c r="R9" s="6">
        <v>113.66</v>
      </c>
      <c r="S9" s="6">
        <v>1113.33</v>
      </c>
      <c r="T9" s="6">
        <v>106.06</v>
      </c>
      <c r="U9" s="5">
        <v>2</v>
      </c>
      <c r="V9" s="6">
        <v>2200</v>
      </c>
      <c r="W9" s="5" t="s">
        <v>111</v>
      </c>
      <c r="X9" s="6">
        <v>0</v>
      </c>
      <c r="Y9" s="11">
        <v>-1539.31</v>
      </c>
      <c r="Z9" s="7">
        <v>0</v>
      </c>
      <c r="AA9" s="5" t="s">
        <v>60</v>
      </c>
      <c r="AB9" s="5">
        <v>10414</v>
      </c>
      <c r="AC9" s="5">
        <v>703</v>
      </c>
      <c r="AD9" s="7">
        <v>6.75</v>
      </c>
      <c r="AE9" s="5">
        <v>14</v>
      </c>
      <c r="AF9" s="7">
        <v>0.7</v>
      </c>
      <c r="AG9" s="5"/>
      <c r="AH9" s="5" t="s">
        <v>49</v>
      </c>
      <c r="AI9" s="5" t="s">
        <v>112</v>
      </c>
      <c r="AJ9" s="5">
        <v>3</v>
      </c>
      <c r="AK9" s="5">
        <v>30</v>
      </c>
      <c r="AL9" s="5" t="s">
        <v>51</v>
      </c>
    </row>
    <row r="10" spans="1:38" ht="16.05" customHeight="1">
      <c r="A10" s="1" t="s">
        <v>113</v>
      </c>
      <c r="B10" s="22">
        <v>45581</v>
      </c>
      <c r="C10" s="1"/>
      <c r="D10" s="1" t="s">
        <v>98</v>
      </c>
      <c r="E10" s="1" t="s">
        <v>114</v>
      </c>
      <c r="F10" s="1" t="s">
        <v>115</v>
      </c>
      <c r="G10" s="1" t="s">
        <v>116</v>
      </c>
      <c r="H10" s="1" t="s">
        <v>117</v>
      </c>
      <c r="I10" s="1" t="s">
        <v>59</v>
      </c>
      <c r="J10" s="1" t="s">
        <v>85</v>
      </c>
      <c r="K10" s="1">
        <v>2</v>
      </c>
      <c r="L10" s="2">
        <v>4422</v>
      </c>
      <c r="M10" s="2">
        <v>3428</v>
      </c>
      <c r="N10" s="3">
        <v>22.5</v>
      </c>
      <c r="O10" s="2">
        <v>6856</v>
      </c>
      <c r="P10" s="2">
        <v>794.97</v>
      </c>
      <c r="Q10" s="2">
        <v>342.8</v>
      </c>
      <c r="R10" s="2">
        <v>0</v>
      </c>
      <c r="S10" s="2">
        <v>2065.5100000000002</v>
      </c>
      <c r="T10" s="2">
        <v>368.42</v>
      </c>
      <c r="U10" s="1">
        <v>0</v>
      </c>
      <c r="V10" s="2">
        <v>0</v>
      </c>
      <c r="W10" s="1"/>
      <c r="X10" s="2">
        <v>6856</v>
      </c>
      <c r="Y10" s="4">
        <v>3284.3</v>
      </c>
      <c r="Z10" s="3">
        <v>47.9</v>
      </c>
      <c r="AA10" s="1" t="s">
        <v>60</v>
      </c>
      <c r="AB10" s="1">
        <v>12763</v>
      </c>
      <c r="AC10" s="1">
        <v>873</v>
      </c>
      <c r="AD10" s="3">
        <v>6.84</v>
      </c>
      <c r="AE10" s="1">
        <v>38</v>
      </c>
      <c r="AF10" s="3">
        <v>0.3</v>
      </c>
      <c r="AG10" s="1"/>
      <c r="AH10" s="1" t="s">
        <v>49</v>
      </c>
      <c r="AI10" s="1" t="s">
        <v>118</v>
      </c>
      <c r="AJ10" s="1">
        <v>2</v>
      </c>
      <c r="AK10" s="1">
        <v>136</v>
      </c>
      <c r="AL10" s="1" t="s">
        <v>51</v>
      </c>
    </row>
    <row r="11" spans="1:38" ht="16.05" customHeight="1">
      <c r="A11" s="5" t="s">
        <v>119</v>
      </c>
      <c r="B11" s="23">
        <v>45005</v>
      </c>
      <c r="C11" s="5" t="s">
        <v>120</v>
      </c>
      <c r="D11" s="5" t="s">
        <v>65</v>
      </c>
      <c r="E11" s="5" t="s">
        <v>73</v>
      </c>
      <c r="F11" s="5" t="s">
        <v>67</v>
      </c>
      <c r="G11" s="5" t="s">
        <v>121</v>
      </c>
      <c r="H11" s="5" t="s">
        <v>122</v>
      </c>
      <c r="I11" s="5" t="s">
        <v>59</v>
      </c>
      <c r="J11" s="5" t="s">
        <v>47</v>
      </c>
      <c r="K11" s="5">
        <v>5</v>
      </c>
      <c r="L11" s="6">
        <v>4123</v>
      </c>
      <c r="M11" s="6">
        <v>3852</v>
      </c>
      <c r="N11" s="7">
        <v>6.6</v>
      </c>
      <c r="O11" s="6">
        <v>19260</v>
      </c>
      <c r="P11" s="6">
        <v>2760.29</v>
      </c>
      <c r="Q11" s="6">
        <v>963</v>
      </c>
      <c r="R11" s="6">
        <v>0</v>
      </c>
      <c r="S11" s="6">
        <v>8996.6200000000008</v>
      </c>
      <c r="T11" s="6">
        <v>271.43</v>
      </c>
      <c r="U11" s="5">
        <v>0</v>
      </c>
      <c r="V11" s="6">
        <v>0</v>
      </c>
      <c r="W11" s="5"/>
      <c r="X11" s="6">
        <v>19260</v>
      </c>
      <c r="Y11" s="8">
        <v>6268.66</v>
      </c>
      <c r="Z11" s="7">
        <v>32.5</v>
      </c>
      <c r="AA11" s="5" t="s">
        <v>94</v>
      </c>
      <c r="AB11" s="5">
        <v>1238</v>
      </c>
      <c r="AC11" s="5">
        <v>80</v>
      </c>
      <c r="AD11" s="7">
        <v>6.46</v>
      </c>
      <c r="AE11" s="5">
        <v>12</v>
      </c>
      <c r="AF11" s="7">
        <v>0.6</v>
      </c>
      <c r="AG11" s="5">
        <v>2</v>
      </c>
      <c r="AH11" s="5" t="s">
        <v>61</v>
      </c>
      <c r="AI11" s="5" t="s">
        <v>86</v>
      </c>
      <c r="AJ11" s="5">
        <v>3</v>
      </c>
      <c r="AK11" s="5">
        <v>123</v>
      </c>
      <c r="AL11" s="5" t="s">
        <v>51</v>
      </c>
    </row>
    <row r="12" spans="1:38" ht="16.05" customHeight="1">
      <c r="A12" s="1" t="s">
        <v>123</v>
      </c>
      <c r="B12" s="22">
        <v>45135</v>
      </c>
      <c r="C12" s="1"/>
      <c r="D12" s="1" t="s">
        <v>54</v>
      </c>
      <c r="E12" s="1" t="s">
        <v>124</v>
      </c>
      <c r="F12" s="1" t="s">
        <v>125</v>
      </c>
      <c r="G12" s="1" t="s">
        <v>126</v>
      </c>
      <c r="H12" s="1" t="s">
        <v>127</v>
      </c>
      <c r="I12" s="1" t="s">
        <v>46</v>
      </c>
      <c r="J12" s="1" t="s">
        <v>85</v>
      </c>
      <c r="K12" s="1">
        <v>10</v>
      </c>
      <c r="L12" s="2">
        <v>2055</v>
      </c>
      <c r="M12" s="2">
        <v>1777</v>
      </c>
      <c r="N12" s="3">
        <v>13.5</v>
      </c>
      <c r="O12" s="2">
        <v>17770</v>
      </c>
      <c r="P12" s="2">
        <v>2410.89</v>
      </c>
      <c r="Q12" s="2">
        <v>0</v>
      </c>
      <c r="R12" s="2">
        <v>47.61</v>
      </c>
      <c r="S12" s="2">
        <v>8058.14</v>
      </c>
      <c r="T12" s="2">
        <v>105.85</v>
      </c>
      <c r="U12" s="1">
        <v>0</v>
      </c>
      <c r="V12" s="2">
        <v>0</v>
      </c>
      <c r="W12" s="1"/>
      <c r="X12" s="2">
        <v>17770</v>
      </c>
      <c r="Y12" s="4">
        <v>7147.51</v>
      </c>
      <c r="Z12" s="3">
        <v>40.200000000000003</v>
      </c>
      <c r="AA12" s="1" t="s">
        <v>78</v>
      </c>
      <c r="AB12" s="1">
        <v>11042</v>
      </c>
      <c r="AC12" s="1">
        <v>694</v>
      </c>
      <c r="AD12" s="3">
        <v>6.29</v>
      </c>
      <c r="AE12" s="1">
        <v>84</v>
      </c>
      <c r="AF12" s="3">
        <v>0.1</v>
      </c>
      <c r="AG12" s="1"/>
      <c r="AH12" s="1" t="s">
        <v>49</v>
      </c>
      <c r="AI12" s="1" t="s">
        <v>105</v>
      </c>
      <c r="AJ12" s="1">
        <v>6</v>
      </c>
      <c r="AK12" s="1">
        <v>48</v>
      </c>
      <c r="AL12" s="1" t="s">
        <v>51</v>
      </c>
    </row>
    <row r="13" spans="1:38" ht="16.05" customHeight="1">
      <c r="A13" s="5" t="s">
        <v>128</v>
      </c>
      <c r="B13" s="23">
        <v>45442</v>
      </c>
      <c r="C13" s="5" t="s">
        <v>129</v>
      </c>
      <c r="D13" s="5" t="s">
        <v>54</v>
      </c>
      <c r="E13" s="5" t="s">
        <v>124</v>
      </c>
      <c r="F13" s="5" t="s">
        <v>56</v>
      </c>
      <c r="G13" s="5" t="s">
        <v>130</v>
      </c>
      <c r="H13" s="5" t="s">
        <v>131</v>
      </c>
      <c r="I13" s="5" t="s">
        <v>59</v>
      </c>
      <c r="J13" s="5" t="s">
        <v>47</v>
      </c>
      <c r="K13" s="5">
        <v>6</v>
      </c>
      <c r="L13" s="6">
        <v>3416</v>
      </c>
      <c r="M13" s="6">
        <v>3101</v>
      </c>
      <c r="N13" s="7">
        <v>9.1999999999999993</v>
      </c>
      <c r="O13" s="6">
        <v>18606</v>
      </c>
      <c r="P13" s="6">
        <v>2468.64</v>
      </c>
      <c r="Q13" s="6">
        <v>930.3</v>
      </c>
      <c r="R13" s="6">
        <v>0</v>
      </c>
      <c r="S13" s="6">
        <v>6694.98</v>
      </c>
      <c r="T13" s="6">
        <v>151.22999999999999</v>
      </c>
      <c r="U13" s="5">
        <v>0</v>
      </c>
      <c r="V13" s="6">
        <v>0</v>
      </c>
      <c r="W13" s="5"/>
      <c r="X13" s="6">
        <v>18606</v>
      </c>
      <c r="Y13" s="8">
        <v>8360.85</v>
      </c>
      <c r="Z13" s="7">
        <v>44.9</v>
      </c>
      <c r="AA13" s="5" t="s">
        <v>94</v>
      </c>
      <c r="AB13" s="5">
        <v>8361</v>
      </c>
      <c r="AC13" s="5">
        <v>611</v>
      </c>
      <c r="AD13" s="7">
        <v>7.31</v>
      </c>
      <c r="AE13" s="5">
        <v>87</v>
      </c>
      <c r="AF13" s="7">
        <v>0.1</v>
      </c>
      <c r="AG13" s="5">
        <v>3</v>
      </c>
      <c r="AH13" s="5" t="s">
        <v>49</v>
      </c>
      <c r="AI13" s="5" t="s">
        <v>86</v>
      </c>
      <c r="AJ13" s="5">
        <v>1</v>
      </c>
      <c r="AK13" s="5">
        <v>75</v>
      </c>
      <c r="AL13" s="5" t="s">
        <v>51</v>
      </c>
    </row>
    <row r="14" spans="1:38" ht="16.05" customHeight="1">
      <c r="A14" s="1" t="s">
        <v>132</v>
      </c>
      <c r="B14" s="22">
        <v>45523</v>
      </c>
      <c r="C14" s="1"/>
      <c r="D14" s="1" t="s">
        <v>65</v>
      </c>
      <c r="E14" s="1" t="s">
        <v>108</v>
      </c>
      <c r="F14" s="1" t="s">
        <v>100</v>
      </c>
      <c r="G14" s="1" t="s">
        <v>134</v>
      </c>
      <c r="H14" s="1" t="s">
        <v>135</v>
      </c>
      <c r="I14" s="1" t="s">
        <v>46</v>
      </c>
      <c r="J14" s="1" t="s">
        <v>136</v>
      </c>
      <c r="K14" s="1">
        <v>8</v>
      </c>
      <c r="L14" s="2">
        <v>2552</v>
      </c>
      <c r="M14" s="2">
        <v>2031</v>
      </c>
      <c r="N14" s="3">
        <v>20.399999999999999</v>
      </c>
      <c r="O14" s="2">
        <v>16248</v>
      </c>
      <c r="P14" s="2">
        <v>1575.33</v>
      </c>
      <c r="Q14" s="2">
        <v>0</v>
      </c>
      <c r="R14" s="2">
        <v>64.95</v>
      </c>
      <c r="S14" s="2">
        <v>5935.09</v>
      </c>
      <c r="T14" s="2">
        <v>305.77999999999997</v>
      </c>
      <c r="U14" s="1">
        <v>0</v>
      </c>
      <c r="V14" s="2">
        <v>0</v>
      </c>
      <c r="W14" s="1"/>
      <c r="X14" s="2">
        <v>16248</v>
      </c>
      <c r="Y14" s="4">
        <v>8366.85</v>
      </c>
      <c r="Z14" s="3">
        <v>51.5</v>
      </c>
      <c r="AA14" s="1" t="s">
        <v>60</v>
      </c>
      <c r="AB14" s="1">
        <v>5499</v>
      </c>
      <c r="AC14" s="1">
        <v>155</v>
      </c>
      <c r="AD14" s="3">
        <v>2.82</v>
      </c>
      <c r="AE14" s="1">
        <v>28</v>
      </c>
      <c r="AF14" s="3">
        <v>0.5</v>
      </c>
      <c r="AG14" s="1"/>
      <c r="AH14" s="1" t="s">
        <v>49</v>
      </c>
      <c r="AI14" s="1" t="s">
        <v>112</v>
      </c>
      <c r="AJ14" s="1">
        <v>6</v>
      </c>
      <c r="AK14" s="1">
        <v>174</v>
      </c>
      <c r="AL14" s="1" t="s">
        <v>51</v>
      </c>
    </row>
    <row r="15" spans="1:38" ht="16.05" customHeight="1">
      <c r="A15" s="5" t="s">
        <v>137</v>
      </c>
      <c r="B15" s="23">
        <v>45508</v>
      </c>
      <c r="C15" s="5" t="s">
        <v>138</v>
      </c>
      <c r="D15" s="5" t="s">
        <v>81</v>
      </c>
      <c r="E15" s="5" t="s">
        <v>139</v>
      </c>
      <c r="F15" s="5" t="s">
        <v>91</v>
      </c>
      <c r="G15" s="5" t="s">
        <v>140</v>
      </c>
      <c r="H15" s="5" t="s">
        <v>141</v>
      </c>
      <c r="I15" s="5" t="s">
        <v>59</v>
      </c>
      <c r="J15" s="5" t="s">
        <v>47</v>
      </c>
      <c r="K15" s="5">
        <v>6</v>
      </c>
      <c r="L15" s="6">
        <v>1909</v>
      </c>
      <c r="M15" s="6">
        <v>1395</v>
      </c>
      <c r="N15" s="7">
        <v>26.9</v>
      </c>
      <c r="O15" s="6">
        <v>8370</v>
      </c>
      <c r="P15" s="6">
        <v>1254.3900000000001</v>
      </c>
      <c r="Q15" s="6">
        <v>418.5</v>
      </c>
      <c r="R15" s="6">
        <v>0</v>
      </c>
      <c r="S15" s="6">
        <v>2611.1799999999998</v>
      </c>
      <c r="T15" s="6">
        <v>0</v>
      </c>
      <c r="U15" s="5">
        <v>0</v>
      </c>
      <c r="V15" s="6">
        <v>0</v>
      </c>
      <c r="W15" s="5"/>
      <c r="X15" s="6">
        <v>8370</v>
      </c>
      <c r="Y15" s="8">
        <v>4085.93</v>
      </c>
      <c r="Z15" s="7">
        <v>48.8</v>
      </c>
      <c r="AA15" s="5" t="s">
        <v>60</v>
      </c>
      <c r="AB15" s="5">
        <v>0</v>
      </c>
      <c r="AC15" s="5">
        <v>0</v>
      </c>
      <c r="AD15" s="7">
        <v>0</v>
      </c>
      <c r="AE15" s="5">
        <v>0</v>
      </c>
      <c r="AF15" s="7">
        <v>0</v>
      </c>
      <c r="AG15" s="5">
        <v>1</v>
      </c>
      <c r="AH15" s="5" t="s">
        <v>49</v>
      </c>
      <c r="AI15" s="5" t="s">
        <v>105</v>
      </c>
      <c r="AJ15" s="5">
        <v>1</v>
      </c>
      <c r="AK15" s="5">
        <v>169</v>
      </c>
      <c r="AL15" s="5" t="s">
        <v>51</v>
      </c>
    </row>
    <row r="16" spans="1:38" ht="16.05" customHeight="1">
      <c r="A16" s="1" t="s">
        <v>142</v>
      </c>
      <c r="B16" s="22">
        <v>45189</v>
      </c>
      <c r="C16" s="1" t="s">
        <v>143</v>
      </c>
      <c r="D16" s="1" t="s">
        <v>144</v>
      </c>
      <c r="E16" s="1" t="s">
        <v>145</v>
      </c>
      <c r="F16" s="1" t="s">
        <v>125</v>
      </c>
      <c r="G16" s="1" t="s">
        <v>146</v>
      </c>
      <c r="H16" s="1" t="s">
        <v>147</v>
      </c>
      <c r="I16" s="1" t="s">
        <v>46</v>
      </c>
      <c r="J16" s="1" t="s">
        <v>47</v>
      </c>
      <c r="K16" s="1">
        <v>9</v>
      </c>
      <c r="L16" s="2">
        <v>3238</v>
      </c>
      <c r="M16" s="2">
        <v>2454</v>
      </c>
      <c r="N16" s="3">
        <v>24.2</v>
      </c>
      <c r="O16" s="2">
        <v>22086</v>
      </c>
      <c r="P16" s="2">
        <v>3356.45</v>
      </c>
      <c r="Q16" s="2">
        <v>0</v>
      </c>
      <c r="R16" s="2">
        <v>82.76</v>
      </c>
      <c r="S16" s="2">
        <v>7217.51</v>
      </c>
      <c r="T16" s="2">
        <v>465.87</v>
      </c>
      <c r="U16" s="1">
        <v>0</v>
      </c>
      <c r="V16" s="2">
        <v>0</v>
      </c>
      <c r="W16" s="1"/>
      <c r="X16" s="2">
        <v>22086</v>
      </c>
      <c r="Y16" s="4">
        <v>10963.41</v>
      </c>
      <c r="Z16" s="3">
        <v>49.6</v>
      </c>
      <c r="AA16" s="1" t="s">
        <v>60</v>
      </c>
      <c r="AB16" s="1">
        <v>857</v>
      </c>
      <c r="AC16" s="1">
        <v>15</v>
      </c>
      <c r="AD16" s="3">
        <v>1.75</v>
      </c>
      <c r="AE16" s="1">
        <v>0</v>
      </c>
      <c r="AF16" s="3">
        <v>0</v>
      </c>
      <c r="AG16" s="1">
        <v>3</v>
      </c>
      <c r="AH16" s="1" t="s">
        <v>61</v>
      </c>
      <c r="AI16" s="1" t="s">
        <v>118</v>
      </c>
      <c r="AJ16" s="1">
        <v>6</v>
      </c>
      <c r="AK16" s="1">
        <v>71</v>
      </c>
      <c r="AL16" s="1" t="s">
        <v>51</v>
      </c>
    </row>
    <row r="17" spans="1:38" ht="16.05" customHeight="1">
      <c r="A17" s="5" t="s">
        <v>148</v>
      </c>
      <c r="B17" s="23">
        <v>45342</v>
      </c>
      <c r="C17" s="5" t="s">
        <v>149</v>
      </c>
      <c r="D17" s="5" t="s">
        <v>54</v>
      </c>
      <c r="E17" s="5" t="s">
        <v>150</v>
      </c>
      <c r="F17" s="5" t="s">
        <v>56</v>
      </c>
      <c r="G17" s="5" t="s">
        <v>151</v>
      </c>
      <c r="H17" s="5" t="s">
        <v>152</v>
      </c>
      <c r="I17" s="5" t="s">
        <v>59</v>
      </c>
      <c r="J17" s="5" t="s">
        <v>47</v>
      </c>
      <c r="K17" s="5">
        <v>10</v>
      </c>
      <c r="L17" s="6">
        <v>4770</v>
      </c>
      <c r="M17" s="6">
        <v>4197</v>
      </c>
      <c r="N17" s="7">
        <v>12</v>
      </c>
      <c r="O17" s="6">
        <v>41970</v>
      </c>
      <c r="P17" s="6">
        <v>4108.87</v>
      </c>
      <c r="Q17" s="6">
        <v>2098.5</v>
      </c>
      <c r="R17" s="6">
        <v>0</v>
      </c>
      <c r="S17" s="6">
        <v>16270.56</v>
      </c>
      <c r="T17" s="6">
        <v>106.5</v>
      </c>
      <c r="U17" s="5">
        <v>0</v>
      </c>
      <c r="V17" s="6">
        <v>0</v>
      </c>
      <c r="W17" s="5"/>
      <c r="X17" s="6">
        <v>41970</v>
      </c>
      <c r="Y17" s="8">
        <v>19385.57</v>
      </c>
      <c r="Z17" s="7">
        <v>46.2</v>
      </c>
      <c r="AA17" s="5" t="s">
        <v>78</v>
      </c>
      <c r="AB17" s="5">
        <v>1361</v>
      </c>
      <c r="AC17" s="5">
        <v>104</v>
      </c>
      <c r="AD17" s="7">
        <v>7.64</v>
      </c>
      <c r="AE17" s="5">
        <v>17</v>
      </c>
      <c r="AF17" s="7">
        <v>0.1</v>
      </c>
      <c r="AG17" s="5">
        <v>2</v>
      </c>
      <c r="AH17" s="5" t="s">
        <v>49</v>
      </c>
      <c r="AI17" s="5" t="s">
        <v>153</v>
      </c>
      <c r="AJ17" s="5">
        <v>2</v>
      </c>
      <c r="AK17" s="5">
        <v>163</v>
      </c>
      <c r="AL17" s="5" t="s">
        <v>51</v>
      </c>
    </row>
    <row r="18" spans="1:38" ht="16.05" customHeight="1">
      <c r="A18" s="1" t="s">
        <v>154</v>
      </c>
      <c r="B18" s="22">
        <v>45387</v>
      </c>
      <c r="C18" s="1"/>
      <c r="D18" s="1" t="s">
        <v>98</v>
      </c>
      <c r="E18" s="1" t="s">
        <v>155</v>
      </c>
      <c r="F18" s="1" t="s">
        <v>43</v>
      </c>
      <c r="G18" s="1" t="s">
        <v>156</v>
      </c>
      <c r="H18" s="1" t="s">
        <v>157</v>
      </c>
      <c r="I18" s="1" t="s">
        <v>46</v>
      </c>
      <c r="J18" s="1" t="s">
        <v>85</v>
      </c>
      <c r="K18" s="1">
        <v>7</v>
      </c>
      <c r="L18" s="2">
        <v>3034</v>
      </c>
      <c r="M18" s="2">
        <v>2197</v>
      </c>
      <c r="N18" s="3">
        <v>27.6</v>
      </c>
      <c r="O18" s="2">
        <v>15379</v>
      </c>
      <c r="P18" s="2">
        <v>1488.68</v>
      </c>
      <c r="Q18" s="2">
        <v>0</v>
      </c>
      <c r="R18" s="2">
        <v>87.54</v>
      </c>
      <c r="S18" s="2">
        <v>7713.7</v>
      </c>
      <c r="T18" s="2">
        <v>0</v>
      </c>
      <c r="U18" s="1">
        <v>0</v>
      </c>
      <c r="V18" s="2">
        <v>0</v>
      </c>
      <c r="W18" s="1"/>
      <c r="X18" s="2">
        <v>15379</v>
      </c>
      <c r="Y18" s="4">
        <v>6089.08</v>
      </c>
      <c r="Z18" s="3">
        <v>39.6</v>
      </c>
      <c r="AA18" s="1" t="s">
        <v>60</v>
      </c>
      <c r="AB18" s="1">
        <v>0</v>
      </c>
      <c r="AC18" s="1">
        <v>0</v>
      </c>
      <c r="AD18" s="3">
        <v>0</v>
      </c>
      <c r="AE18" s="1">
        <v>0</v>
      </c>
      <c r="AF18" s="3">
        <v>0</v>
      </c>
      <c r="AG18" s="1"/>
      <c r="AH18" s="1" t="s">
        <v>49</v>
      </c>
      <c r="AI18" s="1" t="s">
        <v>112</v>
      </c>
      <c r="AJ18" s="1">
        <v>5</v>
      </c>
      <c r="AK18" s="1">
        <v>190</v>
      </c>
      <c r="AL18" s="1" t="s">
        <v>51</v>
      </c>
    </row>
    <row r="19" spans="1:38" ht="16.05" customHeight="1">
      <c r="A19" s="5" t="s">
        <v>158</v>
      </c>
      <c r="B19" s="23">
        <v>45196</v>
      </c>
      <c r="C19" s="5" t="s">
        <v>159</v>
      </c>
      <c r="D19" s="5" t="s">
        <v>41</v>
      </c>
      <c r="E19" s="5" t="s">
        <v>160</v>
      </c>
      <c r="F19" s="5" t="s">
        <v>74</v>
      </c>
      <c r="G19" s="5" t="s">
        <v>161</v>
      </c>
      <c r="H19" s="5" t="s">
        <v>162</v>
      </c>
      <c r="I19" s="5" t="s">
        <v>59</v>
      </c>
      <c r="J19" s="5" t="s">
        <v>47</v>
      </c>
      <c r="K19" s="5">
        <v>1</v>
      </c>
      <c r="L19" s="6">
        <v>4844</v>
      </c>
      <c r="M19" s="6">
        <v>4065</v>
      </c>
      <c r="N19" s="7">
        <v>16.100000000000001</v>
      </c>
      <c r="O19" s="6">
        <v>4065</v>
      </c>
      <c r="P19" s="6">
        <v>639.61</v>
      </c>
      <c r="Q19" s="6">
        <v>203.25</v>
      </c>
      <c r="R19" s="6">
        <v>0</v>
      </c>
      <c r="S19" s="6">
        <v>1649.49</v>
      </c>
      <c r="T19" s="6">
        <v>424.55</v>
      </c>
      <c r="U19" s="5">
        <v>0</v>
      </c>
      <c r="V19" s="6">
        <v>0</v>
      </c>
      <c r="W19" s="5"/>
      <c r="X19" s="6">
        <v>4065</v>
      </c>
      <c r="Y19" s="8">
        <v>1148.0999999999999</v>
      </c>
      <c r="Z19" s="7">
        <v>28.2</v>
      </c>
      <c r="AA19" s="5" t="s">
        <v>94</v>
      </c>
      <c r="AB19" s="5">
        <v>3874</v>
      </c>
      <c r="AC19" s="5">
        <v>228</v>
      </c>
      <c r="AD19" s="7">
        <v>5.89</v>
      </c>
      <c r="AE19" s="5">
        <v>14</v>
      </c>
      <c r="AF19" s="7">
        <v>0.7</v>
      </c>
      <c r="AG19" s="5">
        <v>1</v>
      </c>
      <c r="AH19" s="5" t="s">
        <v>49</v>
      </c>
      <c r="AI19" s="5" t="s">
        <v>163</v>
      </c>
      <c r="AJ19" s="5">
        <v>1</v>
      </c>
      <c r="AK19" s="5">
        <v>78</v>
      </c>
      <c r="AL19" s="5" t="s">
        <v>51</v>
      </c>
    </row>
    <row r="20" spans="1:38" ht="16.05" customHeight="1">
      <c r="A20" s="1" t="s">
        <v>164</v>
      </c>
      <c r="B20" s="22">
        <v>45265</v>
      </c>
      <c r="C20" s="1" t="s">
        <v>165</v>
      </c>
      <c r="D20" s="1" t="s">
        <v>144</v>
      </c>
      <c r="E20" s="1" t="s">
        <v>166</v>
      </c>
      <c r="F20" s="1" t="s">
        <v>125</v>
      </c>
      <c r="G20" s="1" t="s">
        <v>167</v>
      </c>
      <c r="H20" s="1" t="s">
        <v>168</v>
      </c>
      <c r="I20" s="1" t="s">
        <v>46</v>
      </c>
      <c r="J20" s="1" t="s">
        <v>47</v>
      </c>
      <c r="K20" s="1">
        <v>7</v>
      </c>
      <c r="L20" s="2">
        <v>2521</v>
      </c>
      <c r="M20" s="2">
        <v>2023</v>
      </c>
      <c r="N20" s="3">
        <v>19.8</v>
      </c>
      <c r="O20" s="2">
        <v>14161</v>
      </c>
      <c r="P20" s="2">
        <v>1398.2</v>
      </c>
      <c r="Q20" s="2">
        <v>0</v>
      </c>
      <c r="R20" s="2">
        <v>103.47</v>
      </c>
      <c r="S20" s="2">
        <v>4304.9399999999996</v>
      </c>
      <c r="T20" s="2">
        <v>0</v>
      </c>
      <c r="U20" s="1">
        <v>0</v>
      </c>
      <c r="V20" s="2">
        <v>0</v>
      </c>
      <c r="W20" s="1"/>
      <c r="X20" s="2">
        <v>14161</v>
      </c>
      <c r="Y20" s="4">
        <v>8354.39</v>
      </c>
      <c r="Z20" s="3">
        <v>59</v>
      </c>
      <c r="AA20" s="1" t="s">
        <v>60</v>
      </c>
      <c r="AB20" s="1">
        <v>0</v>
      </c>
      <c r="AC20" s="1">
        <v>0</v>
      </c>
      <c r="AD20" s="3">
        <v>0</v>
      </c>
      <c r="AE20" s="1">
        <v>0</v>
      </c>
      <c r="AF20" s="3">
        <v>0</v>
      </c>
      <c r="AG20" s="1">
        <v>5</v>
      </c>
      <c r="AH20" s="1" t="s">
        <v>61</v>
      </c>
      <c r="AI20" s="1" t="s">
        <v>118</v>
      </c>
      <c r="AJ20" s="1">
        <v>5</v>
      </c>
      <c r="AK20" s="1">
        <v>143</v>
      </c>
      <c r="AL20" s="1" t="s">
        <v>51</v>
      </c>
    </row>
    <row r="21" spans="1:38" ht="16.05" customHeight="1">
      <c r="A21" s="5" t="s">
        <v>169</v>
      </c>
      <c r="B21" s="23">
        <v>45406</v>
      </c>
      <c r="C21" s="5"/>
      <c r="D21" s="5" t="s">
        <v>54</v>
      </c>
      <c r="E21" s="5" t="s">
        <v>150</v>
      </c>
      <c r="F21" s="5" t="s">
        <v>115</v>
      </c>
      <c r="G21" s="5" t="s">
        <v>170</v>
      </c>
      <c r="H21" s="5" t="s">
        <v>171</v>
      </c>
      <c r="I21" s="5" t="s">
        <v>46</v>
      </c>
      <c r="J21" s="5" t="s">
        <v>77</v>
      </c>
      <c r="K21" s="5">
        <v>1</v>
      </c>
      <c r="L21" s="6">
        <v>850</v>
      </c>
      <c r="M21" s="6">
        <v>673</v>
      </c>
      <c r="N21" s="7">
        <v>20.8</v>
      </c>
      <c r="O21" s="6">
        <v>673</v>
      </c>
      <c r="P21" s="6">
        <v>118.56</v>
      </c>
      <c r="Q21" s="6">
        <v>0</v>
      </c>
      <c r="R21" s="6">
        <v>46.5</v>
      </c>
      <c r="S21" s="6">
        <v>355.89</v>
      </c>
      <c r="T21" s="6">
        <v>468.06</v>
      </c>
      <c r="U21" s="5">
        <v>0</v>
      </c>
      <c r="V21" s="6">
        <v>0</v>
      </c>
      <c r="W21" s="5"/>
      <c r="X21" s="6">
        <v>673</v>
      </c>
      <c r="Y21" s="11">
        <v>-316.01</v>
      </c>
      <c r="Z21" s="7">
        <v>-47</v>
      </c>
      <c r="AA21" s="5" t="s">
        <v>78</v>
      </c>
      <c r="AB21" s="5">
        <v>2378</v>
      </c>
      <c r="AC21" s="5">
        <v>187</v>
      </c>
      <c r="AD21" s="7">
        <v>7.86</v>
      </c>
      <c r="AE21" s="5">
        <v>23</v>
      </c>
      <c r="AF21" s="7">
        <v>3</v>
      </c>
      <c r="AG21" s="5"/>
      <c r="AH21" s="5" t="s">
        <v>49</v>
      </c>
      <c r="AI21" s="5" t="s">
        <v>62</v>
      </c>
      <c r="AJ21" s="5">
        <v>7</v>
      </c>
      <c r="AK21" s="5">
        <v>65</v>
      </c>
      <c r="AL21" s="5" t="s">
        <v>51</v>
      </c>
    </row>
    <row r="22" spans="1:38" ht="16.05" customHeight="1">
      <c r="A22" s="1" t="s">
        <v>172</v>
      </c>
      <c r="B22" s="22">
        <v>44942</v>
      </c>
      <c r="C22" s="1"/>
      <c r="D22" s="1" t="s">
        <v>144</v>
      </c>
      <c r="E22" s="1" t="s">
        <v>173</v>
      </c>
      <c r="F22" s="1" t="s">
        <v>115</v>
      </c>
      <c r="G22" s="1" t="s">
        <v>174</v>
      </c>
      <c r="H22" s="1" t="s">
        <v>175</v>
      </c>
      <c r="I22" s="1" t="s">
        <v>59</v>
      </c>
      <c r="J22" s="1" t="s">
        <v>136</v>
      </c>
      <c r="K22" s="1">
        <v>3</v>
      </c>
      <c r="L22" s="2">
        <v>3316</v>
      </c>
      <c r="M22" s="2">
        <v>2782</v>
      </c>
      <c r="N22" s="3">
        <v>16.100000000000001</v>
      </c>
      <c r="O22" s="2">
        <v>8346</v>
      </c>
      <c r="P22" s="2">
        <v>1420.42</v>
      </c>
      <c r="Q22" s="2">
        <v>417.3</v>
      </c>
      <c r="R22" s="2">
        <v>0</v>
      </c>
      <c r="S22" s="2">
        <v>2892.71</v>
      </c>
      <c r="T22" s="2">
        <v>429.53</v>
      </c>
      <c r="U22" s="1">
        <v>0</v>
      </c>
      <c r="V22" s="2">
        <v>0</v>
      </c>
      <c r="W22" s="1"/>
      <c r="X22" s="2">
        <v>8346</v>
      </c>
      <c r="Y22" s="4">
        <v>3186.04</v>
      </c>
      <c r="Z22" s="3">
        <v>38.200000000000003</v>
      </c>
      <c r="AA22" s="1" t="s">
        <v>94</v>
      </c>
      <c r="AB22" s="1">
        <v>13512</v>
      </c>
      <c r="AC22" s="1">
        <v>71</v>
      </c>
      <c r="AD22" s="3">
        <v>0.53</v>
      </c>
      <c r="AE22" s="1">
        <v>12</v>
      </c>
      <c r="AF22" s="3">
        <v>1.3</v>
      </c>
      <c r="AG22" s="1"/>
      <c r="AH22" s="1" t="s">
        <v>49</v>
      </c>
      <c r="AI22" s="1" t="s">
        <v>176</v>
      </c>
      <c r="AJ22" s="1">
        <v>3</v>
      </c>
      <c r="AK22" s="1">
        <v>111</v>
      </c>
      <c r="AL22" s="1" t="s">
        <v>51</v>
      </c>
    </row>
    <row r="23" spans="1:38" ht="16.05" customHeight="1">
      <c r="A23" s="5" t="s">
        <v>177</v>
      </c>
      <c r="B23" s="23">
        <v>45584</v>
      </c>
      <c r="C23" s="5"/>
      <c r="D23" s="5" t="s">
        <v>65</v>
      </c>
      <c r="E23" s="5" t="s">
        <v>179</v>
      </c>
      <c r="F23" s="5" t="s">
        <v>91</v>
      </c>
      <c r="G23" s="5" t="s">
        <v>180</v>
      </c>
      <c r="H23" s="5" t="s">
        <v>181</v>
      </c>
      <c r="I23" s="5" t="s">
        <v>59</v>
      </c>
      <c r="J23" s="5" t="s">
        <v>136</v>
      </c>
      <c r="K23" s="5">
        <v>5</v>
      </c>
      <c r="L23" s="6">
        <v>1247</v>
      </c>
      <c r="M23" s="6">
        <v>1058</v>
      </c>
      <c r="N23" s="7">
        <v>15.2</v>
      </c>
      <c r="O23" s="6">
        <v>5290</v>
      </c>
      <c r="P23" s="6">
        <v>901.71</v>
      </c>
      <c r="Q23" s="6">
        <v>264.5</v>
      </c>
      <c r="R23" s="6">
        <v>0</v>
      </c>
      <c r="S23" s="6">
        <v>1725.31</v>
      </c>
      <c r="T23" s="6">
        <v>340.73</v>
      </c>
      <c r="U23" s="5">
        <v>0</v>
      </c>
      <c r="V23" s="6">
        <v>0</v>
      </c>
      <c r="W23" s="5"/>
      <c r="X23" s="6">
        <v>5290</v>
      </c>
      <c r="Y23" s="8">
        <v>2057.75</v>
      </c>
      <c r="Z23" s="7">
        <v>38.9</v>
      </c>
      <c r="AA23" s="5" t="s">
        <v>94</v>
      </c>
      <c r="AB23" s="5">
        <v>2418</v>
      </c>
      <c r="AC23" s="5">
        <v>141</v>
      </c>
      <c r="AD23" s="7">
        <v>5.83</v>
      </c>
      <c r="AE23" s="5">
        <v>18</v>
      </c>
      <c r="AF23" s="7">
        <v>1.8</v>
      </c>
      <c r="AG23" s="5"/>
      <c r="AH23" s="5" t="s">
        <v>49</v>
      </c>
      <c r="AI23" s="5" t="s">
        <v>79</v>
      </c>
      <c r="AJ23" s="5">
        <v>1</v>
      </c>
      <c r="AK23" s="5">
        <v>78</v>
      </c>
      <c r="AL23" s="5" t="s">
        <v>51</v>
      </c>
    </row>
    <row r="24" spans="1:38" ht="16.05" customHeight="1">
      <c r="A24" s="1" t="s">
        <v>182</v>
      </c>
      <c r="B24" s="22">
        <v>45357</v>
      </c>
      <c r="C24" s="1" t="s">
        <v>184</v>
      </c>
      <c r="D24" s="1" t="s">
        <v>81</v>
      </c>
      <c r="E24" s="1" t="s">
        <v>185</v>
      </c>
      <c r="F24" s="1" t="s">
        <v>115</v>
      </c>
      <c r="G24" s="1" t="s">
        <v>186</v>
      </c>
      <c r="H24" s="1" t="s">
        <v>187</v>
      </c>
      <c r="I24" s="1" t="s">
        <v>46</v>
      </c>
      <c r="J24" s="1" t="s">
        <v>47</v>
      </c>
      <c r="K24" s="1">
        <v>8</v>
      </c>
      <c r="L24" s="2">
        <v>4091</v>
      </c>
      <c r="M24" s="2">
        <v>3590</v>
      </c>
      <c r="N24" s="3">
        <v>12.2</v>
      </c>
      <c r="O24" s="2">
        <v>28720</v>
      </c>
      <c r="P24" s="2">
        <v>4030.73</v>
      </c>
      <c r="Q24" s="2">
        <v>0</v>
      </c>
      <c r="R24" s="2">
        <v>76.98</v>
      </c>
      <c r="S24" s="2">
        <v>11347.06</v>
      </c>
      <c r="T24" s="2">
        <v>215.88</v>
      </c>
      <c r="U24" s="1">
        <v>0</v>
      </c>
      <c r="V24" s="2">
        <v>0</v>
      </c>
      <c r="W24" s="1"/>
      <c r="X24" s="2">
        <v>28720</v>
      </c>
      <c r="Y24" s="4">
        <v>13049.35</v>
      </c>
      <c r="Z24" s="3">
        <v>45.4</v>
      </c>
      <c r="AA24" s="1" t="s">
        <v>60</v>
      </c>
      <c r="AB24" s="1">
        <v>908</v>
      </c>
      <c r="AC24" s="1">
        <v>22</v>
      </c>
      <c r="AD24" s="3">
        <v>2.42</v>
      </c>
      <c r="AE24" s="1">
        <v>1</v>
      </c>
      <c r="AF24" s="3">
        <v>6</v>
      </c>
      <c r="AG24" s="1">
        <v>3</v>
      </c>
      <c r="AH24" s="1" t="s">
        <v>61</v>
      </c>
      <c r="AI24" s="1" t="s">
        <v>70</v>
      </c>
      <c r="AJ24" s="1">
        <v>6</v>
      </c>
      <c r="AK24" s="1">
        <v>28</v>
      </c>
      <c r="AL24" s="1" t="s">
        <v>51</v>
      </c>
    </row>
    <row r="25" spans="1:38" ht="16.05" customHeight="1">
      <c r="A25" s="5" t="s">
        <v>188</v>
      </c>
      <c r="B25" s="23">
        <v>45024</v>
      </c>
      <c r="C25" s="5" t="s">
        <v>190</v>
      </c>
      <c r="D25" s="5" t="s">
        <v>54</v>
      </c>
      <c r="E25" s="5" t="s">
        <v>191</v>
      </c>
      <c r="F25" s="5" t="s">
        <v>74</v>
      </c>
      <c r="G25" s="5" t="s">
        <v>192</v>
      </c>
      <c r="H25" s="5" t="s">
        <v>193</v>
      </c>
      <c r="I25" s="5" t="s">
        <v>59</v>
      </c>
      <c r="J25" s="5" t="s">
        <v>47</v>
      </c>
      <c r="K25" s="5">
        <v>5</v>
      </c>
      <c r="L25" s="6">
        <v>2374</v>
      </c>
      <c r="M25" s="6">
        <v>1744</v>
      </c>
      <c r="N25" s="7">
        <v>26.5</v>
      </c>
      <c r="O25" s="6">
        <v>8720</v>
      </c>
      <c r="P25" s="6">
        <v>755.83</v>
      </c>
      <c r="Q25" s="6">
        <v>436</v>
      </c>
      <c r="R25" s="6">
        <v>0</v>
      </c>
      <c r="S25" s="6">
        <v>2618.2199999999998</v>
      </c>
      <c r="T25" s="6">
        <v>0</v>
      </c>
      <c r="U25" s="5">
        <v>0</v>
      </c>
      <c r="V25" s="6">
        <v>0</v>
      </c>
      <c r="W25" s="5"/>
      <c r="X25" s="6">
        <v>8720</v>
      </c>
      <c r="Y25" s="8">
        <v>4909.95</v>
      </c>
      <c r="Z25" s="7">
        <v>56.3</v>
      </c>
      <c r="AA25" s="5" t="s">
        <v>60</v>
      </c>
      <c r="AB25" s="5">
        <v>0</v>
      </c>
      <c r="AC25" s="5">
        <v>0</v>
      </c>
      <c r="AD25" s="7">
        <v>0</v>
      </c>
      <c r="AE25" s="5">
        <v>0</v>
      </c>
      <c r="AF25" s="7">
        <v>0</v>
      </c>
      <c r="AG25" s="5">
        <v>4</v>
      </c>
      <c r="AH25" s="5" t="s">
        <v>49</v>
      </c>
      <c r="AI25" s="5" t="s">
        <v>86</v>
      </c>
      <c r="AJ25" s="5">
        <v>3</v>
      </c>
      <c r="AK25" s="5">
        <v>59</v>
      </c>
      <c r="AL25" s="5" t="s">
        <v>51</v>
      </c>
    </row>
    <row r="26" spans="1:38" ht="16.05" customHeight="1">
      <c r="A26" s="1" t="s">
        <v>194</v>
      </c>
      <c r="B26" s="22">
        <v>45392</v>
      </c>
      <c r="C26" s="1" t="s">
        <v>195</v>
      </c>
      <c r="D26" s="1" t="s">
        <v>81</v>
      </c>
      <c r="E26" s="1" t="s">
        <v>196</v>
      </c>
      <c r="F26" s="1" t="s">
        <v>197</v>
      </c>
      <c r="G26" s="1" t="s">
        <v>198</v>
      </c>
      <c r="H26" s="1" t="s">
        <v>199</v>
      </c>
      <c r="I26" s="1" t="s">
        <v>59</v>
      </c>
      <c r="J26" s="1" t="s">
        <v>47</v>
      </c>
      <c r="K26" s="1">
        <v>2</v>
      </c>
      <c r="L26" s="2">
        <v>1308</v>
      </c>
      <c r="M26" s="2">
        <v>934</v>
      </c>
      <c r="N26" s="3">
        <v>28.6</v>
      </c>
      <c r="O26" s="2">
        <v>1868</v>
      </c>
      <c r="P26" s="2">
        <v>264.82</v>
      </c>
      <c r="Q26" s="2">
        <v>93.4</v>
      </c>
      <c r="R26" s="2">
        <v>0</v>
      </c>
      <c r="S26" s="2">
        <v>700.93</v>
      </c>
      <c r="T26" s="2">
        <v>0</v>
      </c>
      <c r="U26" s="1">
        <v>0</v>
      </c>
      <c r="V26" s="2">
        <v>0</v>
      </c>
      <c r="W26" s="1"/>
      <c r="X26" s="2">
        <v>1868</v>
      </c>
      <c r="Y26" s="4">
        <v>808.85</v>
      </c>
      <c r="Z26" s="3">
        <v>43.3</v>
      </c>
      <c r="AA26" s="1" t="s">
        <v>60</v>
      </c>
      <c r="AB26" s="1">
        <v>0</v>
      </c>
      <c r="AC26" s="1">
        <v>0</v>
      </c>
      <c r="AD26" s="3">
        <v>0</v>
      </c>
      <c r="AE26" s="1">
        <v>0</v>
      </c>
      <c r="AF26" s="3">
        <v>0</v>
      </c>
      <c r="AG26" s="1">
        <v>4</v>
      </c>
      <c r="AH26" s="1" t="s">
        <v>49</v>
      </c>
      <c r="AI26" s="1" t="s">
        <v>163</v>
      </c>
      <c r="AJ26" s="1">
        <v>2</v>
      </c>
      <c r="AK26" s="1">
        <v>55</v>
      </c>
      <c r="AL26" s="1" t="s">
        <v>51</v>
      </c>
    </row>
    <row r="27" spans="1:38" ht="16.05" customHeight="1">
      <c r="A27" s="5" t="s">
        <v>200</v>
      </c>
      <c r="B27" s="23">
        <v>45368</v>
      </c>
      <c r="C27" s="5" t="s">
        <v>201</v>
      </c>
      <c r="D27" s="5" t="s">
        <v>41</v>
      </c>
      <c r="E27" s="5" t="s">
        <v>202</v>
      </c>
      <c r="F27" s="5" t="s">
        <v>203</v>
      </c>
      <c r="G27" s="5" t="s">
        <v>204</v>
      </c>
      <c r="H27" s="5" t="s">
        <v>205</v>
      </c>
      <c r="I27" s="5" t="s">
        <v>59</v>
      </c>
      <c r="J27" s="5" t="s">
        <v>103</v>
      </c>
      <c r="K27" s="5">
        <v>1</v>
      </c>
      <c r="L27" s="6">
        <v>1662</v>
      </c>
      <c r="M27" s="6">
        <v>1436</v>
      </c>
      <c r="N27" s="7">
        <v>13.6</v>
      </c>
      <c r="O27" s="6">
        <v>1436</v>
      </c>
      <c r="P27" s="6">
        <v>166.33</v>
      </c>
      <c r="Q27" s="6">
        <v>71.8</v>
      </c>
      <c r="R27" s="6">
        <v>0</v>
      </c>
      <c r="S27" s="6">
        <v>655.23</v>
      </c>
      <c r="T27" s="6">
        <v>467.63</v>
      </c>
      <c r="U27" s="5">
        <v>0</v>
      </c>
      <c r="V27" s="6">
        <v>0</v>
      </c>
      <c r="W27" s="5" t="s">
        <v>206</v>
      </c>
      <c r="X27" s="6">
        <v>1436</v>
      </c>
      <c r="Y27" s="8">
        <v>75.010000000000005</v>
      </c>
      <c r="Z27" s="7">
        <v>5.2</v>
      </c>
      <c r="AA27" s="5" t="s">
        <v>60</v>
      </c>
      <c r="AB27" s="5">
        <v>8716</v>
      </c>
      <c r="AC27" s="5">
        <v>497</v>
      </c>
      <c r="AD27" s="7">
        <v>5.7</v>
      </c>
      <c r="AE27" s="5">
        <v>15</v>
      </c>
      <c r="AF27" s="7">
        <v>2.2000000000000002</v>
      </c>
      <c r="AG27" s="5"/>
      <c r="AH27" s="5" t="s">
        <v>49</v>
      </c>
      <c r="AI27" s="5" t="s">
        <v>176</v>
      </c>
      <c r="AJ27" s="5">
        <v>2</v>
      </c>
      <c r="AK27" s="5">
        <v>199</v>
      </c>
      <c r="AL27" s="5" t="s">
        <v>51</v>
      </c>
    </row>
    <row r="28" spans="1:38" ht="16.05" customHeight="1">
      <c r="A28" s="1" t="s">
        <v>207</v>
      </c>
      <c r="B28" s="22">
        <v>45609</v>
      </c>
      <c r="C28" s="1" t="s">
        <v>208</v>
      </c>
      <c r="D28" s="1" t="s">
        <v>81</v>
      </c>
      <c r="E28" s="1" t="s">
        <v>196</v>
      </c>
      <c r="F28" s="1" t="s">
        <v>209</v>
      </c>
      <c r="G28" s="1" t="s">
        <v>210</v>
      </c>
      <c r="H28" s="1" t="s">
        <v>211</v>
      </c>
      <c r="I28" s="1" t="s">
        <v>46</v>
      </c>
      <c r="J28" s="1" t="s">
        <v>47</v>
      </c>
      <c r="K28" s="1">
        <v>10</v>
      </c>
      <c r="L28" s="2">
        <v>1254</v>
      </c>
      <c r="M28" s="2">
        <v>1000</v>
      </c>
      <c r="N28" s="3">
        <v>20.3</v>
      </c>
      <c r="O28" s="2">
        <v>10000</v>
      </c>
      <c r="P28" s="2">
        <v>1746.71</v>
      </c>
      <c r="Q28" s="2">
        <v>0</v>
      </c>
      <c r="R28" s="2">
        <v>33.06</v>
      </c>
      <c r="S28" s="2">
        <v>4007.43</v>
      </c>
      <c r="T28" s="2">
        <v>474.9</v>
      </c>
      <c r="U28" s="1">
        <v>0</v>
      </c>
      <c r="V28" s="2">
        <v>0</v>
      </c>
      <c r="W28" s="1"/>
      <c r="X28" s="2">
        <v>10000</v>
      </c>
      <c r="Y28" s="4">
        <v>3737.9</v>
      </c>
      <c r="Z28" s="3">
        <v>37.4</v>
      </c>
      <c r="AA28" s="1" t="s">
        <v>60</v>
      </c>
      <c r="AB28" s="1">
        <v>12963</v>
      </c>
      <c r="AC28" s="1">
        <v>630</v>
      </c>
      <c r="AD28" s="3">
        <v>4.8600000000000003</v>
      </c>
      <c r="AE28" s="1">
        <v>10</v>
      </c>
      <c r="AF28" s="3">
        <v>4.7</v>
      </c>
      <c r="AG28" s="1">
        <v>3</v>
      </c>
      <c r="AH28" s="1" t="s">
        <v>61</v>
      </c>
      <c r="AI28" s="1" t="s">
        <v>112</v>
      </c>
      <c r="AJ28" s="1">
        <v>4</v>
      </c>
      <c r="AK28" s="1">
        <v>97</v>
      </c>
      <c r="AL28" s="1" t="s">
        <v>51</v>
      </c>
    </row>
    <row r="29" spans="1:38" ht="16.05" customHeight="1">
      <c r="A29" s="5" t="s">
        <v>212</v>
      </c>
      <c r="B29" s="23">
        <v>45447</v>
      </c>
      <c r="C29" s="5"/>
      <c r="D29" s="5" t="s">
        <v>41</v>
      </c>
      <c r="E29" s="5" t="s">
        <v>213</v>
      </c>
      <c r="F29" s="5" t="s">
        <v>43</v>
      </c>
      <c r="G29" s="5" t="s">
        <v>214</v>
      </c>
      <c r="H29" s="5" t="s">
        <v>215</v>
      </c>
      <c r="I29" s="5" t="s">
        <v>46</v>
      </c>
      <c r="J29" s="5" t="s">
        <v>136</v>
      </c>
      <c r="K29" s="5">
        <v>7</v>
      </c>
      <c r="L29" s="6">
        <v>3845</v>
      </c>
      <c r="M29" s="6">
        <v>3414</v>
      </c>
      <c r="N29" s="7">
        <v>11.2</v>
      </c>
      <c r="O29" s="6">
        <v>23898</v>
      </c>
      <c r="P29" s="6">
        <v>3317.54</v>
      </c>
      <c r="Q29" s="6">
        <v>0</v>
      </c>
      <c r="R29" s="6">
        <v>67.86</v>
      </c>
      <c r="S29" s="6">
        <v>9698.61</v>
      </c>
      <c r="T29" s="6">
        <v>433.83</v>
      </c>
      <c r="U29" s="5">
        <v>0</v>
      </c>
      <c r="V29" s="6">
        <v>0</v>
      </c>
      <c r="W29" s="5"/>
      <c r="X29" s="6">
        <v>23898</v>
      </c>
      <c r="Y29" s="8">
        <v>10380.16</v>
      </c>
      <c r="Z29" s="7">
        <v>43.4</v>
      </c>
      <c r="AA29" s="5" t="s">
        <v>48</v>
      </c>
      <c r="AB29" s="5">
        <v>638</v>
      </c>
      <c r="AC29" s="5">
        <v>48</v>
      </c>
      <c r="AD29" s="7">
        <v>7.52</v>
      </c>
      <c r="AE29" s="5">
        <v>0</v>
      </c>
      <c r="AF29" s="7">
        <v>0</v>
      </c>
      <c r="AG29" s="5"/>
      <c r="AH29" s="5" t="s">
        <v>49</v>
      </c>
      <c r="AI29" s="5" t="s">
        <v>50</v>
      </c>
      <c r="AJ29" s="5">
        <v>3</v>
      </c>
      <c r="AK29" s="5">
        <v>198</v>
      </c>
      <c r="AL29" s="5" t="s">
        <v>51</v>
      </c>
    </row>
    <row r="30" spans="1:38" ht="16.05" customHeight="1">
      <c r="A30" s="1" t="s">
        <v>216</v>
      </c>
      <c r="B30" s="22">
        <v>45411</v>
      </c>
      <c r="C30" s="1" t="s">
        <v>217</v>
      </c>
      <c r="D30" s="1" t="s">
        <v>41</v>
      </c>
      <c r="E30" s="1" t="s">
        <v>42</v>
      </c>
      <c r="F30" s="1" t="s">
        <v>125</v>
      </c>
      <c r="G30" s="1" t="s">
        <v>218</v>
      </c>
      <c r="H30" s="1" t="s">
        <v>219</v>
      </c>
      <c r="I30" s="1" t="s">
        <v>46</v>
      </c>
      <c r="J30" s="1" t="s">
        <v>47</v>
      </c>
      <c r="K30" s="1">
        <v>6</v>
      </c>
      <c r="L30" s="2">
        <v>4862</v>
      </c>
      <c r="M30" s="2">
        <v>4348</v>
      </c>
      <c r="N30" s="3">
        <v>10.6</v>
      </c>
      <c r="O30" s="2">
        <v>26088</v>
      </c>
      <c r="P30" s="2">
        <v>3051.05</v>
      </c>
      <c r="Q30" s="2">
        <v>0</v>
      </c>
      <c r="R30" s="2">
        <v>84.56</v>
      </c>
      <c r="S30" s="2">
        <v>8695.5499999999993</v>
      </c>
      <c r="T30" s="2">
        <v>79.319999999999993</v>
      </c>
      <c r="U30" s="1">
        <v>0</v>
      </c>
      <c r="V30" s="2">
        <v>0</v>
      </c>
      <c r="W30" s="1"/>
      <c r="X30" s="2">
        <v>26088</v>
      </c>
      <c r="Y30" s="4">
        <v>14177.52</v>
      </c>
      <c r="Z30" s="3">
        <v>54.3</v>
      </c>
      <c r="AA30" s="1" t="s">
        <v>60</v>
      </c>
      <c r="AB30" s="1">
        <v>13758</v>
      </c>
      <c r="AC30" s="1">
        <v>835</v>
      </c>
      <c r="AD30" s="3">
        <v>6.07</v>
      </c>
      <c r="AE30" s="1">
        <v>47</v>
      </c>
      <c r="AF30" s="3">
        <v>0</v>
      </c>
      <c r="AG30" s="1">
        <v>3</v>
      </c>
      <c r="AH30" s="1" t="s">
        <v>61</v>
      </c>
      <c r="AI30" s="1" t="s">
        <v>112</v>
      </c>
      <c r="AJ30" s="1">
        <v>3</v>
      </c>
      <c r="AK30" s="1">
        <v>195</v>
      </c>
      <c r="AL30" s="1" t="s">
        <v>51</v>
      </c>
    </row>
    <row r="31" spans="1:38" ht="16.05" customHeight="1">
      <c r="A31" s="5" t="s">
        <v>220</v>
      </c>
      <c r="B31" s="23">
        <v>45441</v>
      </c>
      <c r="C31" s="5" t="s">
        <v>129</v>
      </c>
      <c r="D31" s="5" t="s">
        <v>54</v>
      </c>
      <c r="E31" s="5" t="s">
        <v>221</v>
      </c>
      <c r="F31" s="5" t="s">
        <v>222</v>
      </c>
      <c r="G31" s="5" t="s">
        <v>223</v>
      </c>
      <c r="H31" s="5" t="s">
        <v>224</v>
      </c>
      <c r="I31" s="5" t="s">
        <v>59</v>
      </c>
      <c r="J31" s="5" t="s">
        <v>47</v>
      </c>
      <c r="K31" s="5">
        <v>7</v>
      </c>
      <c r="L31" s="6">
        <v>781</v>
      </c>
      <c r="M31" s="6">
        <v>577</v>
      </c>
      <c r="N31" s="7">
        <v>26.1</v>
      </c>
      <c r="O31" s="6">
        <v>4039</v>
      </c>
      <c r="P31" s="6">
        <v>329.94</v>
      </c>
      <c r="Q31" s="6">
        <v>201.95</v>
      </c>
      <c r="R31" s="6">
        <v>0</v>
      </c>
      <c r="S31" s="6">
        <v>1450.09</v>
      </c>
      <c r="T31" s="6">
        <v>319.18</v>
      </c>
      <c r="U31" s="5">
        <v>0</v>
      </c>
      <c r="V31" s="6">
        <v>0</v>
      </c>
      <c r="W31" s="5"/>
      <c r="X31" s="6">
        <v>4039</v>
      </c>
      <c r="Y31" s="8">
        <v>1737.84</v>
      </c>
      <c r="Z31" s="7">
        <v>43</v>
      </c>
      <c r="AA31" s="5" t="s">
        <v>94</v>
      </c>
      <c r="AB31" s="5">
        <v>11017</v>
      </c>
      <c r="AC31" s="5">
        <v>63</v>
      </c>
      <c r="AD31" s="7">
        <v>0.56999999999999995</v>
      </c>
      <c r="AE31" s="5">
        <v>10</v>
      </c>
      <c r="AF31" s="7">
        <v>5.5</v>
      </c>
      <c r="AG31" s="5">
        <v>1</v>
      </c>
      <c r="AH31" s="5" t="s">
        <v>61</v>
      </c>
      <c r="AI31" s="5" t="s">
        <v>118</v>
      </c>
      <c r="AJ31" s="5">
        <v>2</v>
      </c>
      <c r="AK31" s="5">
        <v>132</v>
      </c>
      <c r="AL31" s="5" t="s">
        <v>51</v>
      </c>
    </row>
    <row r="32" spans="1:38" ht="16.05" customHeight="1">
      <c r="A32" s="1" t="s">
        <v>225</v>
      </c>
      <c r="B32" s="22">
        <v>45430</v>
      </c>
      <c r="C32" s="1" t="s">
        <v>226</v>
      </c>
      <c r="D32" s="1" t="s">
        <v>65</v>
      </c>
      <c r="E32" s="1" t="s">
        <v>66</v>
      </c>
      <c r="F32" s="1" t="s">
        <v>227</v>
      </c>
      <c r="G32" s="1" t="s">
        <v>228</v>
      </c>
      <c r="H32" s="1" t="s">
        <v>229</v>
      </c>
      <c r="I32" s="1" t="s">
        <v>59</v>
      </c>
      <c r="J32" s="1" t="s">
        <v>47</v>
      </c>
      <c r="K32" s="1">
        <v>1</v>
      </c>
      <c r="L32" s="2">
        <v>670</v>
      </c>
      <c r="M32" s="2">
        <v>564</v>
      </c>
      <c r="N32" s="3">
        <v>15.8</v>
      </c>
      <c r="O32" s="2">
        <v>564</v>
      </c>
      <c r="P32" s="2">
        <v>54.9</v>
      </c>
      <c r="Q32" s="2">
        <v>28.2</v>
      </c>
      <c r="R32" s="2">
        <v>0</v>
      </c>
      <c r="S32" s="2">
        <v>212.41</v>
      </c>
      <c r="T32" s="2">
        <v>60.34</v>
      </c>
      <c r="U32" s="1">
        <v>0</v>
      </c>
      <c r="V32" s="2">
        <v>0</v>
      </c>
      <c r="W32" s="1"/>
      <c r="X32" s="2">
        <v>564</v>
      </c>
      <c r="Y32" s="4">
        <v>208.15</v>
      </c>
      <c r="Z32" s="3">
        <v>36.9</v>
      </c>
      <c r="AA32" s="1" t="s">
        <v>94</v>
      </c>
      <c r="AB32" s="1">
        <v>12268</v>
      </c>
      <c r="AC32" s="1">
        <v>401</v>
      </c>
      <c r="AD32" s="3">
        <v>3.27</v>
      </c>
      <c r="AE32" s="1">
        <v>1</v>
      </c>
      <c r="AF32" s="3">
        <v>10.7</v>
      </c>
      <c r="AG32" s="1">
        <v>2</v>
      </c>
      <c r="AH32" s="1" t="s">
        <v>61</v>
      </c>
      <c r="AI32" s="1" t="s">
        <v>86</v>
      </c>
      <c r="AJ32" s="1">
        <v>1</v>
      </c>
      <c r="AK32" s="1">
        <v>28</v>
      </c>
      <c r="AL32" s="1" t="s">
        <v>51</v>
      </c>
    </row>
    <row r="33" spans="1:38" ht="16.05" customHeight="1">
      <c r="A33" s="5" t="s">
        <v>230</v>
      </c>
      <c r="B33" s="23">
        <v>45417</v>
      </c>
      <c r="C33" s="5" t="s">
        <v>231</v>
      </c>
      <c r="D33" s="5" t="s">
        <v>41</v>
      </c>
      <c r="E33" s="5" t="s">
        <v>202</v>
      </c>
      <c r="F33" s="5" t="s">
        <v>115</v>
      </c>
      <c r="G33" s="5" t="s">
        <v>232</v>
      </c>
      <c r="H33" s="5" t="s">
        <v>233</v>
      </c>
      <c r="I33" s="5" t="s">
        <v>59</v>
      </c>
      <c r="J33" s="5" t="s">
        <v>103</v>
      </c>
      <c r="K33" s="5">
        <v>2</v>
      </c>
      <c r="L33" s="6">
        <v>3352</v>
      </c>
      <c r="M33" s="6">
        <v>2910</v>
      </c>
      <c r="N33" s="7">
        <v>13.2</v>
      </c>
      <c r="O33" s="6">
        <v>5820</v>
      </c>
      <c r="P33" s="6">
        <v>730</v>
      </c>
      <c r="Q33" s="6">
        <v>291</v>
      </c>
      <c r="R33" s="6">
        <v>0</v>
      </c>
      <c r="S33" s="6">
        <v>1955.84</v>
      </c>
      <c r="T33" s="6">
        <v>324.72000000000003</v>
      </c>
      <c r="U33" s="5">
        <v>0</v>
      </c>
      <c r="V33" s="6">
        <v>0</v>
      </c>
      <c r="W33" s="5" t="s">
        <v>206</v>
      </c>
      <c r="X33" s="6">
        <v>5820</v>
      </c>
      <c r="Y33" s="8">
        <v>2518.44</v>
      </c>
      <c r="Z33" s="7">
        <v>43.3</v>
      </c>
      <c r="AA33" s="5" t="s">
        <v>78</v>
      </c>
      <c r="AB33" s="5">
        <v>2231</v>
      </c>
      <c r="AC33" s="5">
        <v>11</v>
      </c>
      <c r="AD33" s="7">
        <v>0.49</v>
      </c>
      <c r="AE33" s="5">
        <v>0</v>
      </c>
      <c r="AF33" s="7">
        <v>0</v>
      </c>
      <c r="AG33" s="5"/>
      <c r="AH33" s="5" t="s">
        <v>49</v>
      </c>
      <c r="AI33" s="5" t="s">
        <v>105</v>
      </c>
      <c r="AJ33" s="5">
        <v>2</v>
      </c>
      <c r="AK33" s="5">
        <v>23</v>
      </c>
      <c r="AL33" s="5" t="s">
        <v>51</v>
      </c>
    </row>
    <row r="34" spans="1:38" ht="16.05" customHeight="1">
      <c r="A34" s="1" t="s">
        <v>234</v>
      </c>
      <c r="B34" s="22">
        <v>45483</v>
      </c>
      <c r="C34" s="1"/>
      <c r="D34" s="1" t="s">
        <v>65</v>
      </c>
      <c r="E34" s="1" t="s">
        <v>179</v>
      </c>
      <c r="F34" s="1" t="s">
        <v>43</v>
      </c>
      <c r="G34" s="1" t="s">
        <v>235</v>
      </c>
      <c r="H34" s="1" t="s">
        <v>236</v>
      </c>
      <c r="I34" s="1" t="s">
        <v>46</v>
      </c>
      <c r="J34" s="1" t="s">
        <v>85</v>
      </c>
      <c r="K34" s="1">
        <v>6</v>
      </c>
      <c r="L34" s="2">
        <v>717</v>
      </c>
      <c r="M34" s="2">
        <v>665</v>
      </c>
      <c r="N34" s="3">
        <v>7.3</v>
      </c>
      <c r="O34" s="2">
        <v>3990</v>
      </c>
      <c r="P34" s="2">
        <v>616.58000000000004</v>
      </c>
      <c r="Q34" s="2">
        <v>0</v>
      </c>
      <c r="R34" s="2">
        <v>43.63</v>
      </c>
      <c r="S34" s="2">
        <v>1329.76</v>
      </c>
      <c r="T34" s="2">
        <v>0</v>
      </c>
      <c r="U34" s="1">
        <v>0</v>
      </c>
      <c r="V34" s="2">
        <v>0</v>
      </c>
      <c r="W34" s="1"/>
      <c r="X34" s="2">
        <v>3990</v>
      </c>
      <c r="Y34" s="4">
        <v>2000.03</v>
      </c>
      <c r="Z34" s="3">
        <v>50.1</v>
      </c>
      <c r="AA34" s="1" t="s">
        <v>60</v>
      </c>
      <c r="AB34" s="1">
        <v>0</v>
      </c>
      <c r="AC34" s="1">
        <v>0</v>
      </c>
      <c r="AD34" s="3">
        <v>0</v>
      </c>
      <c r="AE34" s="1">
        <v>0</v>
      </c>
      <c r="AF34" s="3">
        <v>0</v>
      </c>
      <c r="AG34" s="1"/>
      <c r="AH34" s="1" t="s">
        <v>49</v>
      </c>
      <c r="AI34" s="1" t="s">
        <v>118</v>
      </c>
      <c r="AJ34" s="1">
        <v>7</v>
      </c>
      <c r="AK34" s="1">
        <v>172</v>
      </c>
      <c r="AL34" s="1" t="s">
        <v>51</v>
      </c>
    </row>
    <row r="35" spans="1:38" ht="16.05" customHeight="1">
      <c r="A35" s="5" t="s">
        <v>237</v>
      </c>
      <c r="B35" s="23">
        <v>45146</v>
      </c>
      <c r="C35" s="5" t="s">
        <v>238</v>
      </c>
      <c r="D35" s="5" t="s">
        <v>54</v>
      </c>
      <c r="E35" s="5" t="s">
        <v>150</v>
      </c>
      <c r="F35" s="5" t="s">
        <v>239</v>
      </c>
      <c r="G35" s="5" t="s">
        <v>240</v>
      </c>
      <c r="H35" s="5" t="s">
        <v>241</v>
      </c>
      <c r="I35" s="5" t="s">
        <v>59</v>
      </c>
      <c r="J35" s="5" t="s">
        <v>103</v>
      </c>
      <c r="K35" s="5">
        <v>1</v>
      </c>
      <c r="L35" s="6">
        <v>2235</v>
      </c>
      <c r="M35" s="6">
        <v>1779</v>
      </c>
      <c r="N35" s="7">
        <v>20.399999999999999</v>
      </c>
      <c r="O35" s="6">
        <v>1779</v>
      </c>
      <c r="P35" s="6">
        <v>207.81</v>
      </c>
      <c r="Q35" s="6">
        <v>88.95</v>
      </c>
      <c r="R35" s="6">
        <v>0</v>
      </c>
      <c r="S35" s="6">
        <v>837.53</v>
      </c>
      <c r="T35" s="6">
        <v>0</v>
      </c>
      <c r="U35" s="5">
        <v>0</v>
      </c>
      <c r="V35" s="6">
        <v>0</v>
      </c>
      <c r="W35" s="5" t="s">
        <v>242</v>
      </c>
      <c r="X35" s="6">
        <v>1779</v>
      </c>
      <c r="Y35" s="8">
        <v>644.71</v>
      </c>
      <c r="Z35" s="7">
        <v>36.200000000000003</v>
      </c>
      <c r="AA35" s="5" t="s">
        <v>60</v>
      </c>
      <c r="AB35" s="5">
        <v>0</v>
      </c>
      <c r="AC35" s="5">
        <v>0</v>
      </c>
      <c r="AD35" s="7">
        <v>0</v>
      </c>
      <c r="AE35" s="5">
        <v>0</v>
      </c>
      <c r="AF35" s="7">
        <v>0</v>
      </c>
      <c r="AG35" s="5"/>
      <c r="AH35" s="5" t="s">
        <v>49</v>
      </c>
      <c r="AI35" s="5" t="s">
        <v>163</v>
      </c>
      <c r="AJ35" s="5">
        <v>3</v>
      </c>
      <c r="AK35" s="5">
        <v>176</v>
      </c>
      <c r="AL35" s="5" t="s">
        <v>51</v>
      </c>
    </row>
    <row r="36" spans="1:38" ht="16.05" customHeight="1">
      <c r="A36" s="1" t="s">
        <v>243</v>
      </c>
      <c r="B36" s="22">
        <v>45310</v>
      </c>
      <c r="C36" s="1" t="s">
        <v>244</v>
      </c>
      <c r="D36" s="1" t="s">
        <v>65</v>
      </c>
      <c r="E36" s="1" t="s">
        <v>179</v>
      </c>
      <c r="F36" s="1" t="s">
        <v>125</v>
      </c>
      <c r="G36" s="1" t="s">
        <v>245</v>
      </c>
      <c r="H36" s="1" t="s">
        <v>246</v>
      </c>
      <c r="I36" s="1" t="s">
        <v>59</v>
      </c>
      <c r="J36" s="1" t="s">
        <v>47</v>
      </c>
      <c r="K36" s="1">
        <v>10</v>
      </c>
      <c r="L36" s="2">
        <v>3859</v>
      </c>
      <c r="M36" s="2">
        <v>2702</v>
      </c>
      <c r="N36" s="3">
        <v>30</v>
      </c>
      <c r="O36" s="2">
        <v>27020</v>
      </c>
      <c r="P36" s="2">
        <v>2638.04</v>
      </c>
      <c r="Q36" s="2">
        <v>1351</v>
      </c>
      <c r="R36" s="2">
        <v>0</v>
      </c>
      <c r="S36" s="2">
        <v>13976.27</v>
      </c>
      <c r="T36" s="2">
        <v>21.24</v>
      </c>
      <c r="U36" s="1">
        <v>0</v>
      </c>
      <c r="V36" s="2">
        <v>0</v>
      </c>
      <c r="W36" s="1"/>
      <c r="X36" s="2">
        <v>27020</v>
      </c>
      <c r="Y36" s="4">
        <v>9033.4500000000007</v>
      </c>
      <c r="Z36" s="3">
        <v>33.4</v>
      </c>
      <c r="AA36" s="1" t="s">
        <v>48</v>
      </c>
      <c r="AB36" s="1">
        <v>6767</v>
      </c>
      <c r="AC36" s="1">
        <v>316</v>
      </c>
      <c r="AD36" s="3">
        <v>4.67</v>
      </c>
      <c r="AE36" s="1">
        <v>21</v>
      </c>
      <c r="AF36" s="3">
        <v>0</v>
      </c>
      <c r="AG36" s="1">
        <v>3</v>
      </c>
      <c r="AH36" s="1" t="s">
        <v>49</v>
      </c>
      <c r="AI36" s="1" t="s">
        <v>118</v>
      </c>
      <c r="AJ36" s="1">
        <v>1</v>
      </c>
      <c r="AK36" s="1">
        <v>65</v>
      </c>
      <c r="AL36" s="1" t="s">
        <v>51</v>
      </c>
    </row>
    <row r="37" spans="1:38" ht="16.05" customHeight="1">
      <c r="A37" s="5" t="s">
        <v>247</v>
      </c>
      <c r="B37" s="23">
        <v>45417</v>
      </c>
      <c r="C37" s="5" t="s">
        <v>248</v>
      </c>
      <c r="D37" s="5" t="s">
        <v>98</v>
      </c>
      <c r="E37" s="5" t="s">
        <v>114</v>
      </c>
      <c r="F37" s="5" t="s">
        <v>227</v>
      </c>
      <c r="G37" s="5" t="s">
        <v>249</v>
      </c>
      <c r="H37" s="5" t="s">
        <v>250</v>
      </c>
      <c r="I37" s="5" t="s">
        <v>59</v>
      </c>
      <c r="J37" s="5" t="s">
        <v>47</v>
      </c>
      <c r="K37" s="5">
        <v>8</v>
      </c>
      <c r="L37" s="6">
        <v>500</v>
      </c>
      <c r="M37" s="6">
        <v>457</v>
      </c>
      <c r="N37" s="7">
        <v>8.6</v>
      </c>
      <c r="O37" s="6">
        <v>3656</v>
      </c>
      <c r="P37" s="6">
        <v>356.01</v>
      </c>
      <c r="Q37" s="6">
        <v>182.8</v>
      </c>
      <c r="R37" s="6">
        <v>0</v>
      </c>
      <c r="S37" s="6">
        <v>1352.71</v>
      </c>
      <c r="T37" s="6">
        <v>165.26</v>
      </c>
      <c r="U37" s="5">
        <v>0</v>
      </c>
      <c r="V37" s="6">
        <v>0</v>
      </c>
      <c r="W37" s="5"/>
      <c r="X37" s="6">
        <v>3656</v>
      </c>
      <c r="Y37" s="8">
        <v>1599.22</v>
      </c>
      <c r="Z37" s="7">
        <v>43.7</v>
      </c>
      <c r="AA37" s="5" t="s">
        <v>48</v>
      </c>
      <c r="AB37" s="5">
        <v>10251</v>
      </c>
      <c r="AC37" s="5">
        <v>458</v>
      </c>
      <c r="AD37" s="7">
        <v>4.47</v>
      </c>
      <c r="AE37" s="5">
        <v>51</v>
      </c>
      <c r="AF37" s="7">
        <v>0.7</v>
      </c>
      <c r="AG37" s="5">
        <v>5</v>
      </c>
      <c r="AH37" s="5" t="s">
        <v>61</v>
      </c>
      <c r="AI37" s="5" t="s">
        <v>118</v>
      </c>
      <c r="AJ37" s="5">
        <v>3</v>
      </c>
      <c r="AK37" s="5">
        <v>171</v>
      </c>
      <c r="AL37" s="5" t="s">
        <v>51</v>
      </c>
    </row>
    <row r="38" spans="1:38" ht="16.05" customHeight="1">
      <c r="A38" s="1" t="s">
        <v>251</v>
      </c>
      <c r="B38" s="22">
        <v>45475</v>
      </c>
      <c r="C38" s="1"/>
      <c r="D38" s="1" t="s">
        <v>54</v>
      </c>
      <c r="E38" s="1" t="s">
        <v>191</v>
      </c>
      <c r="F38" s="1" t="s">
        <v>100</v>
      </c>
      <c r="G38" s="1" t="s">
        <v>252</v>
      </c>
      <c r="H38" s="1" t="s">
        <v>253</v>
      </c>
      <c r="I38" s="1" t="s">
        <v>59</v>
      </c>
      <c r="J38" s="1" t="s">
        <v>77</v>
      </c>
      <c r="K38" s="1">
        <v>6</v>
      </c>
      <c r="L38" s="2">
        <v>1308</v>
      </c>
      <c r="M38" s="2">
        <v>1207</v>
      </c>
      <c r="N38" s="3">
        <v>7.7</v>
      </c>
      <c r="O38" s="2">
        <v>7242</v>
      </c>
      <c r="P38" s="2">
        <v>705.82</v>
      </c>
      <c r="Q38" s="2">
        <v>362.1</v>
      </c>
      <c r="R38" s="2">
        <v>0</v>
      </c>
      <c r="S38" s="2">
        <v>3255.65</v>
      </c>
      <c r="T38" s="2">
        <v>158.6</v>
      </c>
      <c r="U38" s="1">
        <v>0</v>
      </c>
      <c r="V38" s="2">
        <v>0</v>
      </c>
      <c r="W38" s="1"/>
      <c r="X38" s="2">
        <v>7242</v>
      </c>
      <c r="Y38" s="4">
        <v>2759.83</v>
      </c>
      <c r="Z38" s="3">
        <v>38.1</v>
      </c>
      <c r="AA38" s="1" t="s">
        <v>94</v>
      </c>
      <c r="AB38" s="1">
        <v>2097</v>
      </c>
      <c r="AC38" s="1">
        <v>83</v>
      </c>
      <c r="AD38" s="3">
        <v>3.96</v>
      </c>
      <c r="AE38" s="1">
        <v>16</v>
      </c>
      <c r="AF38" s="3">
        <v>0.8</v>
      </c>
      <c r="AG38" s="1"/>
      <c r="AH38" s="1" t="s">
        <v>49</v>
      </c>
      <c r="AI38" s="1" t="s">
        <v>70</v>
      </c>
      <c r="AJ38" s="1">
        <v>1</v>
      </c>
      <c r="AK38" s="1">
        <v>152</v>
      </c>
      <c r="AL38" s="1" t="s">
        <v>51</v>
      </c>
    </row>
    <row r="39" spans="1:38" ht="16.05" customHeight="1">
      <c r="A39" s="5" t="s">
        <v>254</v>
      </c>
      <c r="B39" s="23">
        <v>45179</v>
      </c>
      <c r="C39" s="5" t="s">
        <v>255</v>
      </c>
      <c r="D39" s="5" t="s">
        <v>65</v>
      </c>
      <c r="E39" s="5" t="s">
        <v>66</v>
      </c>
      <c r="F39" s="5" t="s">
        <v>256</v>
      </c>
      <c r="G39" s="5" t="s">
        <v>257</v>
      </c>
      <c r="H39" s="5" t="s">
        <v>258</v>
      </c>
      <c r="I39" s="5" t="s">
        <v>59</v>
      </c>
      <c r="J39" s="5" t="s">
        <v>47</v>
      </c>
      <c r="K39" s="5">
        <v>6</v>
      </c>
      <c r="L39" s="6">
        <v>1305</v>
      </c>
      <c r="M39" s="6">
        <v>1193</v>
      </c>
      <c r="N39" s="7">
        <v>8.6</v>
      </c>
      <c r="O39" s="6">
        <v>7158</v>
      </c>
      <c r="P39" s="6">
        <v>1245.76</v>
      </c>
      <c r="Q39" s="6">
        <v>357.9</v>
      </c>
      <c r="R39" s="6">
        <v>0</v>
      </c>
      <c r="S39" s="6">
        <v>3256.48</v>
      </c>
      <c r="T39" s="6">
        <v>165.45</v>
      </c>
      <c r="U39" s="5">
        <v>0</v>
      </c>
      <c r="V39" s="6">
        <v>0</v>
      </c>
      <c r="W39" s="5"/>
      <c r="X39" s="6">
        <v>7158</v>
      </c>
      <c r="Y39" s="8">
        <v>2132.41</v>
      </c>
      <c r="Z39" s="7">
        <v>29.8</v>
      </c>
      <c r="AA39" s="5" t="s">
        <v>60</v>
      </c>
      <c r="AB39" s="5">
        <v>13502</v>
      </c>
      <c r="AC39" s="5">
        <v>311</v>
      </c>
      <c r="AD39" s="7">
        <v>2.2999999999999998</v>
      </c>
      <c r="AE39" s="5">
        <v>28</v>
      </c>
      <c r="AF39" s="7">
        <v>0.5</v>
      </c>
      <c r="AG39" s="5">
        <v>5</v>
      </c>
      <c r="AH39" s="5" t="s">
        <v>61</v>
      </c>
      <c r="AI39" s="5" t="s">
        <v>79</v>
      </c>
      <c r="AJ39" s="5">
        <v>3</v>
      </c>
      <c r="AK39" s="5">
        <v>150</v>
      </c>
      <c r="AL39" s="5" t="s">
        <v>51</v>
      </c>
    </row>
    <row r="40" spans="1:38" ht="16.05" customHeight="1">
      <c r="A40" s="1" t="s">
        <v>259</v>
      </c>
      <c r="B40" s="22">
        <v>45271</v>
      </c>
      <c r="C40" s="1"/>
      <c r="D40" s="1" t="s">
        <v>81</v>
      </c>
      <c r="E40" s="1" t="s">
        <v>185</v>
      </c>
      <c r="F40" s="1" t="s">
        <v>209</v>
      </c>
      <c r="G40" s="1" t="s">
        <v>261</v>
      </c>
      <c r="H40" s="1" t="s">
        <v>262</v>
      </c>
      <c r="I40" s="1" t="s">
        <v>59</v>
      </c>
      <c r="J40" s="1" t="s">
        <v>77</v>
      </c>
      <c r="K40" s="1">
        <v>7</v>
      </c>
      <c r="L40" s="2">
        <v>4206</v>
      </c>
      <c r="M40" s="2">
        <v>3002</v>
      </c>
      <c r="N40" s="3">
        <v>28.6</v>
      </c>
      <c r="O40" s="2">
        <v>21014</v>
      </c>
      <c r="P40" s="2">
        <v>3374.06</v>
      </c>
      <c r="Q40" s="2">
        <v>1050.7</v>
      </c>
      <c r="R40" s="2">
        <v>0</v>
      </c>
      <c r="S40" s="2">
        <v>6826.95</v>
      </c>
      <c r="T40" s="2">
        <v>104.17</v>
      </c>
      <c r="U40" s="1">
        <v>0</v>
      </c>
      <c r="V40" s="2">
        <v>0</v>
      </c>
      <c r="W40" s="1"/>
      <c r="X40" s="2">
        <v>21014</v>
      </c>
      <c r="Y40" s="4">
        <v>9658.1200000000008</v>
      </c>
      <c r="Z40" s="3">
        <v>46</v>
      </c>
      <c r="AA40" s="1" t="s">
        <v>60</v>
      </c>
      <c r="AB40" s="1">
        <v>7513</v>
      </c>
      <c r="AC40" s="1">
        <v>48</v>
      </c>
      <c r="AD40" s="3">
        <v>0.64</v>
      </c>
      <c r="AE40" s="1">
        <v>3</v>
      </c>
      <c r="AF40" s="3">
        <v>1.2</v>
      </c>
      <c r="AG40" s="1"/>
      <c r="AH40" s="1" t="s">
        <v>49</v>
      </c>
      <c r="AI40" s="1" t="s">
        <v>86</v>
      </c>
      <c r="AJ40" s="1">
        <v>1</v>
      </c>
      <c r="AK40" s="1">
        <v>71</v>
      </c>
      <c r="AL40" s="1" t="s">
        <v>51</v>
      </c>
    </row>
    <row r="41" spans="1:38" ht="16.05" customHeight="1">
      <c r="A41" s="5" t="s">
        <v>263</v>
      </c>
      <c r="B41" s="23">
        <v>45393</v>
      </c>
      <c r="C41" s="5" t="s">
        <v>265</v>
      </c>
      <c r="D41" s="5" t="s">
        <v>144</v>
      </c>
      <c r="E41" s="5" t="s">
        <v>166</v>
      </c>
      <c r="F41" s="5" t="s">
        <v>100</v>
      </c>
      <c r="G41" s="5" t="s">
        <v>266</v>
      </c>
      <c r="H41" s="5" t="s">
        <v>267</v>
      </c>
      <c r="I41" s="5" t="s">
        <v>59</v>
      </c>
      <c r="J41" s="5" t="s">
        <v>47</v>
      </c>
      <c r="K41" s="5">
        <v>10</v>
      </c>
      <c r="L41" s="6">
        <v>4719</v>
      </c>
      <c r="M41" s="6">
        <v>4155</v>
      </c>
      <c r="N41" s="7">
        <v>12</v>
      </c>
      <c r="O41" s="6">
        <v>41550</v>
      </c>
      <c r="P41" s="6">
        <v>3832.67</v>
      </c>
      <c r="Q41" s="6">
        <v>2077.5</v>
      </c>
      <c r="R41" s="6">
        <v>0</v>
      </c>
      <c r="S41" s="6">
        <v>22308.45</v>
      </c>
      <c r="T41" s="6">
        <v>418.28</v>
      </c>
      <c r="U41" s="5">
        <v>0</v>
      </c>
      <c r="V41" s="6">
        <v>0</v>
      </c>
      <c r="W41" s="5"/>
      <c r="X41" s="6">
        <v>41550</v>
      </c>
      <c r="Y41" s="8">
        <v>12913.1</v>
      </c>
      <c r="Z41" s="7">
        <v>31.1</v>
      </c>
      <c r="AA41" s="5" t="s">
        <v>60</v>
      </c>
      <c r="AB41" s="5">
        <v>9064</v>
      </c>
      <c r="AC41" s="5">
        <v>155</v>
      </c>
      <c r="AD41" s="7">
        <v>1.71</v>
      </c>
      <c r="AE41" s="5">
        <v>20</v>
      </c>
      <c r="AF41" s="7">
        <v>0.5</v>
      </c>
      <c r="AG41" s="5">
        <v>5</v>
      </c>
      <c r="AH41" s="5" t="s">
        <v>61</v>
      </c>
      <c r="AI41" s="5" t="s">
        <v>70</v>
      </c>
      <c r="AJ41" s="5">
        <v>3</v>
      </c>
      <c r="AK41" s="5">
        <v>175</v>
      </c>
      <c r="AL41" s="5" t="s">
        <v>51</v>
      </c>
    </row>
    <row r="42" spans="1:38" ht="16.05" customHeight="1">
      <c r="A42" s="1" t="s">
        <v>268</v>
      </c>
      <c r="B42" s="22">
        <v>45429</v>
      </c>
      <c r="C42" s="1" t="s">
        <v>269</v>
      </c>
      <c r="D42" s="1" t="s">
        <v>81</v>
      </c>
      <c r="E42" s="1" t="s">
        <v>270</v>
      </c>
      <c r="F42" s="1" t="s">
        <v>100</v>
      </c>
      <c r="G42" s="1" t="s">
        <v>271</v>
      </c>
      <c r="H42" s="1" t="s">
        <v>272</v>
      </c>
      <c r="I42" s="1" t="s">
        <v>59</v>
      </c>
      <c r="J42" s="1" t="s">
        <v>103</v>
      </c>
      <c r="K42" s="1">
        <v>9</v>
      </c>
      <c r="L42" s="2">
        <v>2607</v>
      </c>
      <c r="M42" s="2">
        <v>1894</v>
      </c>
      <c r="N42" s="3">
        <v>27.3</v>
      </c>
      <c r="O42" s="2">
        <v>17046</v>
      </c>
      <c r="P42" s="2">
        <v>2562.31</v>
      </c>
      <c r="Q42" s="2">
        <v>852.3</v>
      </c>
      <c r="R42" s="2">
        <v>0</v>
      </c>
      <c r="S42" s="2">
        <v>5175.8599999999997</v>
      </c>
      <c r="T42" s="2">
        <v>466.48</v>
      </c>
      <c r="U42" s="1">
        <v>1</v>
      </c>
      <c r="V42" s="2">
        <v>1894</v>
      </c>
      <c r="W42" s="1" t="s">
        <v>111</v>
      </c>
      <c r="X42" s="2">
        <v>15152</v>
      </c>
      <c r="Y42" s="4">
        <v>6095.05</v>
      </c>
      <c r="Z42" s="3">
        <v>40.200000000000003</v>
      </c>
      <c r="AA42" s="1" t="s">
        <v>48</v>
      </c>
      <c r="AB42" s="1">
        <v>1495</v>
      </c>
      <c r="AC42" s="1">
        <v>96</v>
      </c>
      <c r="AD42" s="3">
        <v>6.42</v>
      </c>
      <c r="AE42" s="1">
        <v>15</v>
      </c>
      <c r="AF42" s="3">
        <v>1.6</v>
      </c>
      <c r="AG42" s="1"/>
      <c r="AH42" s="1" t="s">
        <v>49</v>
      </c>
      <c r="AI42" s="1" t="s">
        <v>70</v>
      </c>
      <c r="AJ42" s="1">
        <v>3</v>
      </c>
      <c r="AK42" s="1">
        <v>75</v>
      </c>
      <c r="AL42" s="1" t="s">
        <v>51</v>
      </c>
    </row>
    <row r="43" spans="1:38" ht="16.05" customHeight="1">
      <c r="A43" s="5" t="s">
        <v>273</v>
      </c>
      <c r="B43" s="23">
        <v>45385</v>
      </c>
      <c r="C43" s="5" t="s">
        <v>275</v>
      </c>
      <c r="D43" s="5" t="s">
        <v>65</v>
      </c>
      <c r="E43" s="5" t="s">
        <v>108</v>
      </c>
      <c r="F43" s="5" t="s">
        <v>67</v>
      </c>
      <c r="G43" s="5" t="s">
        <v>276</v>
      </c>
      <c r="H43" s="5" t="s">
        <v>277</v>
      </c>
      <c r="I43" s="5" t="s">
        <v>46</v>
      </c>
      <c r="J43" s="5" t="s">
        <v>47</v>
      </c>
      <c r="K43" s="5">
        <v>5</v>
      </c>
      <c r="L43" s="6">
        <v>890</v>
      </c>
      <c r="M43" s="6">
        <v>673</v>
      </c>
      <c r="N43" s="7">
        <v>24.4</v>
      </c>
      <c r="O43" s="6">
        <v>3365</v>
      </c>
      <c r="P43" s="6">
        <v>310.43</v>
      </c>
      <c r="Q43" s="6">
        <v>0</v>
      </c>
      <c r="R43" s="6">
        <v>43.3</v>
      </c>
      <c r="S43" s="6">
        <v>1342.28</v>
      </c>
      <c r="T43" s="6">
        <v>381.49</v>
      </c>
      <c r="U43" s="5">
        <v>0</v>
      </c>
      <c r="V43" s="6">
        <v>0</v>
      </c>
      <c r="W43" s="5"/>
      <c r="X43" s="6">
        <v>3365</v>
      </c>
      <c r="Y43" s="8">
        <v>1287.5</v>
      </c>
      <c r="Z43" s="7">
        <v>38.299999999999997</v>
      </c>
      <c r="AA43" s="5" t="s">
        <v>60</v>
      </c>
      <c r="AB43" s="5">
        <v>4177</v>
      </c>
      <c r="AC43" s="5">
        <v>284</v>
      </c>
      <c r="AD43" s="7">
        <v>6.8</v>
      </c>
      <c r="AE43" s="5">
        <v>26</v>
      </c>
      <c r="AF43" s="7">
        <v>2.2000000000000002</v>
      </c>
      <c r="AG43" s="5">
        <v>4</v>
      </c>
      <c r="AH43" s="5" t="s">
        <v>49</v>
      </c>
      <c r="AI43" s="5" t="s">
        <v>62</v>
      </c>
      <c r="AJ43" s="5">
        <v>5</v>
      </c>
      <c r="AK43" s="5">
        <v>154</v>
      </c>
      <c r="AL43" s="5" t="s">
        <v>51</v>
      </c>
    </row>
    <row r="44" spans="1:38" ht="16.05" customHeight="1">
      <c r="A44" s="1" t="s">
        <v>278</v>
      </c>
      <c r="B44" s="22">
        <v>45248</v>
      </c>
      <c r="C44" s="1"/>
      <c r="D44" s="1" t="s">
        <v>81</v>
      </c>
      <c r="E44" s="1" t="s">
        <v>279</v>
      </c>
      <c r="F44" s="1" t="s">
        <v>203</v>
      </c>
      <c r="G44" s="1" t="s">
        <v>280</v>
      </c>
      <c r="H44" s="1" t="s">
        <v>281</v>
      </c>
      <c r="I44" s="1" t="s">
        <v>59</v>
      </c>
      <c r="J44" s="1" t="s">
        <v>77</v>
      </c>
      <c r="K44" s="1">
        <v>4</v>
      </c>
      <c r="L44" s="2">
        <v>1328</v>
      </c>
      <c r="M44" s="2">
        <v>974</v>
      </c>
      <c r="N44" s="3">
        <v>26.7</v>
      </c>
      <c r="O44" s="2">
        <v>3896</v>
      </c>
      <c r="P44" s="2">
        <v>585.33000000000004</v>
      </c>
      <c r="Q44" s="2">
        <v>194.8</v>
      </c>
      <c r="R44" s="2">
        <v>0</v>
      </c>
      <c r="S44" s="2">
        <v>1862.02</v>
      </c>
      <c r="T44" s="2">
        <v>322.77</v>
      </c>
      <c r="U44" s="1">
        <v>0</v>
      </c>
      <c r="V44" s="2">
        <v>0</v>
      </c>
      <c r="W44" s="1"/>
      <c r="X44" s="2">
        <v>3896</v>
      </c>
      <c r="Y44" s="4">
        <v>931.08</v>
      </c>
      <c r="Z44" s="3">
        <v>23.9</v>
      </c>
      <c r="AA44" s="1" t="s">
        <v>78</v>
      </c>
      <c r="AB44" s="1">
        <v>5738</v>
      </c>
      <c r="AC44" s="1">
        <v>447</v>
      </c>
      <c r="AD44" s="3">
        <v>7.79</v>
      </c>
      <c r="AE44" s="1">
        <v>55</v>
      </c>
      <c r="AF44" s="3">
        <v>0.6</v>
      </c>
      <c r="AG44" s="1"/>
      <c r="AH44" s="1" t="s">
        <v>49</v>
      </c>
      <c r="AI44" s="1" t="s">
        <v>105</v>
      </c>
      <c r="AJ44" s="1">
        <v>2</v>
      </c>
      <c r="AK44" s="1">
        <v>57</v>
      </c>
      <c r="AL44" s="1" t="s">
        <v>51</v>
      </c>
    </row>
    <row r="45" spans="1:38" ht="16.05" customHeight="1">
      <c r="A45" s="5" t="s">
        <v>282</v>
      </c>
      <c r="B45" s="23">
        <v>45544</v>
      </c>
      <c r="C45" s="5" t="s">
        <v>283</v>
      </c>
      <c r="D45" s="5" t="s">
        <v>81</v>
      </c>
      <c r="E45" s="5" t="s">
        <v>284</v>
      </c>
      <c r="F45" s="5" t="s">
        <v>43</v>
      </c>
      <c r="G45" s="5" t="s">
        <v>285</v>
      </c>
      <c r="H45" s="5" t="s">
        <v>286</v>
      </c>
      <c r="I45" s="5" t="s">
        <v>59</v>
      </c>
      <c r="J45" s="5" t="s">
        <v>47</v>
      </c>
      <c r="K45" s="5">
        <v>4</v>
      </c>
      <c r="L45" s="6">
        <v>290</v>
      </c>
      <c r="M45" s="6">
        <v>216</v>
      </c>
      <c r="N45" s="7">
        <v>25.5</v>
      </c>
      <c r="O45" s="6">
        <v>864</v>
      </c>
      <c r="P45" s="6">
        <v>80.39</v>
      </c>
      <c r="Q45" s="6">
        <v>43.2</v>
      </c>
      <c r="R45" s="6">
        <v>0</v>
      </c>
      <c r="S45" s="6">
        <v>293.61</v>
      </c>
      <c r="T45" s="6">
        <v>0</v>
      </c>
      <c r="U45" s="5">
        <v>0</v>
      </c>
      <c r="V45" s="6">
        <v>0</v>
      </c>
      <c r="W45" s="5"/>
      <c r="X45" s="6">
        <v>864</v>
      </c>
      <c r="Y45" s="8">
        <v>446.8</v>
      </c>
      <c r="Z45" s="7">
        <v>51.7</v>
      </c>
      <c r="AA45" s="5" t="s">
        <v>60</v>
      </c>
      <c r="AB45" s="5">
        <v>0</v>
      </c>
      <c r="AC45" s="5">
        <v>0</v>
      </c>
      <c r="AD45" s="7">
        <v>0</v>
      </c>
      <c r="AE45" s="5">
        <v>0</v>
      </c>
      <c r="AF45" s="7">
        <v>0</v>
      </c>
      <c r="AG45" s="5">
        <v>5</v>
      </c>
      <c r="AH45" s="5" t="s">
        <v>61</v>
      </c>
      <c r="AI45" s="5" t="s">
        <v>95</v>
      </c>
      <c r="AJ45" s="5">
        <v>3</v>
      </c>
      <c r="AK45" s="5">
        <v>49</v>
      </c>
      <c r="AL45" s="5" t="s">
        <v>51</v>
      </c>
    </row>
    <row r="46" spans="1:38" ht="16.05" customHeight="1">
      <c r="A46" s="1" t="s">
        <v>287</v>
      </c>
      <c r="B46" s="22">
        <v>45491</v>
      </c>
      <c r="C46" s="1" t="s">
        <v>288</v>
      </c>
      <c r="D46" s="1" t="s">
        <v>41</v>
      </c>
      <c r="E46" s="1" t="s">
        <v>289</v>
      </c>
      <c r="F46" s="1" t="s">
        <v>67</v>
      </c>
      <c r="G46" s="1" t="s">
        <v>290</v>
      </c>
      <c r="H46" s="1" t="s">
        <v>291</v>
      </c>
      <c r="I46" s="1" t="s">
        <v>46</v>
      </c>
      <c r="J46" s="1" t="s">
        <v>47</v>
      </c>
      <c r="K46" s="1">
        <v>2</v>
      </c>
      <c r="L46" s="2">
        <v>1620</v>
      </c>
      <c r="M46" s="2">
        <v>1531</v>
      </c>
      <c r="N46" s="3">
        <v>5.5</v>
      </c>
      <c r="O46" s="2">
        <v>3062</v>
      </c>
      <c r="P46" s="2">
        <v>536.47</v>
      </c>
      <c r="Q46" s="2">
        <v>0</v>
      </c>
      <c r="R46" s="2">
        <v>53.4</v>
      </c>
      <c r="S46" s="2">
        <v>1650.14</v>
      </c>
      <c r="T46" s="2">
        <v>201.74</v>
      </c>
      <c r="U46" s="1">
        <v>0</v>
      </c>
      <c r="V46" s="2">
        <v>0</v>
      </c>
      <c r="W46" s="1"/>
      <c r="X46" s="2">
        <v>3062</v>
      </c>
      <c r="Y46" s="4">
        <v>620.25</v>
      </c>
      <c r="Z46" s="3">
        <v>20.3</v>
      </c>
      <c r="AA46" s="1" t="s">
        <v>60</v>
      </c>
      <c r="AB46" s="1">
        <v>11218</v>
      </c>
      <c r="AC46" s="1">
        <v>687</v>
      </c>
      <c r="AD46" s="3">
        <v>6.12</v>
      </c>
      <c r="AE46" s="1">
        <v>104</v>
      </c>
      <c r="AF46" s="3">
        <v>0.1</v>
      </c>
      <c r="AG46" s="1">
        <v>3</v>
      </c>
      <c r="AH46" s="1" t="s">
        <v>61</v>
      </c>
      <c r="AI46" s="1" t="s">
        <v>79</v>
      </c>
      <c r="AJ46" s="1">
        <v>7</v>
      </c>
      <c r="AK46" s="1">
        <v>155</v>
      </c>
      <c r="AL46" s="1" t="s">
        <v>51</v>
      </c>
    </row>
    <row r="47" spans="1:38" ht="16.05" customHeight="1">
      <c r="A47" s="5" t="s">
        <v>292</v>
      </c>
      <c r="B47" s="23">
        <v>44936</v>
      </c>
      <c r="C47" s="5" t="s">
        <v>294</v>
      </c>
      <c r="D47" s="5" t="s">
        <v>98</v>
      </c>
      <c r="E47" s="5" t="s">
        <v>155</v>
      </c>
      <c r="F47" s="5" t="s">
        <v>203</v>
      </c>
      <c r="G47" s="5" t="s">
        <v>295</v>
      </c>
      <c r="H47" s="5" t="s">
        <v>296</v>
      </c>
      <c r="I47" s="5" t="s">
        <v>59</v>
      </c>
      <c r="J47" s="5" t="s">
        <v>47</v>
      </c>
      <c r="K47" s="5">
        <v>8</v>
      </c>
      <c r="L47" s="6">
        <v>2704</v>
      </c>
      <c r="M47" s="6">
        <v>2490</v>
      </c>
      <c r="N47" s="7">
        <v>7.9</v>
      </c>
      <c r="O47" s="6">
        <v>19920</v>
      </c>
      <c r="P47" s="6">
        <v>1907.67</v>
      </c>
      <c r="Q47" s="6">
        <v>996</v>
      </c>
      <c r="R47" s="6">
        <v>0</v>
      </c>
      <c r="S47" s="6">
        <v>6124.54</v>
      </c>
      <c r="T47" s="6">
        <v>0</v>
      </c>
      <c r="U47" s="5">
        <v>0</v>
      </c>
      <c r="V47" s="6">
        <v>0</v>
      </c>
      <c r="W47" s="5"/>
      <c r="X47" s="6">
        <v>19920</v>
      </c>
      <c r="Y47" s="8">
        <v>10891.79</v>
      </c>
      <c r="Z47" s="7">
        <v>54.7</v>
      </c>
      <c r="AA47" s="5" t="s">
        <v>60</v>
      </c>
      <c r="AB47" s="5">
        <v>0</v>
      </c>
      <c r="AC47" s="5">
        <v>0</v>
      </c>
      <c r="AD47" s="7">
        <v>0</v>
      </c>
      <c r="AE47" s="5">
        <v>0</v>
      </c>
      <c r="AF47" s="7">
        <v>0</v>
      </c>
      <c r="AG47" s="5">
        <v>3</v>
      </c>
      <c r="AH47" s="5" t="s">
        <v>49</v>
      </c>
      <c r="AI47" s="5" t="s">
        <v>297</v>
      </c>
      <c r="AJ47" s="5">
        <v>2</v>
      </c>
      <c r="AK47" s="5">
        <v>116</v>
      </c>
      <c r="AL47" s="5" t="s">
        <v>51</v>
      </c>
    </row>
    <row r="48" spans="1:38" ht="16.05" customHeight="1">
      <c r="A48" s="1" t="s">
        <v>298</v>
      </c>
      <c r="B48" s="22">
        <v>45376</v>
      </c>
      <c r="C48" s="1"/>
      <c r="D48" s="1" t="s">
        <v>54</v>
      </c>
      <c r="E48" s="1" t="s">
        <v>300</v>
      </c>
      <c r="F48" s="1" t="s">
        <v>67</v>
      </c>
      <c r="G48" s="1" t="s">
        <v>301</v>
      </c>
      <c r="H48" s="1" t="s">
        <v>302</v>
      </c>
      <c r="I48" s="1" t="s">
        <v>59</v>
      </c>
      <c r="J48" s="1" t="s">
        <v>136</v>
      </c>
      <c r="K48" s="1">
        <v>6</v>
      </c>
      <c r="L48" s="2">
        <v>3302</v>
      </c>
      <c r="M48" s="2">
        <v>3042</v>
      </c>
      <c r="N48" s="3">
        <v>7.9</v>
      </c>
      <c r="O48" s="2">
        <v>18252</v>
      </c>
      <c r="P48" s="2">
        <v>2587.4899999999998</v>
      </c>
      <c r="Q48" s="2">
        <v>912.6</v>
      </c>
      <c r="R48" s="2">
        <v>0</v>
      </c>
      <c r="S48" s="2">
        <v>5874.5</v>
      </c>
      <c r="T48" s="2">
        <v>350.24</v>
      </c>
      <c r="U48" s="1">
        <v>0</v>
      </c>
      <c r="V48" s="2">
        <v>0</v>
      </c>
      <c r="W48" s="1"/>
      <c r="X48" s="2">
        <v>18252</v>
      </c>
      <c r="Y48" s="4">
        <v>8527.17</v>
      </c>
      <c r="Z48" s="3">
        <v>46.7</v>
      </c>
      <c r="AA48" s="1" t="s">
        <v>48</v>
      </c>
      <c r="AB48" s="1">
        <v>11170</v>
      </c>
      <c r="AC48" s="1">
        <v>35</v>
      </c>
      <c r="AD48" s="3">
        <v>0.31</v>
      </c>
      <c r="AE48" s="1">
        <v>2</v>
      </c>
      <c r="AF48" s="3">
        <v>5.8</v>
      </c>
      <c r="AG48" s="1"/>
      <c r="AH48" s="1" t="s">
        <v>49</v>
      </c>
      <c r="AI48" s="1" t="s">
        <v>118</v>
      </c>
      <c r="AJ48" s="1">
        <v>3</v>
      </c>
      <c r="AK48" s="1">
        <v>67</v>
      </c>
      <c r="AL48" s="1" t="s">
        <v>51</v>
      </c>
    </row>
    <row r="49" spans="1:38" ht="16.05" customHeight="1">
      <c r="A49" s="5" t="s">
        <v>303</v>
      </c>
      <c r="B49" s="23">
        <v>45206</v>
      </c>
      <c r="C49" s="5" t="s">
        <v>304</v>
      </c>
      <c r="D49" s="5" t="s">
        <v>65</v>
      </c>
      <c r="E49" s="5" t="s">
        <v>305</v>
      </c>
      <c r="F49" s="5" t="s">
        <v>227</v>
      </c>
      <c r="G49" s="5" t="s">
        <v>306</v>
      </c>
      <c r="H49" s="5" t="s">
        <v>307</v>
      </c>
      <c r="I49" s="5" t="s">
        <v>59</v>
      </c>
      <c r="J49" s="5" t="s">
        <v>47</v>
      </c>
      <c r="K49" s="5">
        <v>9</v>
      </c>
      <c r="L49" s="6">
        <v>4815</v>
      </c>
      <c r="M49" s="6">
        <v>4241</v>
      </c>
      <c r="N49" s="7">
        <v>11.9</v>
      </c>
      <c r="O49" s="6">
        <v>38169</v>
      </c>
      <c r="P49" s="6">
        <v>4592.25</v>
      </c>
      <c r="Q49" s="6">
        <v>1908.45</v>
      </c>
      <c r="R49" s="6">
        <v>0</v>
      </c>
      <c r="S49" s="6">
        <v>20141.349999999999</v>
      </c>
      <c r="T49" s="6">
        <v>352.04</v>
      </c>
      <c r="U49" s="5">
        <v>0</v>
      </c>
      <c r="V49" s="6">
        <v>0</v>
      </c>
      <c r="W49" s="5"/>
      <c r="X49" s="6">
        <v>38169</v>
      </c>
      <c r="Y49" s="8">
        <v>11174.91</v>
      </c>
      <c r="Z49" s="7">
        <v>29.3</v>
      </c>
      <c r="AA49" s="5" t="s">
        <v>78</v>
      </c>
      <c r="AB49" s="5">
        <v>14344</v>
      </c>
      <c r="AC49" s="5">
        <v>1122</v>
      </c>
      <c r="AD49" s="7">
        <v>7.82</v>
      </c>
      <c r="AE49" s="5">
        <v>116</v>
      </c>
      <c r="AF49" s="7">
        <v>0.1</v>
      </c>
      <c r="AG49" s="5">
        <v>5</v>
      </c>
      <c r="AH49" s="5" t="s">
        <v>49</v>
      </c>
      <c r="AI49" s="5" t="s">
        <v>308</v>
      </c>
      <c r="AJ49" s="5">
        <v>2</v>
      </c>
      <c r="AK49" s="5">
        <v>189</v>
      </c>
      <c r="AL49" s="5" t="s">
        <v>51</v>
      </c>
    </row>
    <row r="50" spans="1:38" ht="16.05" customHeight="1">
      <c r="A50" s="1" t="s">
        <v>309</v>
      </c>
      <c r="B50" s="22">
        <v>44936</v>
      </c>
      <c r="C50" s="1" t="s">
        <v>310</v>
      </c>
      <c r="D50" s="1" t="s">
        <v>41</v>
      </c>
      <c r="E50" s="1" t="s">
        <v>160</v>
      </c>
      <c r="F50" s="1" t="s">
        <v>203</v>
      </c>
      <c r="G50" s="1" t="s">
        <v>311</v>
      </c>
      <c r="H50" s="1" t="s">
        <v>312</v>
      </c>
      <c r="I50" s="1" t="s">
        <v>46</v>
      </c>
      <c r="J50" s="1" t="s">
        <v>103</v>
      </c>
      <c r="K50" s="1">
        <v>6</v>
      </c>
      <c r="L50" s="2">
        <v>3157</v>
      </c>
      <c r="M50" s="2">
        <v>2971</v>
      </c>
      <c r="N50" s="3">
        <v>5.9</v>
      </c>
      <c r="O50" s="2">
        <v>17826</v>
      </c>
      <c r="P50" s="2">
        <v>2088.2199999999998</v>
      </c>
      <c r="Q50" s="2">
        <v>0</v>
      </c>
      <c r="R50" s="2">
        <v>113.49</v>
      </c>
      <c r="S50" s="2">
        <v>8801.7199999999993</v>
      </c>
      <c r="T50" s="2">
        <v>448.55</v>
      </c>
      <c r="U50" s="1">
        <v>3</v>
      </c>
      <c r="V50" s="2">
        <v>8913</v>
      </c>
      <c r="W50" s="1" t="s">
        <v>111</v>
      </c>
      <c r="X50" s="2">
        <v>8913</v>
      </c>
      <c r="Y50" s="10">
        <v>-2538.98</v>
      </c>
      <c r="Z50" s="3">
        <v>-28.5</v>
      </c>
      <c r="AA50" s="1" t="s">
        <v>48</v>
      </c>
      <c r="AB50" s="1">
        <v>13988</v>
      </c>
      <c r="AC50" s="1">
        <v>926</v>
      </c>
      <c r="AD50" s="3">
        <v>6.62</v>
      </c>
      <c r="AE50" s="1">
        <v>159</v>
      </c>
      <c r="AF50" s="3">
        <v>0.1</v>
      </c>
      <c r="AG50" s="1"/>
      <c r="AH50" s="1" t="s">
        <v>49</v>
      </c>
      <c r="AI50" s="1" t="s">
        <v>50</v>
      </c>
      <c r="AJ50" s="1">
        <v>5</v>
      </c>
      <c r="AK50" s="1">
        <v>35</v>
      </c>
      <c r="AL50" s="1" t="s">
        <v>51</v>
      </c>
    </row>
    <row r="51" spans="1:38" ht="16.05" customHeight="1">
      <c r="A51" s="5" t="s">
        <v>313</v>
      </c>
      <c r="B51" s="23">
        <v>45383</v>
      </c>
      <c r="C51" s="5" t="s">
        <v>274</v>
      </c>
      <c r="D51" s="5" t="s">
        <v>54</v>
      </c>
      <c r="E51" s="5" t="s">
        <v>221</v>
      </c>
      <c r="F51" s="5" t="s">
        <v>74</v>
      </c>
      <c r="G51" s="5" t="s">
        <v>314</v>
      </c>
      <c r="H51" s="5" t="s">
        <v>315</v>
      </c>
      <c r="I51" s="5" t="s">
        <v>59</v>
      </c>
      <c r="J51" s="5" t="s">
        <v>47</v>
      </c>
      <c r="K51" s="5">
        <v>1</v>
      </c>
      <c r="L51" s="6">
        <v>2634</v>
      </c>
      <c r="M51" s="6">
        <v>2108</v>
      </c>
      <c r="N51" s="7">
        <v>20</v>
      </c>
      <c r="O51" s="6">
        <v>2108</v>
      </c>
      <c r="P51" s="6">
        <v>248.81</v>
      </c>
      <c r="Q51" s="6">
        <v>105.4</v>
      </c>
      <c r="R51" s="6">
        <v>0</v>
      </c>
      <c r="S51" s="6">
        <v>785.35</v>
      </c>
      <c r="T51" s="6">
        <v>0</v>
      </c>
      <c r="U51" s="5">
        <v>0</v>
      </c>
      <c r="V51" s="6">
        <v>0</v>
      </c>
      <c r="W51" s="5"/>
      <c r="X51" s="6">
        <v>2108</v>
      </c>
      <c r="Y51" s="8">
        <v>968.44</v>
      </c>
      <c r="Z51" s="7">
        <v>45.9</v>
      </c>
      <c r="AA51" s="5" t="s">
        <v>60</v>
      </c>
      <c r="AB51" s="5">
        <v>0</v>
      </c>
      <c r="AC51" s="5">
        <v>0</v>
      </c>
      <c r="AD51" s="7">
        <v>0</v>
      </c>
      <c r="AE51" s="5">
        <v>0</v>
      </c>
      <c r="AF51" s="7">
        <v>0</v>
      </c>
      <c r="AG51" s="5">
        <v>3</v>
      </c>
      <c r="AH51" s="5" t="s">
        <v>49</v>
      </c>
      <c r="AI51" s="5" t="s">
        <v>105</v>
      </c>
      <c r="AJ51" s="5">
        <v>2</v>
      </c>
      <c r="AK51" s="5">
        <v>72</v>
      </c>
      <c r="AL51" s="5" t="s">
        <v>51</v>
      </c>
    </row>
    <row r="52" spans="1:38" ht="16.05" customHeight="1">
      <c r="A52" s="1" t="s">
        <v>316</v>
      </c>
      <c r="B52" s="22">
        <v>45309</v>
      </c>
      <c r="C52" s="1"/>
      <c r="D52" s="1" t="s">
        <v>144</v>
      </c>
      <c r="E52" s="1" t="s">
        <v>317</v>
      </c>
      <c r="F52" s="1" t="s">
        <v>67</v>
      </c>
      <c r="G52" s="1" t="s">
        <v>318</v>
      </c>
      <c r="H52" s="1" t="s">
        <v>319</v>
      </c>
      <c r="I52" s="1" t="s">
        <v>59</v>
      </c>
      <c r="J52" s="1" t="s">
        <v>136</v>
      </c>
      <c r="K52" s="1">
        <v>3</v>
      </c>
      <c r="L52" s="2">
        <v>329</v>
      </c>
      <c r="M52" s="2">
        <v>310</v>
      </c>
      <c r="N52" s="3">
        <v>5.8</v>
      </c>
      <c r="O52" s="2">
        <v>930</v>
      </c>
      <c r="P52" s="2">
        <v>108.84</v>
      </c>
      <c r="Q52" s="2">
        <v>46.5</v>
      </c>
      <c r="R52" s="2">
        <v>0</v>
      </c>
      <c r="S52" s="2">
        <v>409.06</v>
      </c>
      <c r="T52" s="2">
        <v>0</v>
      </c>
      <c r="U52" s="1">
        <v>0</v>
      </c>
      <c r="V52" s="2">
        <v>0</v>
      </c>
      <c r="W52" s="1"/>
      <c r="X52" s="2">
        <v>930</v>
      </c>
      <c r="Y52" s="4">
        <v>365.6</v>
      </c>
      <c r="Z52" s="3">
        <v>39.299999999999997</v>
      </c>
      <c r="AA52" s="1" t="s">
        <v>60</v>
      </c>
      <c r="AB52" s="1">
        <v>0</v>
      </c>
      <c r="AC52" s="1">
        <v>0</v>
      </c>
      <c r="AD52" s="3">
        <v>0</v>
      </c>
      <c r="AE52" s="1">
        <v>0</v>
      </c>
      <c r="AF52" s="3">
        <v>0</v>
      </c>
      <c r="AG52" s="1"/>
      <c r="AH52" s="1" t="s">
        <v>49</v>
      </c>
      <c r="AI52" s="1" t="s">
        <v>86</v>
      </c>
      <c r="AJ52" s="1">
        <v>3</v>
      </c>
      <c r="AK52" s="1">
        <v>139</v>
      </c>
      <c r="AL52" s="1" t="s">
        <v>51</v>
      </c>
    </row>
    <row r="53" spans="1:38" ht="16.05" customHeight="1">
      <c r="A53" s="5" t="s">
        <v>320</v>
      </c>
      <c r="B53" s="23">
        <v>45239</v>
      </c>
      <c r="C53" s="5" t="s">
        <v>322</v>
      </c>
      <c r="D53" s="5" t="s">
        <v>41</v>
      </c>
      <c r="E53" s="5" t="s">
        <v>323</v>
      </c>
      <c r="F53" s="5" t="s">
        <v>125</v>
      </c>
      <c r="G53" s="5" t="s">
        <v>324</v>
      </c>
      <c r="H53" s="5" t="s">
        <v>325</v>
      </c>
      <c r="I53" s="5" t="s">
        <v>59</v>
      </c>
      <c r="J53" s="5" t="s">
        <v>47</v>
      </c>
      <c r="K53" s="5">
        <v>10</v>
      </c>
      <c r="L53" s="6">
        <v>2877</v>
      </c>
      <c r="M53" s="6">
        <v>2609</v>
      </c>
      <c r="N53" s="7">
        <v>9.3000000000000007</v>
      </c>
      <c r="O53" s="6">
        <v>26090</v>
      </c>
      <c r="P53" s="6">
        <v>3875.05</v>
      </c>
      <c r="Q53" s="6">
        <v>1304.5</v>
      </c>
      <c r="R53" s="6">
        <v>0</v>
      </c>
      <c r="S53" s="6">
        <v>13773.01</v>
      </c>
      <c r="T53" s="6">
        <v>137.69999999999999</v>
      </c>
      <c r="U53" s="5">
        <v>0</v>
      </c>
      <c r="V53" s="6">
        <v>0</v>
      </c>
      <c r="W53" s="5"/>
      <c r="X53" s="6">
        <v>26090</v>
      </c>
      <c r="Y53" s="8">
        <v>6999.74</v>
      </c>
      <c r="Z53" s="7">
        <v>26.8</v>
      </c>
      <c r="AA53" s="5" t="s">
        <v>94</v>
      </c>
      <c r="AB53" s="5">
        <v>8107</v>
      </c>
      <c r="AC53" s="5">
        <v>240</v>
      </c>
      <c r="AD53" s="7">
        <v>2.96</v>
      </c>
      <c r="AE53" s="5">
        <v>10</v>
      </c>
      <c r="AF53" s="7">
        <v>0.5</v>
      </c>
      <c r="AG53" s="5">
        <v>3</v>
      </c>
      <c r="AH53" s="5" t="s">
        <v>61</v>
      </c>
      <c r="AI53" s="5" t="s">
        <v>118</v>
      </c>
      <c r="AJ53" s="5">
        <v>3</v>
      </c>
      <c r="AK53" s="5">
        <v>32</v>
      </c>
      <c r="AL53" s="5" t="s">
        <v>51</v>
      </c>
    </row>
    <row r="54" spans="1:38" ht="16.05" customHeight="1">
      <c r="A54" s="1" t="s">
        <v>326</v>
      </c>
      <c r="B54" s="22">
        <v>45624</v>
      </c>
      <c r="C54" s="1" t="s">
        <v>327</v>
      </c>
      <c r="D54" s="1" t="s">
        <v>65</v>
      </c>
      <c r="E54" s="1" t="s">
        <v>328</v>
      </c>
      <c r="F54" s="1" t="s">
        <v>329</v>
      </c>
      <c r="G54" s="1" t="s">
        <v>330</v>
      </c>
      <c r="H54" s="1" t="s">
        <v>331</v>
      </c>
      <c r="I54" s="1" t="s">
        <v>59</v>
      </c>
      <c r="J54" s="1" t="s">
        <v>103</v>
      </c>
      <c r="K54" s="1">
        <v>3</v>
      </c>
      <c r="L54" s="2">
        <v>3342</v>
      </c>
      <c r="M54" s="2">
        <v>3014</v>
      </c>
      <c r="N54" s="3">
        <v>9.8000000000000007</v>
      </c>
      <c r="O54" s="2">
        <v>9042</v>
      </c>
      <c r="P54" s="2">
        <v>1619.49</v>
      </c>
      <c r="Q54" s="2">
        <v>452.1</v>
      </c>
      <c r="R54" s="2">
        <v>0</v>
      </c>
      <c r="S54" s="2">
        <v>4376.0600000000004</v>
      </c>
      <c r="T54" s="2">
        <v>271.08</v>
      </c>
      <c r="U54" s="1">
        <v>0</v>
      </c>
      <c r="V54" s="2">
        <v>0</v>
      </c>
      <c r="W54" s="1" t="s">
        <v>332</v>
      </c>
      <c r="X54" s="2">
        <v>9042</v>
      </c>
      <c r="Y54" s="4">
        <v>2323.27</v>
      </c>
      <c r="Z54" s="3">
        <v>25.7</v>
      </c>
      <c r="AA54" s="1" t="s">
        <v>60</v>
      </c>
      <c r="AB54" s="1">
        <v>6516</v>
      </c>
      <c r="AC54" s="1">
        <v>328</v>
      </c>
      <c r="AD54" s="3">
        <v>5.03</v>
      </c>
      <c r="AE54" s="1">
        <v>61</v>
      </c>
      <c r="AF54" s="3">
        <v>0.1</v>
      </c>
      <c r="AG54" s="1"/>
      <c r="AH54" s="1" t="s">
        <v>49</v>
      </c>
      <c r="AI54" s="1" t="s">
        <v>70</v>
      </c>
      <c r="AJ54" s="1">
        <v>1</v>
      </c>
      <c r="AK54" s="1">
        <v>176</v>
      </c>
      <c r="AL54" s="1" t="s">
        <v>51</v>
      </c>
    </row>
    <row r="55" spans="1:38" ht="16.05" customHeight="1">
      <c r="A55" s="5" t="s">
        <v>333</v>
      </c>
      <c r="B55" s="23">
        <v>45235</v>
      </c>
      <c r="C55" s="5" t="s">
        <v>334</v>
      </c>
      <c r="D55" s="5" t="s">
        <v>41</v>
      </c>
      <c r="E55" s="5" t="s">
        <v>335</v>
      </c>
      <c r="F55" s="5" t="s">
        <v>56</v>
      </c>
      <c r="G55" s="5" t="s">
        <v>336</v>
      </c>
      <c r="H55" s="5" t="s">
        <v>337</v>
      </c>
      <c r="I55" s="5" t="s">
        <v>59</v>
      </c>
      <c r="J55" s="5" t="s">
        <v>47</v>
      </c>
      <c r="K55" s="5">
        <v>4</v>
      </c>
      <c r="L55" s="6">
        <v>2171</v>
      </c>
      <c r="M55" s="6">
        <v>1639</v>
      </c>
      <c r="N55" s="7">
        <v>24.5</v>
      </c>
      <c r="O55" s="6">
        <v>6556</v>
      </c>
      <c r="P55" s="6">
        <v>642.24</v>
      </c>
      <c r="Q55" s="6">
        <v>327.8</v>
      </c>
      <c r="R55" s="6">
        <v>0</v>
      </c>
      <c r="S55" s="6">
        <v>2513.7800000000002</v>
      </c>
      <c r="T55" s="6">
        <v>334.74</v>
      </c>
      <c r="U55" s="5">
        <v>0</v>
      </c>
      <c r="V55" s="6">
        <v>0</v>
      </c>
      <c r="W55" s="5"/>
      <c r="X55" s="6">
        <v>6556</v>
      </c>
      <c r="Y55" s="8">
        <v>2737.44</v>
      </c>
      <c r="Z55" s="7">
        <v>41.8</v>
      </c>
      <c r="AA55" s="5" t="s">
        <v>78</v>
      </c>
      <c r="AB55" s="5">
        <v>8761</v>
      </c>
      <c r="AC55" s="5">
        <v>700</v>
      </c>
      <c r="AD55" s="7">
        <v>7.99</v>
      </c>
      <c r="AE55" s="5">
        <v>127</v>
      </c>
      <c r="AF55" s="7">
        <v>0.2</v>
      </c>
      <c r="AG55" s="5">
        <v>5</v>
      </c>
      <c r="AH55" s="5" t="s">
        <v>49</v>
      </c>
      <c r="AI55" s="5" t="s">
        <v>70</v>
      </c>
      <c r="AJ55" s="5">
        <v>2</v>
      </c>
      <c r="AK55" s="5">
        <v>71</v>
      </c>
      <c r="AL55" s="5" t="s">
        <v>51</v>
      </c>
    </row>
    <row r="56" spans="1:38" ht="16.05" customHeight="1">
      <c r="A56" s="1" t="s">
        <v>338</v>
      </c>
      <c r="B56" s="22">
        <v>45319</v>
      </c>
      <c r="C56" s="1"/>
      <c r="D56" s="1" t="s">
        <v>54</v>
      </c>
      <c r="E56" s="1" t="s">
        <v>221</v>
      </c>
      <c r="F56" s="1" t="s">
        <v>56</v>
      </c>
      <c r="G56" s="1" t="s">
        <v>339</v>
      </c>
      <c r="H56" s="1" t="s">
        <v>340</v>
      </c>
      <c r="I56" s="1" t="s">
        <v>59</v>
      </c>
      <c r="J56" s="1" t="s">
        <v>136</v>
      </c>
      <c r="K56" s="1">
        <v>5</v>
      </c>
      <c r="L56" s="2">
        <v>4410</v>
      </c>
      <c r="M56" s="2">
        <v>3374</v>
      </c>
      <c r="N56" s="3">
        <v>23.5</v>
      </c>
      <c r="O56" s="2">
        <v>16870</v>
      </c>
      <c r="P56" s="2">
        <v>2217.61</v>
      </c>
      <c r="Q56" s="2">
        <v>843.5</v>
      </c>
      <c r="R56" s="2">
        <v>0</v>
      </c>
      <c r="S56" s="2">
        <v>5087.32</v>
      </c>
      <c r="T56" s="2">
        <v>0</v>
      </c>
      <c r="U56" s="1">
        <v>0</v>
      </c>
      <c r="V56" s="2">
        <v>0</v>
      </c>
      <c r="W56" s="1"/>
      <c r="X56" s="2">
        <v>16870</v>
      </c>
      <c r="Y56" s="4">
        <v>8721.57</v>
      </c>
      <c r="Z56" s="3">
        <v>51.7</v>
      </c>
      <c r="AA56" s="1" t="s">
        <v>60</v>
      </c>
      <c r="AB56" s="1">
        <v>0</v>
      </c>
      <c r="AC56" s="1">
        <v>0</v>
      </c>
      <c r="AD56" s="3">
        <v>0</v>
      </c>
      <c r="AE56" s="1">
        <v>0</v>
      </c>
      <c r="AF56" s="3">
        <v>0</v>
      </c>
      <c r="AG56" s="1"/>
      <c r="AH56" s="1" t="s">
        <v>49</v>
      </c>
      <c r="AI56" s="1" t="s">
        <v>86</v>
      </c>
      <c r="AJ56" s="1">
        <v>2</v>
      </c>
      <c r="AK56" s="1">
        <v>126</v>
      </c>
      <c r="AL56" s="1" t="s">
        <v>51</v>
      </c>
    </row>
    <row r="57" spans="1:38" ht="16.05" customHeight="1">
      <c r="A57" s="5" t="s">
        <v>341</v>
      </c>
      <c r="B57" s="23">
        <v>45211</v>
      </c>
      <c r="C57" s="5"/>
      <c r="D57" s="5" t="s">
        <v>144</v>
      </c>
      <c r="E57" s="5" t="s">
        <v>317</v>
      </c>
      <c r="F57" s="5" t="s">
        <v>67</v>
      </c>
      <c r="G57" s="5" t="s">
        <v>342</v>
      </c>
      <c r="H57" s="5" t="s">
        <v>343</v>
      </c>
      <c r="I57" s="5" t="s">
        <v>59</v>
      </c>
      <c r="J57" s="5" t="s">
        <v>85</v>
      </c>
      <c r="K57" s="5">
        <v>10</v>
      </c>
      <c r="L57" s="6">
        <v>2007</v>
      </c>
      <c r="M57" s="6">
        <v>1677</v>
      </c>
      <c r="N57" s="7">
        <v>16.399999999999999</v>
      </c>
      <c r="O57" s="6">
        <v>16770</v>
      </c>
      <c r="P57" s="6">
        <v>2995.17</v>
      </c>
      <c r="Q57" s="6">
        <v>838.5</v>
      </c>
      <c r="R57" s="6">
        <v>0</v>
      </c>
      <c r="S57" s="6">
        <v>8868.02</v>
      </c>
      <c r="T57" s="6">
        <v>0</v>
      </c>
      <c r="U57" s="5">
        <v>0</v>
      </c>
      <c r="V57" s="6">
        <v>0</v>
      </c>
      <c r="W57" s="5"/>
      <c r="X57" s="6">
        <v>16770</v>
      </c>
      <c r="Y57" s="8">
        <v>4068.31</v>
      </c>
      <c r="Z57" s="7">
        <v>24.3</v>
      </c>
      <c r="AA57" s="5" t="s">
        <v>60</v>
      </c>
      <c r="AB57" s="5">
        <v>0</v>
      </c>
      <c r="AC57" s="5">
        <v>0</v>
      </c>
      <c r="AD57" s="7">
        <v>0</v>
      </c>
      <c r="AE57" s="5">
        <v>0</v>
      </c>
      <c r="AF57" s="7">
        <v>0</v>
      </c>
      <c r="AG57" s="5"/>
      <c r="AH57" s="5" t="s">
        <v>49</v>
      </c>
      <c r="AI57" s="5" t="s">
        <v>153</v>
      </c>
      <c r="AJ57" s="5">
        <v>3</v>
      </c>
      <c r="AK57" s="5">
        <v>164</v>
      </c>
      <c r="AL57" s="5" t="s">
        <v>51</v>
      </c>
    </row>
    <row r="58" spans="1:38" ht="16.05" customHeight="1">
      <c r="A58" s="1" t="s">
        <v>344</v>
      </c>
      <c r="B58" s="22">
        <v>45087</v>
      </c>
      <c r="C58" s="1" t="s">
        <v>345</v>
      </c>
      <c r="D58" s="1" t="s">
        <v>81</v>
      </c>
      <c r="E58" s="1" t="s">
        <v>90</v>
      </c>
      <c r="F58" s="1" t="s">
        <v>100</v>
      </c>
      <c r="G58" s="1" t="s">
        <v>346</v>
      </c>
      <c r="H58" s="1" t="s">
        <v>347</v>
      </c>
      <c r="I58" s="1" t="s">
        <v>59</v>
      </c>
      <c r="J58" s="1" t="s">
        <v>47</v>
      </c>
      <c r="K58" s="1">
        <v>9</v>
      </c>
      <c r="L58" s="2">
        <v>3215</v>
      </c>
      <c r="M58" s="2">
        <v>2533</v>
      </c>
      <c r="N58" s="3">
        <v>21.2</v>
      </c>
      <c r="O58" s="2">
        <v>22797</v>
      </c>
      <c r="P58" s="2">
        <v>3555.9</v>
      </c>
      <c r="Q58" s="2">
        <v>1139.8499999999999</v>
      </c>
      <c r="R58" s="2">
        <v>0</v>
      </c>
      <c r="S58" s="2">
        <v>7668.07</v>
      </c>
      <c r="T58" s="2">
        <v>294.14999999999998</v>
      </c>
      <c r="U58" s="1">
        <v>0</v>
      </c>
      <c r="V58" s="2">
        <v>0</v>
      </c>
      <c r="W58" s="1"/>
      <c r="X58" s="2">
        <v>22797</v>
      </c>
      <c r="Y58" s="4">
        <v>10139.030000000001</v>
      </c>
      <c r="Z58" s="3">
        <v>44.5</v>
      </c>
      <c r="AA58" s="1" t="s">
        <v>60</v>
      </c>
      <c r="AB58" s="1">
        <v>2476</v>
      </c>
      <c r="AC58" s="1">
        <v>109</v>
      </c>
      <c r="AD58" s="3">
        <v>4.4000000000000004</v>
      </c>
      <c r="AE58" s="1">
        <v>19</v>
      </c>
      <c r="AF58" s="3">
        <v>0.6</v>
      </c>
      <c r="AG58" s="1">
        <v>5</v>
      </c>
      <c r="AH58" s="1" t="s">
        <v>61</v>
      </c>
      <c r="AI58" s="1" t="s">
        <v>176</v>
      </c>
      <c r="AJ58" s="1">
        <v>2</v>
      </c>
      <c r="AK58" s="1">
        <v>166</v>
      </c>
      <c r="AL58" s="1" t="s">
        <v>51</v>
      </c>
    </row>
    <row r="59" spans="1:38" ht="16.05" customHeight="1">
      <c r="A59" s="5" t="s">
        <v>348</v>
      </c>
      <c r="B59" s="23">
        <v>45008</v>
      </c>
      <c r="C59" s="5" t="s">
        <v>349</v>
      </c>
      <c r="D59" s="5" t="s">
        <v>41</v>
      </c>
      <c r="E59" s="5" t="s">
        <v>323</v>
      </c>
      <c r="F59" s="5" t="s">
        <v>329</v>
      </c>
      <c r="G59" s="5" t="s">
        <v>350</v>
      </c>
      <c r="H59" s="5" t="s">
        <v>351</v>
      </c>
      <c r="I59" s="5" t="s">
        <v>46</v>
      </c>
      <c r="J59" s="5" t="s">
        <v>47</v>
      </c>
      <c r="K59" s="5">
        <v>2</v>
      </c>
      <c r="L59" s="6">
        <v>4969</v>
      </c>
      <c r="M59" s="6">
        <v>4371</v>
      </c>
      <c r="N59" s="7">
        <v>12</v>
      </c>
      <c r="O59" s="6">
        <v>8742</v>
      </c>
      <c r="P59" s="6">
        <v>1090.53</v>
      </c>
      <c r="Q59" s="6">
        <v>0</v>
      </c>
      <c r="R59" s="6">
        <v>65.91</v>
      </c>
      <c r="S59" s="6">
        <v>3773.21</v>
      </c>
      <c r="T59" s="6">
        <v>0</v>
      </c>
      <c r="U59" s="5">
        <v>0</v>
      </c>
      <c r="V59" s="6">
        <v>0</v>
      </c>
      <c r="W59" s="5"/>
      <c r="X59" s="6">
        <v>8742</v>
      </c>
      <c r="Y59" s="8">
        <v>3812.35</v>
      </c>
      <c r="Z59" s="7">
        <v>43.6</v>
      </c>
      <c r="AA59" s="5" t="s">
        <v>60</v>
      </c>
      <c r="AB59" s="5">
        <v>0</v>
      </c>
      <c r="AC59" s="5">
        <v>0</v>
      </c>
      <c r="AD59" s="7">
        <v>0</v>
      </c>
      <c r="AE59" s="5">
        <v>0</v>
      </c>
      <c r="AF59" s="7">
        <v>0</v>
      </c>
      <c r="AG59" s="5">
        <v>2</v>
      </c>
      <c r="AH59" s="5" t="s">
        <v>61</v>
      </c>
      <c r="AI59" s="5" t="s">
        <v>79</v>
      </c>
      <c r="AJ59" s="5">
        <v>3</v>
      </c>
      <c r="AK59" s="5">
        <v>22</v>
      </c>
      <c r="AL59" s="5" t="s">
        <v>51</v>
      </c>
    </row>
    <row r="60" spans="1:38" ht="16.05" customHeight="1">
      <c r="A60" s="1" t="s">
        <v>352</v>
      </c>
      <c r="B60" s="22">
        <v>45189</v>
      </c>
      <c r="C60" s="1" t="s">
        <v>40</v>
      </c>
      <c r="D60" s="1" t="s">
        <v>41</v>
      </c>
      <c r="E60" s="1" t="s">
        <v>323</v>
      </c>
      <c r="F60" s="1" t="s">
        <v>209</v>
      </c>
      <c r="G60" s="1" t="s">
        <v>353</v>
      </c>
      <c r="H60" s="1" t="s">
        <v>354</v>
      </c>
      <c r="I60" s="1" t="s">
        <v>59</v>
      </c>
      <c r="J60" s="1" t="s">
        <v>103</v>
      </c>
      <c r="K60" s="1">
        <v>3</v>
      </c>
      <c r="L60" s="2">
        <v>2242</v>
      </c>
      <c r="M60" s="2">
        <v>1974</v>
      </c>
      <c r="N60" s="3">
        <v>12</v>
      </c>
      <c r="O60" s="2">
        <v>5922</v>
      </c>
      <c r="P60" s="2">
        <v>919.67</v>
      </c>
      <c r="Q60" s="2">
        <v>296.10000000000002</v>
      </c>
      <c r="R60" s="2">
        <v>0</v>
      </c>
      <c r="S60" s="2">
        <v>3222.64</v>
      </c>
      <c r="T60" s="2">
        <v>123.23</v>
      </c>
      <c r="U60" s="1">
        <v>3</v>
      </c>
      <c r="V60" s="2">
        <v>5922</v>
      </c>
      <c r="W60" s="1" t="s">
        <v>242</v>
      </c>
      <c r="X60" s="2">
        <v>0</v>
      </c>
      <c r="Y60" s="10">
        <v>-4561.6400000000003</v>
      </c>
      <c r="Z60" s="3">
        <v>0</v>
      </c>
      <c r="AA60" s="1" t="s">
        <v>48</v>
      </c>
      <c r="AB60" s="1">
        <v>6509</v>
      </c>
      <c r="AC60" s="1">
        <v>47</v>
      </c>
      <c r="AD60" s="3">
        <v>0.72</v>
      </c>
      <c r="AE60" s="1">
        <v>7</v>
      </c>
      <c r="AF60" s="3">
        <v>0.9</v>
      </c>
      <c r="AG60" s="1"/>
      <c r="AH60" s="1" t="s">
        <v>49</v>
      </c>
      <c r="AI60" s="1" t="s">
        <v>79</v>
      </c>
      <c r="AJ60" s="1">
        <v>3</v>
      </c>
      <c r="AK60" s="1">
        <v>24</v>
      </c>
      <c r="AL60" s="1" t="s">
        <v>51</v>
      </c>
    </row>
    <row r="61" spans="1:38" ht="16.05" customHeight="1">
      <c r="A61" s="5" t="s">
        <v>355</v>
      </c>
      <c r="B61" s="23">
        <v>45131</v>
      </c>
      <c r="C61" s="5" t="s">
        <v>356</v>
      </c>
      <c r="D61" s="5" t="s">
        <v>144</v>
      </c>
      <c r="E61" s="5" t="s">
        <v>317</v>
      </c>
      <c r="F61" s="5" t="s">
        <v>222</v>
      </c>
      <c r="G61" s="5" t="s">
        <v>357</v>
      </c>
      <c r="H61" s="5" t="s">
        <v>358</v>
      </c>
      <c r="I61" s="5" t="s">
        <v>46</v>
      </c>
      <c r="J61" s="5" t="s">
        <v>47</v>
      </c>
      <c r="K61" s="5">
        <v>2</v>
      </c>
      <c r="L61" s="6">
        <v>4959</v>
      </c>
      <c r="M61" s="6">
        <v>4463</v>
      </c>
      <c r="N61" s="7">
        <v>10</v>
      </c>
      <c r="O61" s="6">
        <v>8926</v>
      </c>
      <c r="P61" s="6">
        <v>1220.9000000000001</v>
      </c>
      <c r="Q61" s="6">
        <v>0</v>
      </c>
      <c r="R61" s="6">
        <v>111.54</v>
      </c>
      <c r="S61" s="6">
        <v>3159.28</v>
      </c>
      <c r="T61" s="6">
        <v>0</v>
      </c>
      <c r="U61" s="5">
        <v>0</v>
      </c>
      <c r="V61" s="6">
        <v>0</v>
      </c>
      <c r="W61" s="5"/>
      <c r="X61" s="6">
        <v>8926</v>
      </c>
      <c r="Y61" s="8">
        <v>4434.28</v>
      </c>
      <c r="Z61" s="7">
        <v>49.7</v>
      </c>
      <c r="AA61" s="5" t="s">
        <v>60</v>
      </c>
      <c r="AB61" s="5">
        <v>0</v>
      </c>
      <c r="AC61" s="5">
        <v>0</v>
      </c>
      <c r="AD61" s="7">
        <v>0</v>
      </c>
      <c r="AE61" s="5">
        <v>0</v>
      </c>
      <c r="AF61" s="7">
        <v>0</v>
      </c>
      <c r="AG61" s="5">
        <v>5</v>
      </c>
      <c r="AH61" s="5" t="s">
        <v>49</v>
      </c>
      <c r="AI61" s="5" t="s">
        <v>297</v>
      </c>
      <c r="AJ61" s="5">
        <v>3</v>
      </c>
      <c r="AK61" s="5">
        <v>133</v>
      </c>
      <c r="AL61" s="5" t="s">
        <v>51</v>
      </c>
    </row>
    <row r="62" spans="1:38" ht="16.05" customHeight="1">
      <c r="A62" s="1" t="s">
        <v>359</v>
      </c>
      <c r="B62" s="22">
        <v>45649</v>
      </c>
      <c r="C62" s="1" t="s">
        <v>360</v>
      </c>
      <c r="D62" s="1" t="s">
        <v>98</v>
      </c>
      <c r="E62" s="1" t="s">
        <v>114</v>
      </c>
      <c r="F62" s="1" t="s">
        <v>56</v>
      </c>
      <c r="G62" s="1" t="s">
        <v>361</v>
      </c>
      <c r="H62" s="1" t="s">
        <v>362</v>
      </c>
      <c r="I62" s="1" t="s">
        <v>59</v>
      </c>
      <c r="J62" s="1" t="s">
        <v>47</v>
      </c>
      <c r="K62" s="1">
        <v>9</v>
      </c>
      <c r="L62" s="2">
        <v>2432</v>
      </c>
      <c r="M62" s="2">
        <v>2157</v>
      </c>
      <c r="N62" s="3">
        <v>11.3</v>
      </c>
      <c r="O62" s="2">
        <v>19413</v>
      </c>
      <c r="P62" s="2">
        <v>2569.71</v>
      </c>
      <c r="Q62" s="2">
        <v>970.65</v>
      </c>
      <c r="R62" s="2">
        <v>0</v>
      </c>
      <c r="S62" s="2">
        <v>7619.47</v>
      </c>
      <c r="T62" s="2">
        <v>153.4</v>
      </c>
      <c r="U62" s="1">
        <v>0</v>
      </c>
      <c r="V62" s="2">
        <v>0</v>
      </c>
      <c r="W62" s="1"/>
      <c r="X62" s="2">
        <v>19413</v>
      </c>
      <c r="Y62" s="4">
        <v>8099.77</v>
      </c>
      <c r="Z62" s="3">
        <v>41.7</v>
      </c>
      <c r="AA62" s="1" t="s">
        <v>60</v>
      </c>
      <c r="AB62" s="1">
        <v>12940</v>
      </c>
      <c r="AC62" s="1">
        <v>613</v>
      </c>
      <c r="AD62" s="3">
        <v>4.74</v>
      </c>
      <c r="AE62" s="1">
        <v>112</v>
      </c>
      <c r="AF62" s="3">
        <v>0.1</v>
      </c>
      <c r="AG62" s="1">
        <v>1</v>
      </c>
      <c r="AH62" s="1" t="s">
        <v>61</v>
      </c>
      <c r="AI62" s="1" t="s">
        <v>297</v>
      </c>
      <c r="AJ62" s="1">
        <v>3</v>
      </c>
      <c r="AK62" s="1">
        <v>101</v>
      </c>
      <c r="AL62" s="1" t="s">
        <v>51</v>
      </c>
    </row>
    <row r="63" spans="1:38" ht="16.05" customHeight="1">
      <c r="A63" s="5" t="s">
        <v>363</v>
      </c>
      <c r="B63" s="23">
        <v>45503</v>
      </c>
      <c r="C63" s="5"/>
      <c r="D63" s="5" t="s">
        <v>65</v>
      </c>
      <c r="E63" s="5" t="s">
        <v>66</v>
      </c>
      <c r="F63" s="5" t="s">
        <v>74</v>
      </c>
      <c r="G63" s="5" t="s">
        <v>364</v>
      </c>
      <c r="H63" s="5" t="s">
        <v>365</v>
      </c>
      <c r="I63" s="5" t="s">
        <v>59</v>
      </c>
      <c r="J63" s="5" t="s">
        <v>136</v>
      </c>
      <c r="K63" s="5">
        <v>4</v>
      </c>
      <c r="L63" s="6">
        <v>376</v>
      </c>
      <c r="M63" s="6">
        <v>355</v>
      </c>
      <c r="N63" s="7">
        <v>5.6</v>
      </c>
      <c r="O63" s="6">
        <v>1420</v>
      </c>
      <c r="P63" s="6">
        <v>208.66</v>
      </c>
      <c r="Q63" s="6">
        <v>71</v>
      </c>
      <c r="R63" s="6">
        <v>0</v>
      </c>
      <c r="S63" s="6">
        <v>433.04</v>
      </c>
      <c r="T63" s="6">
        <v>0</v>
      </c>
      <c r="U63" s="5">
        <v>0</v>
      </c>
      <c r="V63" s="6">
        <v>0</v>
      </c>
      <c r="W63" s="5"/>
      <c r="X63" s="6">
        <v>1420</v>
      </c>
      <c r="Y63" s="8">
        <v>707.3</v>
      </c>
      <c r="Z63" s="7">
        <v>49.8</v>
      </c>
      <c r="AA63" s="5" t="s">
        <v>60</v>
      </c>
      <c r="AB63" s="5">
        <v>0</v>
      </c>
      <c r="AC63" s="5">
        <v>0</v>
      </c>
      <c r="AD63" s="7">
        <v>0</v>
      </c>
      <c r="AE63" s="5">
        <v>0</v>
      </c>
      <c r="AF63" s="7">
        <v>0</v>
      </c>
      <c r="AG63" s="5"/>
      <c r="AH63" s="5" t="s">
        <v>49</v>
      </c>
      <c r="AI63" s="5" t="s">
        <v>79</v>
      </c>
      <c r="AJ63" s="5">
        <v>1</v>
      </c>
      <c r="AK63" s="5">
        <v>140</v>
      </c>
      <c r="AL63" s="5" t="s">
        <v>51</v>
      </c>
    </row>
    <row r="64" spans="1:38" ht="16.05" customHeight="1">
      <c r="A64" s="1" t="s">
        <v>366</v>
      </c>
      <c r="B64" s="22">
        <v>45453</v>
      </c>
      <c r="C64" s="1"/>
      <c r="D64" s="1" t="s">
        <v>65</v>
      </c>
      <c r="E64" s="1" t="s">
        <v>108</v>
      </c>
      <c r="F64" s="1" t="s">
        <v>256</v>
      </c>
      <c r="G64" s="1" t="s">
        <v>367</v>
      </c>
      <c r="H64" s="1" t="s">
        <v>368</v>
      </c>
      <c r="I64" s="1" t="s">
        <v>59</v>
      </c>
      <c r="J64" s="1" t="s">
        <v>77</v>
      </c>
      <c r="K64" s="1">
        <v>2</v>
      </c>
      <c r="L64" s="2">
        <v>2672</v>
      </c>
      <c r="M64" s="2">
        <v>2271</v>
      </c>
      <c r="N64" s="3">
        <v>15</v>
      </c>
      <c r="O64" s="2">
        <v>4542</v>
      </c>
      <c r="P64" s="2">
        <v>742.69</v>
      </c>
      <c r="Q64" s="2">
        <v>227.1</v>
      </c>
      <c r="R64" s="2">
        <v>0</v>
      </c>
      <c r="S64" s="2">
        <v>1402.06</v>
      </c>
      <c r="T64" s="2">
        <v>372.19</v>
      </c>
      <c r="U64" s="1">
        <v>0</v>
      </c>
      <c r="V64" s="2">
        <v>0</v>
      </c>
      <c r="W64" s="1"/>
      <c r="X64" s="2">
        <v>4542</v>
      </c>
      <c r="Y64" s="4">
        <v>1797.96</v>
      </c>
      <c r="Z64" s="3">
        <v>39.6</v>
      </c>
      <c r="AA64" s="1" t="s">
        <v>60</v>
      </c>
      <c r="AB64" s="1">
        <v>12556</v>
      </c>
      <c r="AC64" s="1">
        <v>304</v>
      </c>
      <c r="AD64" s="3">
        <v>2.42</v>
      </c>
      <c r="AE64" s="1">
        <v>1</v>
      </c>
      <c r="AF64" s="3">
        <v>16.399999999999999</v>
      </c>
      <c r="AG64" s="1"/>
      <c r="AH64" s="1" t="s">
        <v>49</v>
      </c>
      <c r="AI64" s="1" t="s">
        <v>308</v>
      </c>
      <c r="AJ64" s="1">
        <v>1</v>
      </c>
      <c r="AK64" s="1">
        <v>26</v>
      </c>
      <c r="AL64" s="1" t="s">
        <v>51</v>
      </c>
    </row>
    <row r="65" spans="1:38" ht="16.05" customHeight="1">
      <c r="A65" s="5" t="s">
        <v>369</v>
      </c>
      <c r="B65" s="23">
        <v>45570</v>
      </c>
      <c r="C65" s="5" t="s">
        <v>370</v>
      </c>
      <c r="D65" s="5" t="s">
        <v>144</v>
      </c>
      <c r="E65" s="5" t="s">
        <v>145</v>
      </c>
      <c r="F65" s="5" t="s">
        <v>227</v>
      </c>
      <c r="G65" s="5" t="s">
        <v>371</v>
      </c>
      <c r="H65" s="5" t="s">
        <v>372</v>
      </c>
      <c r="I65" s="5" t="s">
        <v>46</v>
      </c>
      <c r="J65" s="5" t="s">
        <v>47</v>
      </c>
      <c r="K65" s="5">
        <v>7</v>
      </c>
      <c r="L65" s="6">
        <v>676</v>
      </c>
      <c r="M65" s="6">
        <v>519</v>
      </c>
      <c r="N65" s="7">
        <v>23.2</v>
      </c>
      <c r="O65" s="6">
        <v>3633</v>
      </c>
      <c r="P65" s="6">
        <v>352.21</v>
      </c>
      <c r="Q65" s="6">
        <v>0</v>
      </c>
      <c r="R65" s="6">
        <v>94.86</v>
      </c>
      <c r="S65" s="6">
        <v>1276.22</v>
      </c>
      <c r="T65" s="6">
        <v>317.41000000000003</v>
      </c>
      <c r="U65" s="5">
        <v>0</v>
      </c>
      <c r="V65" s="6">
        <v>0</v>
      </c>
      <c r="W65" s="5"/>
      <c r="X65" s="6">
        <v>3633</v>
      </c>
      <c r="Y65" s="8">
        <v>1592.3</v>
      </c>
      <c r="Z65" s="7">
        <v>43.8</v>
      </c>
      <c r="AA65" s="5" t="s">
        <v>48</v>
      </c>
      <c r="AB65" s="5">
        <v>5924</v>
      </c>
      <c r="AC65" s="5">
        <v>24</v>
      </c>
      <c r="AD65" s="7">
        <v>0.41</v>
      </c>
      <c r="AE65" s="5">
        <v>0</v>
      </c>
      <c r="AF65" s="7">
        <v>0</v>
      </c>
      <c r="AG65" s="5">
        <v>5</v>
      </c>
      <c r="AH65" s="5" t="s">
        <v>49</v>
      </c>
      <c r="AI65" s="5" t="s">
        <v>62</v>
      </c>
      <c r="AJ65" s="5">
        <v>7</v>
      </c>
      <c r="AK65" s="5">
        <v>145</v>
      </c>
      <c r="AL65" s="5" t="s">
        <v>51</v>
      </c>
    </row>
    <row r="66" spans="1:38" ht="16.05" customHeight="1">
      <c r="A66" s="1" t="s">
        <v>373</v>
      </c>
      <c r="B66" s="22">
        <v>45278</v>
      </c>
      <c r="C66" s="1" t="s">
        <v>374</v>
      </c>
      <c r="D66" s="1" t="s">
        <v>41</v>
      </c>
      <c r="E66" s="1" t="s">
        <v>335</v>
      </c>
      <c r="F66" s="1" t="s">
        <v>197</v>
      </c>
      <c r="G66" s="1" t="s">
        <v>375</v>
      </c>
      <c r="H66" s="1" t="s">
        <v>376</v>
      </c>
      <c r="I66" s="1" t="s">
        <v>59</v>
      </c>
      <c r="J66" s="1" t="s">
        <v>47</v>
      </c>
      <c r="K66" s="1">
        <v>1</v>
      </c>
      <c r="L66" s="2">
        <v>2643</v>
      </c>
      <c r="M66" s="2">
        <v>1975</v>
      </c>
      <c r="N66" s="3">
        <v>25.3</v>
      </c>
      <c r="O66" s="2">
        <v>1975</v>
      </c>
      <c r="P66" s="2">
        <v>191.09</v>
      </c>
      <c r="Q66" s="2">
        <v>98.75</v>
      </c>
      <c r="R66" s="2">
        <v>0</v>
      </c>
      <c r="S66" s="2">
        <v>1014.16</v>
      </c>
      <c r="T66" s="2">
        <v>32.71</v>
      </c>
      <c r="U66" s="1">
        <v>0</v>
      </c>
      <c r="V66" s="2">
        <v>0</v>
      </c>
      <c r="W66" s="1"/>
      <c r="X66" s="2">
        <v>1975</v>
      </c>
      <c r="Y66" s="4">
        <v>638.29</v>
      </c>
      <c r="Z66" s="3">
        <v>32.299999999999997</v>
      </c>
      <c r="AA66" s="1" t="s">
        <v>48</v>
      </c>
      <c r="AB66" s="1">
        <v>2321</v>
      </c>
      <c r="AC66" s="1">
        <v>88</v>
      </c>
      <c r="AD66" s="3">
        <v>3.79</v>
      </c>
      <c r="AE66" s="1">
        <v>9</v>
      </c>
      <c r="AF66" s="3">
        <v>0.2</v>
      </c>
      <c r="AG66" s="1">
        <v>1</v>
      </c>
      <c r="AH66" s="1" t="s">
        <v>49</v>
      </c>
      <c r="AI66" s="1" t="s">
        <v>79</v>
      </c>
      <c r="AJ66" s="1">
        <v>2</v>
      </c>
      <c r="AK66" s="1">
        <v>175</v>
      </c>
      <c r="AL66" s="1" t="s">
        <v>51</v>
      </c>
    </row>
    <row r="67" spans="1:38" ht="16.05" customHeight="1">
      <c r="A67" s="5" t="s">
        <v>377</v>
      </c>
      <c r="B67" s="23">
        <v>45528</v>
      </c>
      <c r="C67" s="5"/>
      <c r="D67" s="5" t="s">
        <v>54</v>
      </c>
      <c r="E67" s="5" t="s">
        <v>300</v>
      </c>
      <c r="F67" s="5" t="s">
        <v>115</v>
      </c>
      <c r="G67" s="5" t="s">
        <v>378</v>
      </c>
      <c r="H67" s="5" t="s">
        <v>379</v>
      </c>
      <c r="I67" s="5" t="s">
        <v>46</v>
      </c>
      <c r="J67" s="5" t="s">
        <v>85</v>
      </c>
      <c r="K67" s="5">
        <v>2</v>
      </c>
      <c r="L67" s="6">
        <v>617</v>
      </c>
      <c r="M67" s="6">
        <v>454</v>
      </c>
      <c r="N67" s="7">
        <v>26.4</v>
      </c>
      <c r="O67" s="6">
        <v>908</v>
      </c>
      <c r="P67" s="6">
        <v>154.86000000000001</v>
      </c>
      <c r="Q67" s="6">
        <v>0</v>
      </c>
      <c r="R67" s="6">
        <v>102.5</v>
      </c>
      <c r="S67" s="6">
        <v>284.32</v>
      </c>
      <c r="T67" s="6">
        <v>281.22000000000003</v>
      </c>
      <c r="U67" s="5">
        <v>0</v>
      </c>
      <c r="V67" s="6">
        <v>0</v>
      </c>
      <c r="W67" s="5"/>
      <c r="X67" s="6">
        <v>908</v>
      </c>
      <c r="Y67" s="8">
        <v>85.1</v>
      </c>
      <c r="Z67" s="7">
        <v>9.4</v>
      </c>
      <c r="AA67" s="5" t="s">
        <v>60</v>
      </c>
      <c r="AB67" s="5">
        <v>10907</v>
      </c>
      <c r="AC67" s="5">
        <v>278</v>
      </c>
      <c r="AD67" s="7">
        <v>2.5499999999999998</v>
      </c>
      <c r="AE67" s="5">
        <v>54</v>
      </c>
      <c r="AF67" s="7">
        <v>1.1000000000000001</v>
      </c>
      <c r="AG67" s="5"/>
      <c r="AH67" s="5" t="s">
        <v>49</v>
      </c>
      <c r="AI67" s="5" t="s">
        <v>105</v>
      </c>
      <c r="AJ67" s="5">
        <v>6</v>
      </c>
      <c r="AK67" s="5">
        <v>139</v>
      </c>
      <c r="AL67" s="5" t="s">
        <v>51</v>
      </c>
    </row>
    <row r="68" spans="1:38" ht="16.05" customHeight="1">
      <c r="A68" s="1" t="s">
        <v>380</v>
      </c>
      <c r="B68" s="22">
        <v>45454</v>
      </c>
      <c r="C68" s="1" t="s">
        <v>382</v>
      </c>
      <c r="D68" s="1" t="s">
        <v>65</v>
      </c>
      <c r="E68" s="1" t="s">
        <v>73</v>
      </c>
      <c r="F68" s="1" t="s">
        <v>209</v>
      </c>
      <c r="G68" s="1" t="s">
        <v>383</v>
      </c>
      <c r="H68" s="1" t="s">
        <v>384</v>
      </c>
      <c r="I68" s="1" t="s">
        <v>59</v>
      </c>
      <c r="J68" s="1" t="s">
        <v>103</v>
      </c>
      <c r="K68" s="1">
        <v>10</v>
      </c>
      <c r="L68" s="2">
        <v>4631</v>
      </c>
      <c r="M68" s="2">
        <v>4383</v>
      </c>
      <c r="N68" s="3">
        <v>5.4</v>
      </c>
      <c r="O68" s="2">
        <v>43830</v>
      </c>
      <c r="P68" s="2">
        <v>3833.19</v>
      </c>
      <c r="Q68" s="2">
        <v>2191.5</v>
      </c>
      <c r="R68" s="2">
        <v>0</v>
      </c>
      <c r="S68" s="2">
        <v>18050.02</v>
      </c>
      <c r="T68" s="2">
        <v>244.5</v>
      </c>
      <c r="U68" s="1">
        <v>7</v>
      </c>
      <c r="V68" s="2">
        <v>30681</v>
      </c>
      <c r="W68" s="1" t="s">
        <v>242</v>
      </c>
      <c r="X68" s="2">
        <v>13149</v>
      </c>
      <c r="Y68" s="10">
        <v>-11170.21</v>
      </c>
      <c r="Z68" s="3">
        <v>-85</v>
      </c>
      <c r="AA68" s="1" t="s">
        <v>94</v>
      </c>
      <c r="AB68" s="1">
        <v>3627</v>
      </c>
      <c r="AC68" s="1">
        <v>27</v>
      </c>
      <c r="AD68" s="3">
        <v>0.74</v>
      </c>
      <c r="AE68" s="1">
        <v>2</v>
      </c>
      <c r="AF68" s="3">
        <v>2.8</v>
      </c>
      <c r="AG68" s="1"/>
      <c r="AH68" s="1" t="s">
        <v>49</v>
      </c>
      <c r="AI68" s="1" t="s">
        <v>153</v>
      </c>
      <c r="AJ68" s="1">
        <v>3</v>
      </c>
      <c r="AK68" s="1">
        <v>142</v>
      </c>
      <c r="AL68" s="1" t="s">
        <v>51</v>
      </c>
    </row>
    <row r="69" spans="1:38" ht="16.05" customHeight="1">
      <c r="A69" s="5" t="s">
        <v>385</v>
      </c>
      <c r="B69" s="23">
        <v>45338</v>
      </c>
      <c r="C69" s="5" t="s">
        <v>149</v>
      </c>
      <c r="D69" s="5" t="s">
        <v>41</v>
      </c>
      <c r="E69" s="5" t="s">
        <v>160</v>
      </c>
      <c r="F69" s="5" t="s">
        <v>115</v>
      </c>
      <c r="G69" s="5" t="s">
        <v>386</v>
      </c>
      <c r="H69" s="5" t="s">
        <v>387</v>
      </c>
      <c r="I69" s="5" t="s">
        <v>46</v>
      </c>
      <c r="J69" s="5" t="s">
        <v>47</v>
      </c>
      <c r="K69" s="5">
        <v>1</v>
      </c>
      <c r="L69" s="6">
        <v>957</v>
      </c>
      <c r="M69" s="6">
        <v>725</v>
      </c>
      <c r="N69" s="7">
        <v>24.2</v>
      </c>
      <c r="O69" s="6">
        <v>725</v>
      </c>
      <c r="P69" s="6">
        <v>105.65</v>
      </c>
      <c r="Q69" s="6">
        <v>0</v>
      </c>
      <c r="R69" s="6">
        <v>116.16</v>
      </c>
      <c r="S69" s="6">
        <v>253.6</v>
      </c>
      <c r="T69" s="6">
        <v>0</v>
      </c>
      <c r="U69" s="5">
        <v>0</v>
      </c>
      <c r="V69" s="6">
        <v>0</v>
      </c>
      <c r="W69" s="5"/>
      <c r="X69" s="6">
        <v>725</v>
      </c>
      <c r="Y69" s="8">
        <v>249.59</v>
      </c>
      <c r="Z69" s="7">
        <v>34.4</v>
      </c>
      <c r="AA69" s="5" t="s">
        <v>60</v>
      </c>
      <c r="AB69" s="5">
        <v>0</v>
      </c>
      <c r="AC69" s="5">
        <v>0</v>
      </c>
      <c r="AD69" s="7">
        <v>0</v>
      </c>
      <c r="AE69" s="5">
        <v>0</v>
      </c>
      <c r="AF69" s="7">
        <v>0</v>
      </c>
      <c r="AG69" s="5">
        <v>5</v>
      </c>
      <c r="AH69" s="5" t="s">
        <v>49</v>
      </c>
      <c r="AI69" s="5" t="s">
        <v>70</v>
      </c>
      <c r="AJ69" s="5">
        <v>6</v>
      </c>
      <c r="AK69" s="5">
        <v>181</v>
      </c>
      <c r="AL69" s="5" t="s">
        <v>51</v>
      </c>
    </row>
    <row r="70" spans="1:38" ht="16.05" customHeight="1">
      <c r="A70" s="1" t="s">
        <v>388</v>
      </c>
      <c r="B70" s="22">
        <v>45030</v>
      </c>
      <c r="C70" s="1" t="s">
        <v>389</v>
      </c>
      <c r="D70" s="1" t="s">
        <v>98</v>
      </c>
      <c r="E70" s="1" t="s">
        <v>390</v>
      </c>
      <c r="F70" s="1" t="s">
        <v>227</v>
      </c>
      <c r="G70" s="1" t="s">
        <v>391</v>
      </c>
      <c r="H70" s="1" t="s">
        <v>392</v>
      </c>
      <c r="I70" s="1" t="s">
        <v>59</v>
      </c>
      <c r="J70" s="1" t="s">
        <v>47</v>
      </c>
      <c r="K70" s="1">
        <v>1</v>
      </c>
      <c r="L70" s="2">
        <v>798</v>
      </c>
      <c r="M70" s="2">
        <v>606</v>
      </c>
      <c r="N70" s="3">
        <v>24.1</v>
      </c>
      <c r="O70" s="2">
        <v>606</v>
      </c>
      <c r="P70" s="2">
        <v>93.23</v>
      </c>
      <c r="Q70" s="2">
        <v>30.3</v>
      </c>
      <c r="R70" s="2">
        <v>0</v>
      </c>
      <c r="S70" s="2">
        <v>205.89</v>
      </c>
      <c r="T70" s="2">
        <v>307.70999999999998</v>
      </c>
      <c r="U70" s="1">
        <v>0</v>
      </c>
      <c r="V70" s="2">
        <v>0</v>
      </c>
      <c r="W70" s="1"/>
      <c r="X70" s="2">
        <v>606</v>
      </c>
      <c r="Y70" s="10">
        <v>-31.13</v>
      </c>
      <c r="Z70" s="3">
        <v>-5.0999999999999996</v>
      </c>
      <c r="AA70" s="1" t="s">
        <v>78</v>
      </c>
      <c r="AB70" s="1">
        <v>2901</v>
      </c>
      <c r="AC70" s="1">
        <v>135</v>
      </c>
      <c r="AD70" s="3">
        <v>4.6500000000000004</v>
      </c>
      <c r="AE70" s="1">
        <v>19</v>
      </c>
      <c r="AF70" s="3">
        <v>2.7</v>
      </c>
      <c r="AG70" s="1">
        <v>4</v>
      </c>
      <c r="AH70" s="1" t="s">
        <v>49</v>
      </c>
      <c r="AI70" s="1" t="s">
        <v>153</v>
      </c>
      <c r="AJ70" s="1">
        <v>2</v>
      </c>
      <c r="AK70" s="1">
        <v>14</v>
      </c>
      <c r="AL70" s="9" t="s">
        <v>71</v>
      </c>
    </row>
    <row r="71" spans="1:38" ht="16.05" customHeight="1">
      <c r="A71" s="5" t="s">
        <v>393</v>
      </c>
      <c r="B71" s="23">
        <v>45293</v>
      </c>
      <c r="C71" s="5" t="s">
        <v>394</v>
      </c>
      <c r="D71" s="5" t="s">
        <v>41</v>
      </c>
      <c r="E71" s="5" t="s">
        <v>395</v>
      </c>
      <c r="F71" s="5" t="s">
        <v>91</v>
      </c>
      <c r="G71" s="5" t="s">
        <v>396</v>
      </c>
      <c r="H71" s="5" t="s">
        <v>397</v>
      </c>
      <c r="I71" s="5" t="s">
        <v>59</v>
      </c>
      <c r="J71" s="5" t="s">
        <v>47</v>
      </c>
      <c r="K71" s="5">
        <v>9</v>
      </c>
      <c r="L71" s="6">
        <v>2972</v>
      </c>
      <c r="M71" s="6">
        <v>2625</v>
      </c>
      <c r="N71" s="7">
        <v>11.7</v>
      </c>
      <c r="O71" s="6">
        <v>23625</v>
      </c>
      <c r="P71" s="6">
        <v>3266.66</v>
      </c>
      <c r="Q71" s="6">
        <v>1181.25</v>
      </c>
      <c r="R71" s="6">
        <v>0</v>
      </c>
      <c r="S71" s="6">
        <v>11106.28</v>
      </c>
      <c r="T71" s="6">
        <v>0</v>
      </c>
      <c r="U71" s="5">
        <v>0</v>
      </c>
      <c r="V71" s="6">
        <v>0</v>
      </c>
      <c r="W71" s="5"/>
      <c r="X71" s="6">
        <v>23625</v>
      </c>
      <c r="Y71" s="8">
        <v>8070.81</v>
      </c>
      <c r="Z71" s="7">
        <v>34.200000000000003</v>
      </c>
      <c r="AA71" s="5" t="s">
        <v>60</v>
      </c>
      <c r="AB71" s="5">
        <v>0</v>
      </c>
      <c r="AC71" s="5">
        <v>0</v>
      </c>
      <c r="AD71" s="7">
        <v>0</v>
      </c>
      <c r="AE71" s="5">
        <v>0</v>
      </c>
      <c r="AF71" s="7">
        <v>0</v>
      </c>
      <c r="AG71" s="5">
        <v>5</v>
      </c>
      <c r="AH71" s="5" t="s">
        <v>49</v>
      </c>
      <c r="AI71" s="5" t="s">
        <v>118</v>
      </c>
      <c r="AJ71" s="5">
        <v>3</v>
      </c>
      <c r="AK71" s="5">
        <v>174</v>
      </c>
      <c r="AL71" s="5" t="s">
        <v>51</v>
      </c>
    </row>
    <row r="72" spans="1:38" ht="16.05" customHeight="1">
      <c r="A72" s="1" t="s">
        <v>398</v>
      </c>
      <c r="B72" s="22">
        <v>45464</v>
      </c>
      <c r="C72" s="1" t="s">
        <v>399</v>
      </c>
      <c r="D72" s="1" t="s">
        <v>41</v>
      </c>
      <c r="E72" s="1" t="s">
        <v>395</v>
      </c>
      <c r="F72" s="1" t="s">
        <v>227</v>
      </c>
      <c r="G72" s="1" t="s">
        <v>400</v>
      </c>
      <c r="H72" s="1" t="s">
        <v>401</v>
      </c>
      <c r="I72" s="1" t="s">
        <v>59</v>
      </c>
      <c r="J72" s="1" t="s">
        <v>47</v>
      </c>
      <c r="K72" s="1">
        <v>2</v>
      </c>
      <c r="L72" s="2">
        <v>1125</v>
      </c>
      <c r="M72" s="2">
        <v>865</v>
      </c>
      <c r="N72" s="3">
        <v>23.1</v>
      </c>
      <c r="O72" s="2">
        <v>1730</v>
      </c>
      <c r="P72" s="2">
        <v>215.92</v>
      </c>
      <c r="Q72" s="2">
        <v>86.5</v>
      </c>
      <c r="R72" s="2">
        <v>0</v>
      </c>
      <c r="S72" s="2">
        <v>812.59</v>
      </c>
      <c r="T72" s="2">
        <v>376.02</v>
      </c>
      <c r="U72" s="1">
        <v>0</v>
      </c>
      <c r="V72" s="2">
        <v>0</v>
      </c>
      <c r="W72" s="1"/>
      <c r="X72" s="2">
        <v>1730</v>
      </c>
      <c r="Y72" s="4">
        <v>238.97</v>
      </c>
      <c r="Z72" s="3">
        <v>13.8</v>
      </c>
      <c r="AA72" s="1" t="s">
        <v>48</v>
      </c>
      <c r="AB72" s="1">
        <v>6142</v>
      </c>
      <c r="AC72" s="1">
        <v>169</v>
      </c>
      <c r="AD72" s="3">
        <v>2.75</v>
      </c>
      <c r="AE72" s="1">
        <v>27</v>
      </c>
      <c r="AF72" s="3">
        <v>1.6</v>
      </c>
      <c r="AG72" s="1">
        <v>5</v>
      </c>
      <c r="AH72" s="1" t="s">
        <v>49</v>
      </c>
      <c r="AI72" s="1" t="s">
        <v>118</v>
      </c>
      <c r="AJ72" s="1">
        <v>2</v>
      </c>
      <c r="AK72" s="1">
        <v>193</v>
      </c>
      <c r="AL72" s="1" t="s">
        <v>51</v>
      </c>
    </row>
    <row r="73" spans="1:38" ht="16.05" customHeight="1">
      <c r="A73" s="5" t="s">
        <v>402</v>
      </c>
      <c r="B73" s="23">
        <v>45236</v>
      </c>
      <c r="C73" s="5"/>
      <c r="D73" s="5" t="s">
        <v>144</v>
      </c>
      <c r="E73" s="5" t="s">
        <v>166</v>
      </c>
      <c r="F73" s="5" t="s">
        <v>56</v>
      </c>
      <c r="G73" s="5" t="s">
        <v>403</v>
      </c>
      <c r="H73" s="5" t="s">
        <v>404</v>
      </c>
      <c r="I73" s="5" t="s">
        <v>46</v>
      </c>
      <c r="J73" s="5" t="s">
        <v>77</v>
      </c>
      <c r="K73" s="5">
        <v>5</v>
      </c>
      <c r="L73" s="6">
        <v>4826</v>
      </c>
      <c r="M73" s="6">
        <v>3824</v>
      </c>
      <c r="N73" s="7">
        <v>20.8</v>
      </c>
      <c r="O73" s="6">
        <v>19120</v>
      </c>
      <c r="P73" s="6">
        <v>2568.04</v>
      </c>
      <c r="Q73" s="6">
        <v>0</v>
      </c>
      <c r="R73" s="6">
        <v>102.41</v>
      </c>
      <c r="S73" s="6">
        <v>7149.97</v>
      </c>
      <c r="T73" s="6">
        <v>472.75</v>
      </c>
      <c r="U73" s="5">
        <v>0</v>
      </c>
      <c r="V73" s="6">
        <v>0</v>
      </c>
      <c r="W73" s="5"/>
      <c r="X73" s="6">
        <v>19120</v>
      </c>
      <c r="Y73" s="8">
        <v>8826.83</v>
      </c>
      <c r="Z73" s="7">
        <v>46.2</v>
      </c>
      <c r="AA73" s="5" t="s">
        <v>60</v>
      </c>
      <c r="AB73" s="5">
        <v>7345</v>
      </c>
      <c r="AC73" s="5">
        <v>468</v>
      </c>
      <c r="AD73" s="7">
        <v>6.37</v>
      </c>
      <c r="AE73" s="5">
        <v>63</v>
      </c>
      <c r="AF73" s="7">
        <v>0.2</v>
      </c>
      <c r="AG73" s="5"/>
      <c r="AH73" s="5" t="s">
        <v>49</v>
      </c>
      <c r="AI73" s="5" t="s">
        <v>86</v>
      </c>
      <c r="AJ73" s="5">
        <v>6</v>
      </c>
      <c r="AK73" s="5">
        <v>108</v>
      </c>
      <c r="AL73" s="5" t="s">
        <v>51</v>
      </c>
    </row>
    <row r="74" spans="1:38" ht="16.05" customHeight="1">
      <c r="A74" s="1" t="s">
        <v>405</v>
      </c>
      <c r="B74" s="22">
        <v>45079</v>
      </c>
      <c r="C74" s="1"/>
      <c r="D74" s="1" t="s">
        <v>144</v>
      </c>
      <c r="E74" s="1" t="s">
        <v>406</v>
      </c>
      <c r="F74" s="1" t="s">
        <v>74</v>
      </c>
      <c r="G74" s="1" t="s">
        <v>407</v>
      </c>
      <c r="H74" s="1" t="s">
        <v>408</v>
      </c>
      <c r="I74" s="1" t="s">
        <v>59</v>
      </c>
      <c r="J74" s="1" t="s">
        <v>136</v>
      </c>
      <c r="K74" s="1">
        <v>4</v>
      </c>
      <c r="L74" s="2">
        <v>1730</v>
      </c>
      <c r="M74" s="2">
        <v>1327</v>
      </c>
      <c r="N74" s="3">
        <v>23.3</v>
      </c>
      <c r="O74" s="2">
        <v>5308</v>
      </c>
      <c r="P74" s="2">
        <v>534.07000000000005</v>
      </c>
      <c r="Q74" s="2">
        <v>265.39999999999998</v>
      </c>
      <c r="R74" s="2">
        <v>0</v>
      </c>
      <c r="S74" s="2">
        <v>2887.23</v>
      </c>
      <c r="T74" s="2">
        <v>296.27</v>
      </c>
      <c r="U74" s="1">
        <v>0</v>
      </c>
      <c r="V74" s="2">
        <v>0</v>
      </c>
      <c r="W74" s="1"/>
      <c r="X74" s="2">
        <v>5308</v>
      </c>
      <c r="Y74" s="4">
        <v>1325.03</v>
      </c>
      <c r="Z74" s="3">
        <v>25</v>
      </c>
      <c r="AA74" s="1" t="s">
        <v>94</v>
      </c>
      <c r="AB74" s="1">
        <v>12241</v>
      </c>
      <c r="AC74" s="1">
        <v>229</v>
      </c>
      <c r="AD74" s="3">
        <v>1.87</v>
      </c>
      <c r="AE74" s="1">
        <v>5</v>
      </c>
      <c r="AF74" s="3">
        <v>4.5</v>
      </c>
      <c r="AG74" s="1"/>
      <c r="AH74" s="1" t="s">
        <v>49</v>
      </c>
      <c r="AI74" s="1" t="s">
        <v>176</v>
      </c>
      <c r="AJ74" s="1">
        <v>1</v>
      </c>
      <c r="AK74" s="1">
        <v>74</v>
      </c>
      <c r="AL74" s="1" t="s">
        <v>51</v>
      </c>
    </row>
    <row r="75" spans="1:38" ht="16.05" customHeight="1">
      <c r="A75" s="5" t="s">
        <v>409</v>
      </c>
      <c r="B75" s="23">
        <v>45650</v>
      </c>
      <c r="C75" s="5"/>
      <c r="D75" s="5" t="s">
        <v>81</v>
      </c>
      <c r="E75" s="5" t="s">
        <v>185</v>
      </c>
      <c r="F75" s="5" t="s">
        <v>74</v>
      </c>
      <c r="G75" s="5" t="s">
        <v>410</v>
      </c>
      <c r="H75" s="5" t="s">
        <v>411</v>
      </c>
      <c r="I75" s="5" t="s">
        <v>46</v>
      </c>
      <c r="J75" s="5" t="s">
        <v>77</v>
      </c>
      <c r="K75" s="5">
        <v>4</v>
      </c>
      <c r="L75" s="6">
        <v>2313</v>
      </c>
      <c r="M75" s="6">
        <v>1639</v>
      </c>
      <c r="N75" s="7">
        <v>29.1</v>
      </c>
      <c r="O75" s="6">
        <v>6556</v>
      </c>
      <c r="P75" s="6">
        <v>897.61</v>
      </c>
      <c r="Q75" s="6">
        <v>0</v>
      </c>
      <c r="R75" s="6">
        <v>41.66</v>
      </c>
      <c r="S75" s="6">
        <v>2113.44</v>
      </c>
      <c r="T75" s="6">
        <v>0</v>
      </c>
      <c r="U75" s="5">
        <v>0</v>
      </c>
      <c r="V75" s="6">
        <v>0</v>
      </c>
      <c r="W75" s="5"/>
      <c r="X75" s="6">
        <v>6556</v>
      </c>
      <c r="Y75" s="8">
        <v>3503.29</v>
      </c>
      <c r="Z75" s="7">
        <v>53.4</v>
      </c>
      <c r="AA75" s="5" t="s">
        <v>60</v>
      </c>
      <c r="AB75" s="5">
        <v>0</v>
      </c>
      <c r="AC75" s="5">
        <v>0</v>
      </c>
      <c r="AD75" s="7">
        <v>0</v>
      </c>
      <c r="AE75" s="5">
        <v>0</v>
      </c>
      <c r="AF75" s="7">
        <v>0</v>
      </c>
      <c r="AG75" s="5"/>
      <c r="AH75" s="5" t="s">
        <v>49</v>
      </c>
      <c r="AI75" s="5" t="s">
        <v>62</v>
      </c>
      <c r="AJ75" s="5">
        <v>7</v>
      </c>
      <c r="AK75" s="5">
        <v>27</v>
      </c>
      <c r="AL75" s="5" t="s">
        <v>51</v>
      </c>
    </row>
    <row r="76" spans="1:38" ht="16.05" customHeight="1">
      <c r="A76" s="1" t="s">
        <v>412</v>
      </c>
      <c r="B76" s="22">
        <v>44950</v>
      </c>
      <c r="C76" s="1" t="s">
        <v>89</v>
      </c>
      <c r="D76" s="1" t="s">
        <v>54</v>
      </c>
      <c r="E76" s="1" t="s">
        <v>55</v>
      </c>
      <c r="F76" s="1" t="s">
        <v>100</v>
      </c>
      <c r="G76" s="1" t="s">
        <v>413</v>
      </c>
      <c r="H76" s="1" t="s">
        <v>414</v>
      </c>
      <c r="I76" s="1" t="s">
        <v>59</v>
      </c>
      <c r="J76" s="1" t="s">
        <v>47</v>
      </c>
      <c r="K76" s="1">
        <v>5</v>
      </c>
      <c r="L76" s="2">
        <v>2442</v>
      </c>
      <c r="M76" s="2">
        <v>1859</v>
      </c>
      <c r="N76" s="3">
        <v>23.9</v>
      </c>
      <c r="O76" s="2">
        <v>9295</v>
      </c>
      <c r="P76" s="2">
        <v>1146.3900000000001</v>
      </c>
      <c r="Q76" s="2">
        <v>464.75</v>
      </c>
      <c r="R76" s="2">
        <v>0</v>
      </c>
      <c r="S76" s="2">
        <v>4499.97</v>
      </c>
      <c r="T76" s="2">
        <v>381.45</v>
      </c>
      <c r="U76" s="1">
        <v>0</v>
      </c>
      <c r="V76" s="2">
        <v>0</v>
      </c>
      <c r="W76" s="1"/>
      <c r="X76" s="2">
        <v>9295</v>
      </c>
      <c r="Y76" s="4">
        <v>2802.44</v>
      </c>
      <c r="Z76" s="3">
        <v>30.1</v>
      </c>
      <c r="AA76" s="1" t="s">
        <v>78</v>
      </c>
      <c r="AB76" s="1">
        <v>6534</v>
      </c>
      <c r="AC76" s="1">
        <v>446</v>
      </c>
      <c r="AD76" s="3">
        <v>6.83</v>
      </c>
      <c r="AE76" s="1">
        <v>79</v>
      </c>
      <c r="AF76" s="3">
        <v>0.3</v>
      </c>
      <c r="AG76" s="1">
        <v>2</v>
      </c>
      <c r="AH76" s="1" t="s">
        <v>49</v>
      </c>
      <c r="AI76" s="1" t="s">
        <v>297</v>
      </c>
      <c r="AJ76" s="1">
        <v>3</v>
      </c>
      <c r="AK76" s="1">
        <v>73</v>
      </c>
      <c r="AL76" s="1" t="s">
        <v>51</v>
      </c>
    </row>
    <row r="77" spans="1:38" ht="16.05" customHeight="1">
      <c r="A77" s="5" t="s">
        <v>415</v>
      </c>
      <c r="B77" s="23">
        <v>45497</v>
      </c>
      <c r="C77" s="5" t="s">
        <v>417</v>
      </c>
      <c r="D77" s="5" t="s">
        <v>81</v>
      </c>
      <c r="E77" s="5" t="s">
        <v>82</v>
      </c>
      <c r="F77" s="5" t="s">
        <v>67</v>
      </c>
      <c r="G77" s="5" t="s">
        <v>418</v>
      </c>
      <c r="H77" s="5" t="s">
        <v>419</v>
      </c>
      <c r="I77" s="5" t="s">
        <v>59</v>
      </c>
      <c r="J77" s="5" t="s">
        <v>47</v>
      </c>
      <c r="K77" s="5">
        <v>9</v>
      </c>
      <c r="L77" s="6">
        <v>2864</v>
      </c>
      <c r="M77" s="6">
        <v>2153</v>
      </c>
      <c r="N77" s="7">
        <v>24.8</v>
      </c>
      <c r="O77" s="6">
        <v>19377</v>
      </c>
      <c r="P77" s="6">
        <v>3035.96</v>
      </c>
      <c r="Q77" s="6">
        <v>968.85</v>
      </c>
      <c r="R77" s="6">
        <v>0</v>
      </c>
      <c r="S77" s="6">
        <v>8540.89</v>
      </c>
      <c r="T77" s="6">
        <v>81.91</v>
      </c>
      <c r="U77" s="5">
        <v>0</v>
      </c>
      <c r="V77" s="6">
        <v>0</v>
      </c>
      <c r="W77" s="5"/>
      <c r="X77" s="6">
        <v>19377</v>
      </c>
      <c r="Y77" s="8">
        <v>6749.39</v>
      </c>
      <c r="Z77" s="7">
        <v>34.799999999999997</v>
      </c>
      <c r="AA77" s="5" t="s">
        <v>60</v>
      </c>
      <c r="AB77" s="5">
        <v>7728</v>
      </c>
      <c r="AC77" s="5">
        <v>574</v>
      </c>
      <c r="AD77" s="7">
        <v>7.43</v>
      </c>
      <c r="AE77" s="5">
        <v>27</v>
      </c>
      <c r="AF77" s="7">
        <v>0.1</v>
      </c>
      <c r="AG77" s="5">
        <v>4</v>
      </c>
      <c r="AH77" s="5" t="s">
        <v>61</v>
      </c>
      <c r="AI77" s="5" t="s">
        <v>86</v>
      </c>
      <c r="AJ77" s="5">
        <v>3</v>
      </c>
      <c r="AK77" s="5">
        <v>30</v>
      </c>
      <c r="AL77" s="5" t="s">
        <v>51</v>
      </c>
    </row>
    <row r="78" spans="1:38" ht="16.05" customHeight="1">
      <c r="A78" s="1" t="s">
        <v>420</v>
      </c>
      <c r="B78" s="22">
        <v>44950</v>
      </c>
      <c r="C78" s="1" t="s">
        <v>421</v>
      </c>
      <c r="D78" s="1" t="s">
        <v>144</v>
      </c>
      <c r="E78" s="1" t="s">
        <v>145</v>
      </c>
      <c r="F78" s="1" t="s">
        <v>197</v>
      </c>
      <c r="G78" s="1" t="s">
        <v>422</v>
      </c>
      <c r="H78" s="1" t="s">
        <v>423</v>
      </c>
      <c r="I78" s="1" t="s">
        <v>59</v>
      </c>
      <c r="J78" s="1" t="s">
        <v>47</v>
      </c>
      <c r="K78" s="1">
        <v>7</v>
      </c>
      <c r="L78" s="2">
        <v>4289</v>
      </c>
      <c r="M78" s="2">
        <v>3487</v>
      </c>
      <c r="N78" s="3">
        <v>18.7</v>
      </c>
      <c r="O78" s="2">
        <v>24409</v>
      </c>
      <c r="P78" s="2">
        <v>2185.5500000000002</v>
      </c>
      <c r="Q78" s="2">
        <v>1220.45</v>
      </c>
      <c r="R78" s="2">
        <v>0</v>
      </c>
      <c r="S78" s="2">
        <v>9576.7800000000007</v>
      </c>
      <c r="T78" s="2">
        <v>0</v>
      </c>
      <c r="U78" s="1">
        <v>0</v>
      </c>
      <c r="V78" s="2">
        <v>0</v>
      </c>
      <c r="W78" s="1"/>
      <c r="X78" s="2">
        <v>24409</v>
      </c>
      <c r="Y78" s="4">
        <v>11426.22</v>
      </c>
      <c r="Z78" s="3">
        <v>46.8</v>
      </c>
      <c r="AA78" s="1" t="s">
        <v>60</v>
      </c>
      <c r="AB78" s="1">
        <v>0</v>
      </c>
      <c r="AC78" s="1">
        <v>0</v>
      </c>
      <c r="AD78" s="3">
        <v>0</v>
      </c>
      <c r="AE78" s="1">
        <v>0</v>
      </c>
      <c r="AF78" s="3">
        <v>0</v>
      </c>
      <c r="AG78" s="1">
        <v>5</v>
      </c>
      <c r="AH78" s="1" t="s">
        <v>49</v>
      </c>
      <c r="AI78" s="1" t="s">
        <v>70</v>
      </c>
      <c r="AJ78" s="1">
        <v>1</v>
      </c>
      <c r="AK78" s="1">
        <v>0</v>
      </c>
      <c r="AL78" s="9" t="s">
        <v>71</v>
      </c>
    </row>
    <row r="79" spans="1:38" ht="16.05" customHeight="1">
      <c r="A79" s="5" t="s">
        <v>424</v>
      </c>
      <c r="B79" s="23">
        <v>45337</v>
      </c>
      <c r="C79" s="5"/>
      <c r="D79" s="5" t="s">
        <v>41</v>
      </c>
      <c r="E79" s="5" t="s">
        <v>289</v>
      </c>
      <c r="F79" s="5" t="s">
        <v>100</v>
      </c>
      <c r="G79" s="5" t="s">
        <v>425</v>
      </c>
      <c r="H79" s="5" t="s">
        <v>426</v>
      </c>
      <c r="I79" s="5" t="s">
        <v>59</v>
      </c>
      <c r="J79" s="5" t="s">
        <v>85</v>
      </c>
      <c r="K79" s="5">
        <v>5</v>
      </c>
      <c r="L79" s="6">
        <v>4316</v>
      </c>
      <c r="M79" s="6">
        <v>3367</v>
      </c>
      <c r="N79" s="7">
        <v>22</v>
      </c>
      <c r="O79" s="6">
        <v>16835</v>
      </c>
      <c r="P79" s="6">
        <v>2429.56</v>
      </c>
      <c r="Q79" s="6">
        <v>841.75</v>
      </c>
      <c r="R79" s="6">
        <v>0</v>
      </c>
      <c r="S79" s="6">
        <v>5145.3500000000004</v>
      </c>
      <c r="T79" s="6">
        <v>457.59</v>
      </c>
      <c r="U79" s="5">
        <v>0</v>
      </c>
      <c r="V79" s="6">
        <v>0</v>
      </c>
      <c r="W79" s="5"/>
      <c r="X79" s="6">
        <v>16835</v>
      </c>
      <c r="Y79" s="8">
        <v>7960.75</v>
      </c>
      <c r="Z79" s="7">
        <v>47.3</v>
      </c>
      <c r="AA79" s="5" t="s">
        <v>60</v>
      </c>
      <c r="AB79" s="5">
        <v>2243</v>
      </c>
      <c r="AC79" s="5">
        <v>127</v>
      </c>
      <c r="AD79" s="7">
        <v>5.66</v>
      </c>
      <c r="AE79" s="5">
        <v>17</v>
      </c>
      <c r="AF79" s="7">
        <v>0.8</v>
      </c>
      <c r="AG79" s="5"/>
      <c r="AH79" s="5" t="s">
        <v>49</v>
      </c>
      <c r="AI79" s="5" t="s">
        <v>297</v>
      </c>
      <c r="AJ79" s="5">
        <v>2</v>
      </c>
      <c r="AK79" s="5">
        <v>49</v>
      </c>
      <c r="AL79" s="5" t="s">
        <v>51</v>
      </c>
    </row>
    <row r="80" spans="1:38" ht="16.05" customHeight="1">
      <c r="A80" s="1" t="s">
        <v>427</v>
      </c>
      <c r="B80" s="22">
        <v>45508</v>
      </c>
      <c r="C80" s="1" t="s">
        <v>428</v>
      </c>
      <c r="D80" s="1" t="s">
        <v>144</v>
      </c>
      <c r="E80" s="1" t="s">
        <v>429</v>
      </c>
      <c r="F80" s="1" t="s">
        <v>74</v>
      </c>
      <c r="G80" s="1" t="s">
        <v>430</v>
      </c>
      <c r="H80" s="1" t="s">
        <v>431</v>
      </c>
      <c r="I80" s="1" t="s">
        <v>46</v>
      </c>
      <c r="J80" s="1" t="s">
        <v>47</v>
      </c>
      <c r="K80" s="1">
        <v>6</v>
      </c>
      <c r="L80" s="2">
        <v>2895</v>
      </c>
      <c r="M80" s="2">
        <v>2368</v>
      </c>
      <c r="N80" s="3">
        <v>18.2</v>
      </c>
      <c r="O80" s="2">
        <v>14208</v>
      </c>
      <c r="P80" s="2">
        <v>2155.09</v>
      </c>
      <c r="Q80" s="2">
        <v>0</v>
      </c>
      <c r="R80" s="2">
        <v>33.83</v>
      </c>
      <c r="S80" s="2">
        <v>7215.83</v>
      </c>
      <c r="T80" s="2">
        <v>189.94</v>
      </c>
      <c r="U80" s="1">
        <v>0</v>
      </c>
      <c r="V80" s="2">
        <v>0</v>
      </c>
      <c r="W80" s="1"/>
      <c r="X80" s="2">
        <v>14208</v>
      </c>
      <c r="Y80" s="4">
        <v>4613.3100000000004</v>
      </c>
      <c r="Z80" s="3">
        <v>32.5</v>
      </c>
      <c r="AA80" s="1" t="s">
        <v>48</v>
      </c>
      <c r="AB80" s="1">
        <v>5826</v>
      </c>
      <c r="AC80" s="1">
        <v>68</v>
      </c>
      <c r="AD80" s="3">
        <v>1.17</v>
      </c>
      <c r="AE80" s="1">
        <v>7</v>
      </c>
      <c r="AF80" s="3">
        <v>1.1000000000000001</v>
      </c>
      <c r="AG80" s="1">
        <v>2</v>
      </c>
      <c r="AH80" s="1" t="s">
        <v>61</v>
      </c>
      <c r="AI80" s="1" t="s">
        <v>70</v>
      </c>
      <c r="AJ80" s="1">
        <v>7</v>
      </c>
      <c r="AK80" s="1">
        <v>29</v>
      </c>
      <c r="AL80" s="1" t="s">
        <v>51</v>
      </c>
    </row>
    <row r="81" spans="1:38" ht="16.05" customHeight="1">
      <c r="A81" s="5" t="s">
        <v>432</v>
      </c>
      <c r="B81" s="23">
        <v>45291</v>
      </c>
      <c r="C81" s="5" t="s">
        <v>433</v>
      </c>
      <c r="D81" s="5" t="s">
        <v>98</v>
      </c>
      <c r="E81" s="5" t="s">
        <v>434</v>
      </c>
      <c r="F81" s="5" t="s">
        <v>100</v>
      </c>
      <c r="G81" s="5" t="s">
        <v>435</v>
      </c>
      <c r="H81" s="5" t="s">
        <v>436</v>
      </c>
      <c r="I81" s="5" t="s">
        <v>46</v>
      </c>
      <c r="J81" s="5" t="s">
        <v>103</v>
      </c>
      <c r="K81" s="5">
        <v>5</v>
      </c>
      <c r="L81" s="6">
        <v>2461</v>
      </c>
      <c r="M81" s="6">
        <v>1872</v>
      </c>
      <c r="N81" s="7">
        <v>23.9</v>
      </c>
      <c r="O81" s="6">
        <v>9360</v>
      </c>
      <c r="P81" s="6">
        <v>1634.06</v>
      </c>
      <c r="Q81" s="6">
        <v>0</v>
      </c>
      <c r="R81" s="6">
        <v>109.01</v>
      </c>
      <c r="S81" s="6">
        <v>3311.89</v>
      </c>
      <c r="T81" s="6">
        <v>393.98</v>
      </c>
      <c r="U81" s="5">
        <v>3</v>
      </c>
      <c r="V81" s="6">
        <v>5616</v>
      </c>
      <c r="W81" s="5" t="s">
        <v>242</v>
      </c>
      <c r="X81" s="6">
        <v>3744</v>
      </c>
      <c r="Y81" s="11">
        <v>-1704.94</v>
      </c>
      <c r="Z81" s="7">
        <v>-45.5</v>
      </c>
      <c r="AA81" s="5" t="s">
        <v>60</v>
      </c>
      <c r="AB81" s="5">
        <v>13128</v>
      </c>
      <c r="AC81" s="5">
        <v>552</v>
      </c>
      <c r="AD81" s="7">
        <v>4.2</v>
      </c>
      <c r="AE81" s="5">
        <v>1</v>
      </c>
      <c r="AF81" s="7">
        <v>21</v>
      </c>
      <c r="AG81" s="5"/>
      <c r="AH81" s="5" t="s">
        <v>49</v>
      </c>
      <c r="AI81" s="5" t="s">
        <v>308</v>
      </c>
      <c r="AJ81" s="5">
        <v>6</v>
      </c>
      <c r="AK81" s="5">
        <v>33</v>
      </c>
      <c r="AL81" s="5" t="s">
        <v>51</v>
      </c>
    </row>
    <row r="82" spans="1:38" ht="16.05" customHeight="1">
      <c r="A82" s="1" t="s">
        <v>437</v>
      </c>
      <c r="B82" s="22">
        <v>45578</v>
      </c>
      <c r="C82" s="1"/>
      <c r="D82" s="1" t="s">
        <v>41</v>
      </c>
      <c r="E82" s="1" t="s">
        <v>289</v>
      </c>
      <c r="F82" s="1" t="s">
        <v>222</v>
      </c>
      <c r="G82" s="1" t="s">
        <v>438</v>
      </c>
      <c r="H82" s="1" t="s">
        <v>439</v>
      </c>
      <c r="I82" s="1" t="s">
        <v>59</v>
      </c>
      <c r="J82" s="1" t="s">
        <v>85</v>
      </c>
      <c r="K82" s="1">
        <v>5</v>
      </c>
      <c r="L82" s="2">
        <v>321</v>
      </c>
      <c r="M82" s="2">
        <v>227</v>
      </c>
      <c r="N82" s="3">
        <v>29.3</v>
      </c>
      <c r="O82" s="2">
        <v>1135</v>
      </c>
      <c r="P82" s="2">
        <v>137.94999999999999</v>
      </c>
      <c r="Q82" s="2">
        <v>56.75</v>
      </c>
      <c r="R82" s="2">
        <v>0</v>
      </c>
      <c r="S82" s="2">
        <v>454.69</v>
      </c>
      <c r="T82" s="2">
        <v>455.81</v>
      </c>
      <c r="U82" s="1">
        <v>0</v>
      </c>
      <c r="V82" s="2">
        <v>0</v>
      </c>
      <c r="W82" s="1"/>
      <c r="X82" s="2">
        <v>1135</v>
      </c>
      <c r="Y82" s="4">
        <v>29.8</v>
      </c>
      <c r="Z82" s="3">
        <v>2.6</v>
      </c>
      <c r="AA82" s="1" t="s">
        <v>94</v>
      </c>
      <c r="AB82" s="1">
        <v>7610</v>
      </c>
      <c r="AC82" s="1">
        <v>17</v>
      </c>
      <c r="AD82" s="3">
        <v>0.22</v>
      </c>
      <c r="AE82" s="1">
        <v>2</v>
      </c>
      <c r="AF82" s="3">
        <v>100.4</v>
      </c>
      <c r="AG82" s="1"/>
      <c r="AH82" s="1" t="s">
        <v>49</v>
      </c>
      <c r="AI82" s="1" t="s">
        <v>176</v>
      </c>
      <c r="AJ82" s="1">
        <v>3</v>
      </c>
      <c r="AK82" s="1">
        <v>158</v>
      </c>
      <c r="AL82" s="1" t="s">
        <v>51</v>
      </c>
    </row>
    <row r="83" spans="1:38" ht="16.05" customHeight="1">
      <c r="A83" s="5" t="s">
        <v>440</v>
      </c>
      <c r="B83" s="23">
        <v>45620</v>
      </c>
      <c r="C83" s="5" t="s">
        <v>442</v>
      </c>
      <c r="D83" s="5" t="s">
        <v>41</v>
      </c>
      <c r="E83" s="5" t="s">
        <v>202</v>
      </c>
      <c r="F83" s="5" t="s">
        <v>56</v>
      </c>
      <c r="G83" s="5" t="s">
        <v>443</v>
      </c>
      <c r="H83" s="5" t="s">
        <v>444</v>
      </c>
      <c r="I83" s="5" t="s">
        <v>59</v>
      </c>
      <c r="J83" s="5" t="s">
        <v>47</v>
      </c>
      <c r="K83" s="5">
        <v>3</v>
      </c>
      <c r="L83" s="6">
        <v>3539</v>
      </c>
      <c r="M83" s="6">
        <v>3318</v>
      </c>
      <c r="N83" s="7">
        <v>6.2</v>
      </c>
      <c r="O83" s="6">
        <v>9954</v>
      </c>
      <c r="P83" s="6">
        <v>1729.51</v>
      </c>
      <c r="Q83" s="6">
        <v>497.7</v>
      </c>
      <c r="R83" s="6">
        <v>0</v>
      </c>
      <c r="S83" s="6">
        <v>4516.0600000000004</v>
      </c>
      <c r="T83" s="6">
        <v>458.2</v>
      </c>
      <c r="U83" s="5">
        <v>0</v>
      </c>
      <c r="V83" s="6">
        <v>0</v>
      </c>
      <c r="W83" s="5"/>
      <c r="X83" s="6">
        <v>9954</v>
      </c>
      <c r="Y83" s="8">
        <v>2752.53</v>
      </c>
      <c r="Z83" s="7">
        <v>27.7</v>
      </c>
      <c r="AA83" s="5" t="s">
        <v>60</v>
      </c>
      <c r="AB83" s="5">
        <v>3090</v>
      </c>
      <c r="AC83" s="5">
        <v>73</v>
      </c>
      <c r="AD83" s="7">
        <v>2.36</v>
      </c>
      <c r="AE83" s="5">
        <v>2</v>
      </c>
      <c r="AF83" s="7">
        <v>6.9</v>
      </c>
      <c r="AG83" s="5">
        <v>4</v>
      </c>
      <c r="AH83" s="5" t="s">
        <v>61</v>
      </c>
      <c r="AI83" s="5" t="s">
        <v>118</v>
      </c>
      <c r="AJ83" s="5">
        <v>1</v>
      </c>
      <c r="AK83" s="5">
        <v>13</v>
      </c>
      <c r="AL83" s="12" t="s">
        <v>71</v>
      </c>
    </row>
    <row r="84" spans="1:38" ht="16.05" customHeight="1">
      <c r="A84" s="1" t="s">
        <v>445</v>
      </c>
      <c r="B84" s="22">
        <v>45448</v>
      </c>
      <c r="C84" s="1" t="s">
        <v>381</v>
      </c>
      <c r="D84" s="1" t="s">
        <v>41</v>
      </c>
      <c r="E84" s="1" t="s">
        <v>289</v>
      </c>
      <c r="F84" s="1" t="s">
        <v>74</v>
      </c>
      <c r="G84" s="1" t="s">
        <v>446</v>
      </c>
      <c r="H84" s="1" t="s">
        <v>447</v>
      </c>
      <c r="I84" s="1" t="s">
        <v>46</v>
      </c>
      <c r="J84" s="1" t="s">
        <v>47</v>
      </c>
      <c r="K84" s="1">
        <v>8</v>
      </c>
      <c r="L84" s="2">
        <v>4871</v>
      </c>
      <c r="M84" s="2">
        <v>4193</v>
      </c>
      <c r="N84" s="3">
        <v>13.9</v>
      </c>
      <c r="O84" s="2">
        <v>33544</v>
      </c>
      <c r="P84" s="2">
        <v>3698.29</v>
      </c>
      <c r="Q84" s="2">
        <v>0</v>
      </c>
      <c r="R84" s="2">
        <v>65.27</v>
      </c>
      <c r="S84" s="2">
        <v>14554.71</v>
      </c>
      <c r="T84" s="2">
        <v>0</v>
      </c>
      <c r="U84" s="1">
        <v>0</v>
      </c>
      <c r="V84" s="2">
        <v>0</v>
      </c>
      <c r="W84" s="1"/>
      <c r="X84" s="2">
        <v>33544</v>
      </c>
      <c r="Y84" s="4">
        <v>15225.73</v>
      </c>
      <c r="Z84" s="3">
        <v>45.4</v>
      </c>
      <c r="AA84" s="1" t="s">
        <v>60</v>
      </c>
      <c r="AB84" s="1">
        <v>0</v>
      </c>
      <c r="AC84" s="1">
        <v>0</v>
      </c>
      <c r="AD84" s="3">
        <v>0</v>
      </c>
      <c r="AE84" s="1">
        <v>0</v>
      </c>
      <c r="AF84" s="3">
        <v>0</v>
      </c>
      <c r="AG84" s="1">
        <v>1</v>
      </c>
      <c r="AH84" s="1" t="s">
        <v>61</v>
      </c>
      <c r="AI84" s="1" t="s">
        <v>105</v>
      </c>
      <c r="AJ84" s="1">
        <v>6</v>
      </c>
      <c r="AK84" s="1">
        <v>74</v>
      </c>
      <c r="AL84" s="1" t="s">
        <v>51</v>
      </c>
    </row>
    <row r="85" spans="1:38" ht="16.05" customHeight="1">
      <c r="A85" s="5" t="s">
        <v>448</v>
      </c>
      <c r="B85" s="23">
        <v>44962</v>
      </c>
      <c r="C85" s="5"/>
      <c r="D85" s="5" t="s">
        <v>98</v>
      </c>
      <c r="E85" s="5" t="s">
        <v>449</v>
      </c>
      <c r="F85" s="5" t="s">
        <v>125</v>
      </c>
      <c r="G85" s="5" t="s">
        <v>450</v>
      </c>
      <c r="H85" s="5" t="s">
        <v>451</v>
      </c>
      <c r="I85" s="5" t="s">
        <v>46</v>
      </c>
      <c r="J85" s="5" t="s">
        <v>85</v>
      </c>
      <c r="K85" s="5">
        <v>3</v>
      </c>
      <c r="L85" s="6">
        <v>3025</v>
      </c>
      <c r="M85" s="6">
        <v>2228</v>
      </c>
      <c r="N85" s="7">
        <v>26.3</v>
      </c>
      <c r="O85" s="6">
        <v>6684</v>
      </c>
      <c r="P85" s="6">
        <v>777.57</v>
      </c>
      <c r="Q85" s="6">
        <v>0</v>
      </c>
      <c r="R85" s="6">
        <v>92.58</v>
      </c>
      <c r="S85" s="6">
        <v>3431.82</v>
      </c>
      <c r="T85" s="6">
        <v>0</v>
      </c>
      <c r="U85" s="5">
        <v>0</v>
      </c>
      <c r="V85" s="6">
        <v>0</v>
      </c>
      <c r="W85" s="5"/>
      <c r="X85" s="6">
        <v>6684</v>
      </c>
      <c r="Y85" s="8">
        <v>2382.0300000000002</v>
      </c>
      <c r="Z85" s="7">
        <v>35.6</v>
      </c>
      <c r="AA85" s="5" t="s">
        <v>60</v>
      </c>
      <c r="AB85" s="5">
        <v>0</v>
      </c>
      <c r="AC85" s="5">
        <v>0</v>
      </c>
      <c r="AD85" s="7">
        <v>0</v>
      </c>
      <c r="AE85" s="5">
        <v>0</v>
      </c>
      <c r="AF85" s="7">
        <v>0</v>
      </c>
      <c r="AG85" s="5"/>
      <c r="AH85" s="5" t="s">
        <v>49</v>
      </c>
      <c r="AI85" s="5" t="s">
        <v>79</v>
      </c>
      <c r="AJ85" s="5">
        <v>6</v>
      </c>
      <c r="AK85" s="5">
        <v>66</v>
      </c>
      <c r="AL85" s="5" t="s">
        <v>51</v>
      </c>
    </row>
    <row r="86" spans="1:38" ht="16.05" customHeight="1">
      <c r="A86" s="1" t="s">
        <v>452</v>
      </c>
      <c r="B86" s="22">
        <v>45624</v>
      </c>
      <c r="C86" s="1"/>
      <c r="D86" s="1" t="s">
        <v>65</v>
      </c>
      <c r="E86" s="1" t="s">
        <v>179</v>
      </c>
      <c r="F86" s="1" t="s">
        <v>222</v>
      </c>
      <c r="G86" s="1" t="s">
        <v>453</v>
      </c>
      <c r="H86" s="1" t="s">
        <v>454</v>
      </c>
      <c r="I86" s="1" t="s">
        <v>46</v>
      </c>
      <c r="J86" s="1" t="s">
        <v>85</v>
      </c>
      <c r="K86" s="1">
        <v>6</v>
      </c>
      <c r="L86" s="2">
        <v>2500</v>
      </c>
      <c r="M86" s="2">
        <v>2284</v>
      </c>
      <c r="N86" s="3">
        <v>8.6</v>
      </c>
      <c r="O86" s="2">
        <v>13704</v>
      </c>
      <c r="P86" s="2">
        <v>2241.37</v>
      </c>
      <c r="Q86" s="2">
        <v>0</v>
      </c>
      <c r="R86" s="2">
        <v>80.89</v>
      </c>
      <c r="S86" s="2">
        <v>6122.28</v>
      </c>
      <c r="T86" s="2">
        <v>15.07</v>
      </c>
      <c r="U86" s="1">
        <v>0</v>
      </c>
      <c r="V86" s="2">
        <v>0</v>
      </c>
      <c r="W86" s="1"/>
      <c r="X86" s="2">
        <v>13704</v>
      </c>
      <c r="Y86" s="4">
        <v>5244.39</v>
      </c>
      <c r="Z86" s="3">
        <v>38.299999999999997</v>
      </c>
      <c r="AA86" s="1" t="s">
        <v>94</v>
      </c>
      <c r="AB86" s="1">
        <v>8841</v>
      </c>
      <c r="AC86" s="1">
        <v>259</v>
      </c>
      <c r="AD86" s="3">
        <v>2.93</v>
      </c>
      <c r="AE86" s="1">
        <v>5</v>
      </c>
      <c r="AF86" s="3">
        <v>0.1</v>
      </c>
      <c r="AG86" s="1"/>
      <c r="AH86" s="1" t="s">
        <v>49</v>
      </c>
      <c r="AI86" s="1" t="s">
        <v>308</v>
      </c>
      <c r="AJ86" s="1">
        <v>4</v>
      </c>
      <c r="AK86" s="1">
        <v>129</v>
      </c>
      <c r="AL86" s="1" t="s">
        <v>51</v>
      </c>
    </row>
    <row r="87" spans="1:38" ht="16.05" customHeight="1">
      <c r="A87" s="5" t="s">
        <v>455</v>
      </c>
      <c r="B87" s="23">
        <v>45652</v>
      </c>
      <c r="C87" s="5"/>
      <c r="D87" s="5" t="s">
        <v>144</v>
      </c>
      <c r="E87" s="5" t="s">
        <v>456</v>
      </c>
      <c r="F87" s="5" t="s">
        <v>100</v>
      </c>
      <c r="G87" s="5" t="s">
        <v>457</v>
      </c>
      <c r="H87" s="5" t="s">
        <v>458</v>
      </c>
      <c r="I87" s="5" t="s">
        <v>59</v>
      </c>
      <c r="J87" s="5" t="s">
        <v>136</v>
      </c>
      <c r="K87" s="5">
        <v>5</v>
      </c>
      <c r="L87" s="6">
        <v>2143</v>
      </c>
      <c r="M87" s="6">
        <v>1775</v>
      </c>
      <c r="N87" s="7">
        <v>17.2</v>
      </c>
      <c r="O87" s="6">
        <v>8875</v>
      </c>
      <c r="P87" s="6">
        <v>1423.07</v>
      </c>
      <c r="Q87" s="6">
        <v>443.75</v>
      </c>
      <c r="R87" s="6">
        <v>0</v>
      </c>
      <c r="S87" s="6">
        <v>3681.01</v>
      </c>
      <c r="T87" s="6">
        <v>38.86</v>
      </c>
      <c r="U87" s="5">
        <v>0</v>
      </c>
      <c r="V87" s="6">
        <v>0</v>
      </c>
      <c r="W87" s="5"/>
      <c r="X87" s="6">
        <v>8875</v>
      </c>
      <c r="Y87" s="8">
        <v>3288.31</v>
      </c>
      <c r="Z87" s="7">
        <v>37.1</v>
      </c>
      <c r="AA87" s="5" t="s">
        <v>60</v>
      </c>
      <c r="AB87" s="5">
        <v>13603</v>
      </c>
      <c r="AC87" s="5">
        <v>509</v>
      </c>
      <c r="AD87" s="7">
        <v>3.74</v>
      </c>
      <c r="AE87" s="5">
        <v>87</v>
      </c>
      <c r="AF87" s="7">
        <v>0</v>
      </c>
      <c r="AG87" s="5"/>
      <c r="AH87" s="5" t="s">
        <v>49</v>
      </c>
      <c r="AI87" s="5" t="s">
        <v>50</v>
      </c>
      <c r="AJ87" s="5">
        <v>2</v>
      </c>
      <c r="AK87" s="5">
        <v>154</v>
      </c>
      <c r="AL87" s="5" t="s">
        <v>51</v>
      </c>
    </row>
    <row r="88" spans="1:38" ht="16.05" customHeight="1">
      <c r="A88" s="1" t="s">
        <v>459</v>
      </c>
      <c r="B88" s="22">
        <v>45278</v>
      </c>
      <c r="C88" s="1" t="s">
        <v>460</v>
      </c>
      <c r="D88" s="1" t="s">
        <v>81</v>
      </c>
      <c r="E88" s="1" t="s">
        <v>279</v>
      </c>
      <c r="F88" s="1" t="s">
        <v>239</v>
      </c>
      <c r="G88" s="1" t="s">
        <v>461</v>
      </c>
      <c r="H88" s="1" t="s">
        <v>462</v>
      </c>
      <c r="I88" s="1" t="s">
        <v>59</v>
      </c>
      <c r="J88" s="1" t="s">
        <v>47</v>
      </c>
      <c r="K88" s="1">
        <v>10</v>
      </c>
      <c r="L88" s="2">
        <v>3895</v>
      </c>
      <c r="M88" s="2">
        <v>3505</v>
      </c>
      <c r="N88" s="3">
        <v>10</v>
      </c>
      <c r="O88" s="2">
        <v>35050</v>
      </c>
      <c r="P88" s="2">
        <v>4222.72</v>
      </c>
      <c r="Q88" s="2">
        <v>1752.5</v>
      </c>
      <c r="R88" s="2">
        <v>0</v>
      </c>
      <c r="S88" s="2">
        <v>13725.01</v>
      </c>
      <c r="T88" s="2">
        <v>279.10000000000002</v>
      </c>
      <c r="U88" s="1">
        <v>0</v>
      </c>
      <c r="V88" s="2">
        <v>0</v>
      </c>
      <c r="W88" s="1"/>
      <c r="X88" s="2">
        <v>35050</v>
      </c>
      <c r="Y88" s="4">
        <v>15070.67</v>
      </c>
      <c r="Z88" s="3">
        <v>43</v>
      </c>
      <c r="AA88" s="1" t="s">
        <v>48</v>
      </c>
      <c r="AB88" s="1">
        <v>8591</v>
      </c>
      <c r="AC88" s="1">
        <v>210</v>
      </c>
      <c r="AD88" s="3">
        <v>2.44</v>
      </c>
      <c r="AE88" s="1">
        <v>25</v>
      </c>
      <c r="AF88" s="3">
        <v>0.3</v>
      </c>
      <c r="AG88" s="1">
        <v>4</v>
      </c>
      <c r="AH88" s="1" t="s">
        <v>49</v>
      </c>
      <c r="AI88" s="1" t="s">
        <v>70</v>
      </c>
      <c r="AJ88" s="1">
        <v>3</v>
      </c>
      <c r="AK88" s="1">
        <v>7</v>
      </c>
      <c r="AL88" s="9" t="s">
        <v>71</v>
      </c>
    </row>
    <row r="89" spans="1:38" ht="16.05" customHeight="1">
      <c r="A89" s="5" t="s">
        <v>463</v>
      </c>
      <c r="B89" s="23">
        <v>45633</v>
      </c>
      <c r="C89" s="5" t="s">
        <v>464</v>
      </c>
      <c r="D89" s="5" t="s">
        <v>81</v>
      </c>
      <c r="E89" s="5" t="s">
        <v>90</v>
      </c>
      <c r="F89" s="5" t="s">
        <v>43</v>
      </c>
      <c r="G89" s="5" t="s">
        <v>465</v>
      </c>
      <c r="H89" s="5" t="s">
        <v>466</v>
      </c>
      <c r="I89" s="5" t="s">
        <v>59</v>
      </c>
      <c r="J89" s="5" t="s">
        <v>47</v>
      </c>
      <c r="K89" s="5">
        <v>1</v>
      </c>
      <c r="L89" s="6">
        <v>1299</v>
      </c>
      <c r="M89" s="6">
        <v>1196</v>
      </c>
      <c r="N89" s="7">
        <v>7.9</v>
      </c>
      <c r="O89" s="6">
        <v>1196</v>
      </c>
      <c r="P89" s="6">
        <v>108.78</v>
      </c>
      <c r="Q89" s="6">
        <v>59.8</v>
      </c>
      <c r="R89" s="6">
        <v>0</v>
      </c>
      <c r="S89" s="6">
        <v>367.03</v>
      </c>
      <c r="T89" s="6">
        <v>0</v>
      </c>
      <c r="U89" s="5">
        <v>0</v>
      </c>
      <c r="V89" s="6">
        <v>0</v>
      </c>
      <c r="W89" s="5"/>
      <c r="X89" s="6">
        <v>1196</v>
      </c>
      <c r="Y89" s="8">
        <v>660.39</v>
      </c>
      <c r="Z89" s="7">
        <v>55.2</v>
      </c>
      <c r="AA89" s="5" t="s">
        <v>60</v>
      </c>
      <c r="AB89" s="5">
        <v>0</v>
      </c>
      <c r="AC89" s="5">
        <v>0</v>
      </c>
      <c r="AD89" s="7">
        <v>0</v>
      </c>
      <c r="AE89" s="5">
        <v>0</v>
      </c>
      <c r="AF89" s="7">
        <v>0</v>
      </c>
      <c r="AG89" s="5">
        <v>1</v>
      </c>
      <c r="AH89" s="5" t="s">
        <v>49</v>
      </c>
      <c r="AI89" s="5" t="s">
        <v>62</v>
      </c>
      <c r="AJ89" s="5">
        <v>2</v>
      </c>
      <c r="AK89" s="5">
        <v>59</v>
      </c>
      <c r="AL89" s="5" t="s">
        <v>51</v>
      </c>
    </row>
    <row r="90" spans="1:38" ht="16.05" customHeight="1">
      <c r="A90" s="1" t="s">
        <v>467</v>
      </c>
      <c r="B90" s="22">
        <v>45283</v>
      </c>
      <c r="C90" s="1"/>
      <c r="D90" s="1" t="s">
        <v>81</v>
      </c>
      <c r="E90" s="1" t="s">
        <v>284</v>
      </c>
      <c r="F90" s="1" t="s">
        <v>203</v>
      </c>
      <c r="G90" s="1" t="s">
        <v>469</v>
      </c>
      <c r="H90" s="1" t="s">
        <v>470</v>
      </c>
      <c r="I90" s="1" t="s">
        <v>46</v>
      </c>
      <c r="J90" s="1" t="s">
        <v>136</v>
      </c>
      <c r="K90" s="1">
        <v>6</v>
      </c>
      <c r="L90" s="2">
        <v>2506</v>
      </c>
      <c r="M90" s="2">
        <v>2146</v>
      </c>
      <c r="N90" s="3">
        <v>14.4</v>
      </c>
      <c r="O90" s="2">
        <v>12876</v>
      </c>
      <c r="P90" s="2">
        <v>1448.5</v>
      </c>
      <c r="Q90" s="2">
        <v>0</v>
      </c>
      <c r="R90" s="2">
        <v>95.56</v>
      </c>
      <c r="S90" s="2">
        <v>6512.16</v>
      </c>
      <c r="T90" s="2">
        <v>455.4</v>
      </c>
      <c r="U90" s="1">
        <v>0</v>
      </c>
      <c r="V90" s="2">
        <v>0</v>
      </c>
      <c r="W90" s="1"/>
      <c r="X90" s="2">
        <v>12876</v>
      </c>
      <c r="Y90" s="4">
        <v>4364.38</v>
      </c>
      <c r="Z90" s="3">
        <v>33.9</v>
      </c>
      <c r="AA90" s="1" t="s">
        <v>60</v>
      </c>
      <c r="AB90" s="1">
        <v>7963</v>
      </c>
      <c r="AC90" s="1">
        <v>114</v>
      </c>
      <c r="AD90" s="3">
        <v>1.43</v>
      </c>
      <c r="AE90" s="1">
        <v>0</v>
      </c>
      <c r="AF90" s="3">
        <v>0</v>
      </c>
      <c r="AG90" s="1"/>
      <c r="AH90" s="1" t="s">
        <v>49</v>
      </c>
      <c r="AI90" s="1" t="s">
        <v>308</v>
      </c>
      <c r="AJ90" s="1">
        <v>4</v>
      </c>
      <c r="AK90" s="1">
        <v>34</v>
      </c>
      <c r="AL90" s="1" t="s">
        <v>51</v>
      </c>
    </row>
    <row r="91" spans="1:38" ht="16.05" customHeight="1">
      <c r="A91" s="5" t="s">
        <v>471</v>
      </c>
      <c r="B91" s="23">
        <v>45137</v>
      </c>
      <c r="C91" s="5" t="s">
        <v>97</v>
      </c>
      <c r="D91" s="5" t="s">
        <v>81</v>
      </c>
      <c r="E91" s="5" t="s">
        <v>185</v>
      </c>
      <c r="F91" s="5" t="s">
        <v>222</v>
      </c>
      <c r="G91" s="5" t="s">
        <v>472</v>
      </c>
      <c r="H91" s="5" t="s">
        <v>473</v>
      </c>
      <c r="I91" s="5" t="s">
        <v>59</v>
      </c>
      <c r="J91" s="5" t="s">
        <v>47</v>
      </c>
      <c r="K91" s="5">
        <v>5</v>
      </c>
      <c r="L91" s="6">
        <v>654</v>
      </c>
      <c r="M91" s="6">
        <v>480</v>
      </c>
      <c r="N91" s="7">
        <v>26.6</v>
      </c>
      <c r="O91" s="6">
        <v>2400</v>
      </c>
      <c r="P91" s="6">
        <v>394.41</v>
      </c>
      <c r="Q91" s="6">
        <v>120</v>
      </c>
      <c r="R91" s="6">
        <v>0</v>
      </c>
      <c r="S91" s="6">
        <v>1046.5999999999999</v>
      </c>
      <c r="T91" s="6">
        <v>55.28</v>
      </c>
      <c r="U91" s="5">
        <v>0</v>
      </c>
      <c r="V91" s="6">
        <v>0</v>
      </c>
      <c r="W91" s="5"/>
      <c r="X91" s="6">
        <v>2400</v>
      </c>
      <c r="Y91" s="8">
        <v>783.71</v>
      </c>
      <c r="Z91" s="7">
        <v>32.700000000000003</v>
      </c>
      <c r="AA91" s="5" t="s">
        <v>78</v>
      </c>
      <c r="AB91" s="5">
        <v>7396</v>
      </c>
      <c r="AC91" s="5">
        <v>102</v>
      </c>
      <c r="AD91" s="7">
        <v>1.38</v>
      </c>
      <c r="AE91" s="5">
        <v>8</v>
      </c>
      <c r="AF91" s="7">
        <v>1.4</v>
      </c>
      <c r="AG91" s="5">
        <v>5</v>
      </c>
      <c r="AH91" s="5" t="s">
        <v>49</v>
      </c>
      <c r="AI91" s="5" t="s">
        <v>86</v>
      </c>
      <c r="AJ91" s="5">
        <v>2</v>
      </c>
      <c r="AK91" s="5">
        <v>18</v>
      </c>
      <c r="AL91" s="12" t="s">
        <v>71</v>
      </c>
    </row>
    <row r="92" spans="1:38" ht="16.05" customHeight="1">
      <c r="A92" s="1" t="s">
        <v>474</v>
      </c>
      <c r="B92" s="22">
        <v>45469</v>
      </c>
      <c r="C92" s="1"/>
      <c r="D92" s="1" t="s">
        <v>41</v>
      </c>
      <c r="E92" s="1" t="s">
        <v>202</v>
      </c>
      <c r="F92" s="1" t="s">
        <v>67</v>
      </c>
      <c r="G92" s="1" t="s">
        <v>475</v>
      </c>
      <c r="H92" s="1" t="s">
        <v>476</v>
      </c>
      <c r="I92" s="1" t="s">
        <v>59</v>
      </c>
      <c r="J92" s="1" t="s">
        <v>77</v>
      </c>
      <c r="K92" s="1">
        <v>1</v>
      </c>
      <c r="L92" s="2">
        <v>3703</v>
      </c>
      <c r="M92" s="2">
        <v>2633</v>
      </c>
      <c r="N92" s="3">
        <v>28.9</v>
      </c>
      <c r="O92" s="2">
        <v>2633</v>
      </c>
      <c r="P92" s="2">
        <v>456.31</v>
      </c>
      <c r="Q92" s="2">
        <v>131.65</v>
      </c>
      <c r="R92" s="2">
        <v>0</v>
      </c>
      <c r="S92" s="2">
        <v>1224.31</v>
      </c>
      <c r="T92" s="2">
        <v>228.01</v>
      </c>
      <c r="U92" s="1">
        <v>0</v>
      </c>
      <c r="V92" s="2">
        <v>0</v>
      </c>
      <c r="W92" s="1"/>
      <c r="X92" s="2">
        <v>2633</v>
      </c>
      <c r="Y92" s="4">
        <v>592.72</v>
      </c>
      <c r="Z92" s="3">
        <v>22.5</v>
      </c>
      <c r="AA92" s="1" t="s">
        <v>60</v>
      </c>
      <c r="AB92" s="1">
        <v>14246</v>
      </c>
      <c r="AC92" s="1">
        <v>551</v>
      </c>
      <c r="AD92" s="3">
        <v>3.87</v>
      </c>
      <c r="AE92" s="1">
        <v>95</v>
      </c>
      <c r="AF92" s="3">
        <v>0.1</v>
      </c>
      <c r="AG92" s="1"/>
      <c r="AH92" s="1" t="s">
        <v>49</v>
      </c>
      <c r="AI92" s="1" t="s">
        <v>153</v>
      </c>
      <c r="AJ92" s="1">
        <v>3</v>
      </c>
      <c r="AK92" s="1">
        <v>200</v>
      </c>
      <c r="AL92" s="1" t="s">
        <v>51</v>
      </c>
    </row>
    <row r="93" spans="1:38" ht="16.05" customHeight="1">
      <c r="A93" s="5" t="s">
        <v>477</v>
      </c>
      <c r="B93" s="23">
        <v>44940</v>
      </c>
      <c r="C93" s="5" t="s">
        <v>310</v>
      </c>
      <c r="D93" s="5" t="s">
        <v>65</v>
      </c>
      <c r="E93" s="5" t="s">
        <v>478</v>
      </c>
      <c r="F93" s="5" t="s">
        <v>67</v>
      </c>
      <c r="G93" s="5" t="s">
        <v>479</v>
      </c>
      <c r="H93" s="5" t="s">
        <v>480</v>
      </c>
      <c r="I93" s="5" t="s">
        <v>59</v>
      </c>
      <c r="J93" s="5" t="s">
        <v>47</v>
      </c>
      <c r="K93" s="5">
        <v>10</v>
      </c>
      <c r="L93" s="6">
        <v>4701</v>
      </c>
      <c r="M93" s="6">
        <v>4055</v>
      </c>
      <c r="N93" s="7">
        <v>13.7</v>
      </c>
      <c r="O93" s="6">
        <v>40550</v>
      </c>
      <c r="P93" s="6">
        <v>3943.69</v>
      </c>
      <c r="Q93" s="6">
        <v>2027.5</v>
      </c>
      <c r="R93" s="6">
        <v>0</v>
      </c>
      <c r="S93" s="6">
        <v>12242.8</v>
      </c>
      <c r="T93" s="6">
        <v>397.99</v>
      </c>
      <c r="U93" s="5">
        <v>0</v>
      </c>
      <c r="V93" s="6">
        <v>0</v>
      </c>
      <c r="W93" s="5"/>
      <c r="X93" s="6">
        <v>40550</v>
      </c>
      <c r="Y93" s="8">
        <v>21938.02</v>
      </c>
      <c r="Z93" s="7">
        <v>54.1</v>
      </c>
      <c r="AA93" s="5" t="s">
        <v>78</v>
      </c>
      <c r="AB93" s="5">
        <v>614</v>
      </c>
      <c r="AC93" s="5">
        <v>33</v>
      </c>
      <c r="AD93" s="7">
        <v>5.37</v>
      </c>
      <c r="AE93" s="5">
        <v>0</v>
      </c>
      <c r="AF93" s="7">
        <v>0</v>
      </c>
      <c r="AG93" s="5">
        <v>5</v>
      </c>
      <c r="AH93" s="5" t="s">
        <v>61</v>
      </c>
      <c r="AI93" s="5" t="s">
        <v>308</v>
      </c>
      <c r="AJ93" s="5">
        <v>1</v>
      </c>
      <c r="AK93" s="5">
        <v>161</v>
      </c>
      <c r="AL93" s="5" t="s">
        <v>51</v>
      </c>
    </row>
    <row r="94" spans="1:38" ht="16.05" customHeight="1">
      <c r="A94" s="1" t="s">
        <v>481</v>
      </c>
      <c r="B94" s="22">
        <v>45168</v>
      </c>
      <c r="C94" s="1"/>
      <c r="D94" s="1" t="s">
        <v>98</v>
      </c>
      <c r="E94" s="1" t="s">
        <v>482</v>
      </c>
      <c r="F94" s="1" t="s">
        <v>203</v>
      </c>
      <c r="G94" s="1" t="s">
        <v>483</v>
      </c>
      <c r="H94" s="1" t="s">
        <v>484</v>
      </c>
      <c r="I94" s="1" t="s">
        <v>59</v>
      </c>
      <c r="J94" s="1" t="s">
        <v>85</v>
      </c>
      <c r="K94" s="1">
        <v>6</v>
      </c>
      <c r="L94" s="2">
        <v>3573</v>
      </c>
      <c r="M94" s="2">
        <v>3215</v>
      </c>
      <c r="N94" s="3">
        <v>10</v>
      </c>
      <c r="O94" s="2">
        <v>19290</v>
      </c>
      <c r="P94" s="2">
        <v>3029.55</v>
      </c>
      <c r="Q94" s="2">
        <v>964.5</v>
      </c>
      <c r="R94" s="2">
        <v>0</v>
      </c>
      <c r="S94" s="2">
        <v>8038.47</v>
      </c>
      <c r="T94" s="2">
        <v>406.56</v>
      </c>
      <c r="U94" s="1">
        <v>0</v>
      </c>
      <c r="V94" s="2">
        <v>0</v>
      </c>
      <c r="W94" s="1"/>
      <c r="X94" s="2">
        <v>19290</v>
      </c>
      <c r="Y94" s="4">
        <v>6850.92</v>
      </c>
      <c r="Z94" s="3">
        <v>35.5</v>
      </c>
      <c r="AA94" s="1" t="s">
        <v>60</v>
      </c>
      <c r="AB94" s="1">
        <v>7731</v>
      </c>
      <c r="AC94" s="1">
        <v>592</v>
      </c>
      <c r="AD94" s="3">
        <v>7.66</v>
      </c>
      <c r="AE94" s="1">
        <v>9</v>
      </c>
      <c r="AF94" s="3">
        <v>1.4</v>
      </c>
      <c r="AG94" s="1"/>
      <c r="AH94" s="1" t="s">
        <v>49</v>
      </c>
      <c r="AI94" s="1" t="s">
        <v>297</v>
      </c>
      <c r="AJ94" s="1">
        <v>3</v>
      </c>
      <c r="AK94" s="1">
        <v>38</v>
      </c>
      <c r="AL94" s="1" t="s">
        <v>51</v>
      </c>
    </row>
    <row r="95" spans="1:38" ht="16.05" customHeight="1">
      <c r="A95" s="5" t="s">
        <v>485</v>
      </c>
      <c r="B95" s="23">
        <v>45034</v>
      </c>
      <c r="C95" s="5" t="s">
        <v>486</v>
      </c>
      <c r="D95" s="5" t="s">
        <v>98</v>
      </c>
      <c r="E95" s="5" t="s">
        <v>99</v>
      </c>
      <c r="F95" s="5" t="s">
        <v>222</v>
      </c>
      <c r="G95" s="5" t="s">
        <v>487</v>
      </c>
      <c r="H95" s="5" t="s">
        <v>488</v>
      </c>
      <c r="I95" s="5" t="s">
        <v>46</v>
      </c>
      <c r="J95" s="5" t="s">
        <v>47</v>
      </c>
      <c r="K95" s="5">
        <v>6</v>
      </c>
      <c r="L95" s="6">
        <v>3286</v>
      </c>
      <c r="M95" s="6">
        <v>3080</v>
      </c>
      <c r="N95" s="7">
        <v>6.3</v>
      </c>
      <c r="O95" s="6">
        <v>18480</v>
      </c>
      <c r="P95" s="6">
        <v>2496.0700000000002</v>
      </c>
      <c r="Q95" s="6">
        <v>0</v>
      </c>
      <c r="R95" s="6">
        <v>56.65</v>
      </c>
      <c r="S95" s="6">
        <v>6572.83</v>
      </c>
      <c r="T95" s="6">
        <v>0</v>
      </c>
      <c r="U95" s="5">
        <v>0</v>
      </c>
      <c r="V95" s="6">
        <v>0</v>
      </c>
      <c r="W95" s="5"/>
      <c r="X95" s="6">
        <v>18480</v>
      </c>
      <c r="Y95" s="8">
        <v>9354.4500000000007</v>
      </c>
      <c r="Z95" s="7">
        <v>50.6</v>
      </c>
      <c r="AA95" s="5" t="s">
        <v>60</v>
      </c>
      <c r="AB95" s="5">
        <v>0</v>
      </c>
      <c r="AC95" s="5">
        <v>0</v>
      </c>
      <c r="AD95" s="7">
        <v>0</v>
      </c>
      <c r="AE95" s="5">
        <v>0</v>
      </c>
      <c r="AF95" s="7">
        <v>0</v>
      </c>
      <c r="AG95" s="5">
        <v>4</v>
      </c>
      <c r="AH95" s="5" t="s">
        <v>61</v>
      </c>
      <c r="AI95" s="5" t="s">
        <v>86</v>
      </c>
      <c r="AJ95" s="5">
        <v>3</v>
      </c>
      <c r="AK95" s="5">
        <v>49</v>
      </c>
      <c r="AL95" s="5" t="s">
        <v>51</v>
      </c>
    </row>
    <row r="96" spans="1:38" ht="16.05" customHeight="1">
      <c r="A96" s="1" t="s">
        <v>489</v>
      </c>
      <c r="B96" s="22">
        <v>45475</v>
      </c>
      <c r="C96" s="1"/>
      <c r="D96" s="1" t="s">
        <v>81</v>
      </c>
      <c r="E96" s="1" t="s">
        <v>139</v>
      </c>
      <c r="F96" s="1" t="s">
        <v>100</v>
      </c>
      <c r="G96" s="1" t="s">
        <v>490</v>
      </c>
      <c r="H96" s="1" t="s">
        <v>491</v>
      </c>
      <c r="I96" s="1" t="s">
        <v>59</v>
      </c>
      <c r="J96" s="1" t="s">
        <v>77</v>
      </c>
      <c r="K96" s="1">
        <v>1</v>
      </c>
      <c r="L96" s="2">
        <v>2373</v>
      </c>
      <c r="M96" s="2">
        <v>1753</v>
      </c>
      <c r="N96" s="3">
        <v>26.1</v>
      </c>
      <c r="O96" s="2">
        <v>1753</v>
      </c>
      <c r="P96" s="2">
        <v>187.17</v>
      </c>
      <c r="Q96" s="2">
        <v>87.65</v>
      </c>
      <c r="R96" s="2">
        <v>0</v>
      </c>
      <c r="S96" s="2">
        <v>694.78</v>
      </c>
      <c r="T96" s="2">
        <v>67.58</v>
      </c>
      <c r="U96" s="1">
        <v>0</v>
      </c>
      <c r="V96" s="2">
        <v>0</v>
      </c>
      <c r="W96" s="1"/>
      <c r="X96" s="2">
        <v>1753</v>
      </c>
      <c r="Y96" s="4">
        <v>715.82</v>
      </c>
      <c r="Z96" s="3">
        <v>40.799999999999997</v>
      </c>
      <c r="AA96" s="1" t="s">
        <v>48</v>
      </c>
      <c r="AB96" s="1">
        <v>6530</v>
      </c>
      <c r="AC96" s="1">
        <v>17</v>
      </c>
      <c r="AD96" s="3">
        <v>0.26</v>
      </c>
      <c r="AE96" s="1">
        <v>1</v>
      </c>
      <c r="AF96" s="3">
        <v>3.9</v>
      </c>
      <c r="AG96" s="1"/>
      <c r="AH96" s="1" t="s">
        <v>49</v>
      </c>
      <c r="AI96" s="1" t="s">
        <v>163</v>
      </c>
      <c r="AJ96" s="1">
        <v>2</v>
      </c>
      <c r="AK96" s="1">
        <v>150</v>
      </c>
      <c r="AL96" s="1" t="s">
        <v>51</v>
      </c>
    </row>
    <row r="97" spans="1:38" ht="16.05" customHeight="1">
      <c r="A97" s="5" t="s">
        <v>492</v>
      </c>
      <c r="B97" s="23">
        <v>44927</v>
      </c>
      <c r="C97" s="5" t="s">
        <v>493</v>
      </c>
      <c r="D97" s="5" t="s">
        <v>54</v>
      </c>
      <c r="E97" s="5" t="s">
        <v>300</v>
      </c>
      <c r="F97" s="5" t="s">
        <v>256</v>
      </c>
      <c r="G97" s="5" t="s">
        <v>494</v>
      </c>
      <c r="H97" s="5" t="s">
        <v>495</v>
      </c>
      <c r="I97" s="5" t="s">
        <v>46</v>
      </c>
      <c r="J97" s="5" t="s">
        <v>47</v>
      </c>
      <c r="K97" s="5">
        <v>8</v>
      </c>
      <c r="L97" s="6">
        <v>4954</v>
      </c>
      <c r="M97" s="6">
        <v>4240</v>
      </c>
      <c r="N97" s="7">
        <v>14.4</v>
      </c>
      <c r="O97" s="6">
        <v>33920</v>
      </c>
      <c r="P97" s="6">
        <v>5127.26</v>
      </c>
      <c r="Q97" s="6">
        <v>0</v>
      </c>
      <c r="R97" s="6">
        <v>99.35</v>
      </c>
      <c r="S97" s="6">
        <v>10251.57</v>
      </c>
      <c r="T97" s="6">
        <v>346.6</v>
      </c>
      <c r="U97" s="5">
        <v>0</v>
      </c>
      <c r="V97" s="6">
        <v>0</v>
      </c>
      <c r="W97" s="5"/>
      <c r="X97" s="6">
        <v>33920</v>
      </c>
      <c r="Y97" s="8">
        <v>18095.22</v>
      </c>
      <c r="Z97" s="7">
        <v>53.3</v>
      </c>
      <c r="AA97" s="5" t="s">
        <v>60</v>
      </c>
      <c r="AB97" s="5">
        <v>9887</v>
      </c>
      <c r="AC97" s="5">
        <v>241</v>
      </c>
      <c r="AD97" s="7">
        <v>2.44</v>
      </c>
      <c r="AE97" s="5">
        <v>39</v>
      </c>
      <c r="AF97" s="7">
        <v>0.2</v>
      </c>
      <c r="AG97" s="5">
        <v>2</v>
      </c>
      <c r="AH97" s="5" t="s">
        <v>61</v>
      </c>
      <c r="AI97" s="5" t="s">
        <v>62</v>
      </c>
      <c r="AJ97" s="5">
        <v>6</v>
      </c>
      <c r="AK97" s="5">
        <v>153</v>
      </c>
      <c r="AL97" s="5" t="s">
        <v>51</v>
      </c>
    </row>
    <row r="98" spans="1:38" ht="16.05" customHeight="1">
      <c r="A98" s="1" t="s">
        <v>496</v>
      </c>
      <c r="B98" s="22">
        <v>45135</v>
      </c>
      <c r="C98" s="1" t="s">
        <v>497</v>
      </c>
      <c r="D98" s="1" t="s">
        <v>65</v>
      </c>
      <c r="E98" s="1" t="s">
        <v>73</v>
      </c>
      <c r="F98" s="1" t="s">
        <v>256</v>
      </c>
      <c r="G98" s="1" t="s">
        <v>498</v>
      </c>
      <c r="H98" s="1" t="s">
        <v>499</v>
      </c>
      <c r="I98" s="1" t="s">
        <v>59</v>
      </c>
      <c r="J98" s="1" t="s">
        <v>47</v>
      </c>
      <c r="K98" s="1">
        <v>7</v>
      </c>
      <c r="L98" s="2">
        <v>2981</v>
      </c>
      <c r="M98" s="2">
        <v>2433</v>
      </c>
      <c r="N98" s="3">
        <v>18.399999999999999</v>
      </c>
      <c r="O98" s="2">
        <v>17031</v>
      </c>
      <c r="P98" s="2">
        <v>1735.99</v>
      </c>
      <c r="Q98" s="2">
        <v>851.55</v>
      </c>
      <c r="R98" s="2">
        <v>0</v>
      </c>
      <c r="S98" s="2">
        <v>6436.28</v>
      </c>
      <c r="T98" s="2">
        <v>308.58999999999997</v>
      </c>
      <c r="U98" s="1">
        <v>0</v>
      </c>
      <c r="V98" s="2">
        <v>0</v>
      </c>
      <c r="W98" s="1"/>
      <c r="X98" s="2">
        <v>17031</v>
      </c>
      <c r="Y98" s="4">
        <v>7698.59</v>
      </c>
      <c r="Z98" s="3">
        <v>45.2</v>
      </c>
      <c r="AA98" s="1" t="s">
        <v>48</v>
      </c>
      <c r="AB98" s="1">
        <v>13119</v>
      </c>
      <c r="AC98" s="1">
        <v>991</v>
      </c>
      <c r="AD98" s="3">
        <v>7.55</v>
      </c>
      <c r="AE98" s="1">
        <v>132</v>
      </c>
      <c r="AF98" s="3">
        <v>0.1</v>
      </c>
      <c r="AG98" s="1">
        <v>4</v>
      </c>
      <c r="AH98" s="1" t="s">
        <v>49</v>
      </c>
      <c r="AI98" s="1" t="s">
        <v>86</v>
      </c>
      <c r="AJ98" s="1">
        <v>1</v>
      </c>
      <c r="AK98" s="1">
        <v>35</v>
      </c>
      <c r="AL98" s="1" t="s">
        <v>51</v>
      </c>
    </row>
    <row r="99" spans="1:38" ht="16.05" customHeight="1">
      <c r="A99" s="5" t="s">
        <v>500</v>
      </c>
      <c r="B99" s="23">
        <v>45356</v>
      </c>
      <c r="C99" s="5" t="s">
        <v>501</v>
      </c>
      <c r="D99" s="5" t="s">
        <v>41</v>
      </c>
      <c r="E99" s="5" t="s">
        <v>213</v>
      </c>
      <c r="F99" s="5" t="s">
        <v>100</v>
      </c>
      <c r="G99" s="5" t="s">
        <v>502</v>
      </c>
      <c r="H99" s="5" t="s">
        <v>503</v>
      </c>
      <c r="I99" s="5" t="s">
        <v>59</v>
      </c>
      <c r="J99" s="5" t="s">
        <v>47</v>
      </c>
      <c r="K99" s="5">
        <v>5</v>
      </c>
      <c r="L99" s="6">
        <v>1661</v>
      </c>
      <c r="M99" s="6">
        <v>1206</v>
      </c>
      <c r="N99" s="7">
        <v>27.4</v>
      </c>
      <c r="O99" s="6">
        <v>6030</v>
      </c>
      <c r="P99" s="6">
        <v>750.54</v>
      </c>
      <c r="Q99" s="6">
        <v>301.5</v>
      </c>
      <c r="R99" s="6">
        <v>0</v>
      </c>
      <c r="S99" s="6">
        <v>3261.89</v>
      </c>
      <c r="T99" s="6">
        <v>0</v>
      </c>
      <c r="U99" s="5">
        <v>0</v>
      </c>
      <c r="V99" s="6">
        <v>0</v>
      </c>
      <c r="W99" s="5"/>
      <c r="X99" s="6">
        <v>6030</v>
      </c>
      <c r="Y99" s="8">
        <v>1716.07</v>
      </c>
      <c r="Z99" s="7">
        <v>28.5</v>
      </c>
      <c r="AA99" s="5" t="s">
        <v>60</v>
      </c>
      <c r="AB99" s="5">
        <v>0</v>
      </c>
      <c r="AC99" s="5">
        <v>0</v>
      </c>
      <c r="AD99" s="7">
        <v>0</v>
      </c>
      <c r="AE99" s="5">
        <v>0</v>
      </c>
      <c r="AF99" s="7">
        <v>0</v>
      </c>
      <c r="AG99" s="5">
        <v>4</v>
      </c>
      <c r="AH99" s="5" t="s">
        <v>49</v>
      </c>
      <c r="AI99" s="5" t="s">
        <v>70</v>
      </c>
      <c r="AJ99" s="5">
        <v>3</v>
      </c>
      <c r="AK99" s="5">
        <v>141</v>
      </c>
      <c r="AL99" s="5" t="s">
        <v>51</v>
      </c>
    </row>
    <row r="100" spans="1:38" ht="16.05" customHeight="1">
      <c r="A100" s="1" t="s">
        <v>504</v>
      </c>
      <c r="B100" s="22">
        <v>45293</v>
      </c>
      <c r="C100" s="1" t="s">
        <v>505</v>
      </c>
      <c r="D100" s="1" t="s">
        <v>65</v>
      </c>
      <c r="E100" s="1" t="s">
        <v>478</v>
      </c>
      <c r="F100" s="1" t="s">
        <v>56</v>
      </c>
      <c r="G100" s="1" t="s">
        <v>506</v>
      </c>
      <c r="H100" s="1" t="s">
        <v>507</v>
      </c>
      <c r="I100" s="1" t="s">
        <v>59</v>
      </c>
      <c r="J100" s="1" t="s">
        <v>47</v>
      </c>
      <c r="K100" s="1">
        <v>6</v>
      </c>
      <c r="L100" s="2">
        <v>655</v>
      </c>
      <c r="M100" s="2">
        <v>485</v>
      </c>
      <c r="N100" s="3">
        <v>26</v>
      </c>
      <c r="O100" s="2">
        <v>2910</v>
      </c>
      <c r="P100" s="2">
        <v>431.82</v>
      </c>
      <c r="Q100" s="2">
        <v>145.5</v>
      </c>
      <c r="R100" s="2">
        <v>0</v>
      </c>
      <c r="S100" s="2">
        <v>952.75</v>
      </c>
      <c r="T100" s="2">
        <v>68.94</v>
      </c>
      <c r="U100" s="1">
        <v>0</v>
      </c>
      <c r="V100" s="2">
        <v>0</v>
      </c>
      <c r="W100" s="1"/>
      <c r="X100" s="2">
        <v>2910</v>
      </c>
      <c r="Y100" s="4">
        <v>1310.99</v>
      </c>
      <c r="Z100" s="3">
        <v>45.1</v>
      </c>
      <c r="AA100" s="1" t="s">
        <v>48</v>
      </c>
      <c r="AB100" s="1">
        <v>14842</v>
      </c>
      <c r="AC100" s="1">
        <v>394</v>
      </c>
      <c r="AD100" s="3">
        <v>2.65</v>
      </c>
      <c r="AE100" s="1">
        <v>22</v>
      </c>
      <c r="AF100" s="3">
        <v>0.6</v>
      </c>
      <c r="AG100" s="1">
        <v>5</v>
      </c>
      <c r="AH100" s="1" t="s">
        <v>49</v>
      </c>
      <c r="AI100" s="1" t="s">
        <v>163</v>
      </c>
      <c r="AJ100" s="1">
        <v>1</v>
      </c>
      <c r="AK100" s="1">
        <v>50</v>
      </c>
      <c r="AL100" s="1" t="s">
        <v>51</v>
      </c>
    </row>
    <row r="101" spans="1:38" ht="16.05" customHeight="1">
      <c r="A101" s="5" t="s">
        <v>508</v>
      </c>
      <c r="B101" s="23">
        <v>45582</v>
      </c>
      <c r="C101" s="5"/>
      <c r="D101" s="5" t="s">
        <v>144</v>
      </c>
      <c r="E101" s="5" t="s">
        <v>145</v>
      </c>
      <c r="F101" s="5" t="s">
        <v>43</v>
      </c>
      <c r="G101" s="5" t="s">
        <v>510</v>
      </c>
      <c r="H101" s="5" t="s">
        <v>511</v>
      </c>
      <c r="I101" s="5" t="s">
        <v>46</v>
      </c>
      <c r="J101" s="5" t="s">
        <v>136</v>
      </c>
      <c r="K101" s="5">
        <v>6</v>
      </c>
      <c r="L101" s="6">
        <v>3805</v>
      </c>
      <c r="M101" s="6">
        <v>3323</v>
      </c>
      <c r="N101" s="7">
        <v>12.7</v>
      </c>
      <c r="O101" s="6">
        <v>19938</v>
      </c>
      <c r="P101" s="6">
        <v>2394.4899999999998</v>
      </c>
      <c r="Q101" s="6">
        <v>0</v>
      </c>
      <c r="R101" s="6">
        <v>66.28</v>
      </c>
      <c r="S101" s="6">
        <v>8258.24</v>
      </c>
      <c r="T101" s="6">
        <v>414.39</v>
      </c>
      <c r="U101" s="5">
        <v>0</v>
      </c>
      <c r="V101" s="6">
        <v>0</v>
      </c>
      <c r="W101" s="5"/>
      <c r="X101" s="6">
        <v>19938</v>
      </c>
      <c r="Y101" s="8">
        <v>8804.6</v>
      </c>
      <c r="Z101" s="7">
        <v>44.2</v>
      </c>
      <c r="AA101" s="5" t="s">
        <v>94</v>
      </c>
      <c r="AB101" s="5">
        <v>12003</v>
      </c>
      <c r="AC101" s="5">
        <v>264</v>
      </c>
      <c r="AD101" s="7">
        <v>2.2000000000000002</v>
      </c>
      <c r="AE101" s="5">
        <v>30</v>
      </c>
      <c r="AF101" s="7">
        <v>0.4</v>
      </c>
      <c r="AG101" s="5"/>
      <c r="AH101" s="5" t="s">
        <v>49</v>
      </c>
      <c r="AI101" s="5" t="s">
        <v>308</v>
      </c>
      <c r="AJ101" s="5">
        <v>5</v>
      </c>
      <c r="AK101" s="5">
        <v>62</v>
      </c>
      <c r="AL101" s="5" t="s">
        <v>51</v>
      </c>
    </row>
    <row r="102" spans="1:38" ht="16.05" customHeight="1">
      <c r="A102" s="1" t="s">
        <v>512</v>
      </c>
      <c r="B102" s="22">
        <v>45117</v>
      </c>
      <c r="C102" s="1"/>
      <c r="D102" s="1" t="s">
        <v>65</v>
      </c>
      <c r="E102" s="1" t="s">
        <v>66</v>
      </c>
      <c r="F102" s="1" t="s">
        <v>100</v>
      </c>
      <c r="G102" s="1" t="s">
        <v>513</v>
      </c>
      <c r="H102" s="1" t="s">
        <v>514</v>
      </c>
      <c r="I102" s="1" t="s">
        <v>59</v>
      </c>
      <c r="J102" s="1" t="s">
        <v>136</v>
      </c>
      <c r="K102" s="1">
        <v>3</v>
      </c>
      <c r="L102" s="2">
        <v>4321</v>
      </c>
      <c r="M102" s="2">
        <v>3997</v>
      </c>
      <c r="N102" s="3">
        <v>7.5</v>
      </c>
      <c r="O102" s="2">
        <v>11991</v>
      </c>
      <c r="P102" s="2">
        <v>1599.72</v>
      </c>
      <c r="Q102" s="2">
        <v>599.54999999999995</v>
      </c>
      <c r="R102" s="2">
        <v>0</v>
      </c>
      <c r="S102" s="2">
        <v>3843.66</v>
      </c>
      <c r="T102" s="2">
        <v>86.07</v>
      </c>
      <c r="U102" s="1">
        <v>0</v>
      </c>
      <c r="V102" s="2">
        <v>0</v>
      </c>
      <c r="W102" s="1"/>
      <c r="X102" s="2">
        <v>11991</v>
      </c>
      <c r="Y102" s="4">
        <v>5862</v>
      </c>
      <c r="Z102" s="3">
        <v>48.9</v>
      </c>
      <c r="AA102" s="1" t="s">
        <v>94</v>
      </c>
      <c r="AB102" s="1">
        <v>8113</v>
      </c>
      <c r="AC102" s="1">
        <v>81</v>
      </c>
      <c r="AD102" s="3">
        <v>1</v>
      </c>
      <c r="AE102" s="1">
        <v>12</v>
      </c>
      <c r="AF102" s="3">
        <v>0.2</v>
      </c>
      <c r="AG102" s="1"/>
      <c r="AH102" s="1" t="s">
        <v>49</v>
      </c>
      <c r="AI102" s="1" t="s">
        <v>153</v>
      </c>
      <c r="AJ102" s="1">
        <v>3</v>
      </c>
      <c r="AK102" s="1">
        <v>65</v>
      </c>
      <c r="AL102" s="1" t="s">
        <v>51</v>
      </c>
    </row>
    <row r="103" spans="1:38" ht="16.05" customHeight="1">
      <c r="A103" s="5" t="s">
        <v>515</v>
      </c>
      <c r="B103" s="23">
        <v>45404</v>
      </c>
      <c r="C103" s="5"/>
      <c r="D103" s="5" t="s">
        <v>81</v>
      </c>
      <c r="E103" s="5" t="s">
        <v>139</v>
      </c>
      <c r="F103" s="5" t="s">
        <v>56</v>
      </c>
      <c r="G103" s="5" t="s">
        <v>517</v>
      </c>
      <c r="H103" s="5" t="s">
        <v>518</v>
      </c>
      <c r="I103" s="5" t="s">
        <v>59</v>
      </c>
      <c r="J103" s="5" t="s">
        <v>77</v>
      </c>
      <c r="K103" s="5">
        <v>10</v>
      </c>
      <c r="L103" s="6">
        <v>3238</v>
      </c>
      <c r="M103" s="6">
        <v>2778</v>
      </c>
      <c r="N103" s="7">
        <v>14.2</v>
      </c>
      <c r="O103" s="6">
        <v>27780</v>
      </c>
      <c r="P103" s="6">
        <v>3951</v>
      </c>
      <c r="Q103" s="6">
        <v>1389</v>
      </c>
      <c r="R103" s="6">
        <v>0</v>
      </c>
      <c r="S103" s="6">
        <v>12040.27</v>
      </c>
      <c r="T103" s="6">
        <v>0</v>
      </c>
      <c r="U103" s="5">
        <v>0</v>
      </c>
      <c r="V103" s="6">
        <v>0</v>
      </c>
      <c r="W103" s="5"/>
      <c r="X103" s="6">
        <v>27780</v>
      </c>
      <c r="Y103" s="8">
        <v>10399.73</v>
      </c>
      <c r="Z103" s="7">
        <v>37.4</v>
      </c>
      <c r="AA103" s="5" t="s">
        <v>60</v>
      </c>
      <c r="AB103" s="5">
        <v>0</v>
      </c>
      <c r="AC103" s="5">
        <v>0</v>
      </c>
      <c r="AD103" s="7">
        <v>0</v>
      </c>
      <c r="AE103" s="5">
        <v>0</v>
      </c>
      <c r="AF103" s="7">
        <v>0</v>
      </c>
      <c r="AG103" s="5"/>
      <c r="AH103" s="5" t="s">
        <v>49</v>
      </c>
      <c r="AI103" s="5" t="s">
        <v>153</v>
      </c>
      <c r="AJ103" s="5">
        <v>2</v>
      </c>
      <c r="AK103" s="5">
        <v>107</v>
      </c>
      <c r="AL103" s="5" t="s">
        <v>51</v>
      </c>
    </row>
    <row r="104" spans="1:38" ht="16.05" customHeight="1">
      <c r="A104" s="1" t="s">
        <v>519</v>
      </c>
      <c r="B104" s="22">
        <v>45250</v>
      </c>
      <c r="C104" s="1" t="s">
        <v>520</v>
      </c>
      <c r="D104" s="1" t="s">
        <v>144</v>
      </c>
      <c r="E104" s="1" t="s">
        <v>429</v>
      </c>
      <c r="F104" s="1" t="s">
        <v>256</v>
      </c>
      <c r="G104" s="1" t="s">
        <v>521</v>
      </c>
      <c r="H104" s="1" t="s">
        <v>522</v>
      </c>
      <c r="I104" s="1" t="s">
        <v>59</v>
      </c>
      <c r="J104" s="1" t="s">
        <v>47</v>
      </c>
      <c r="K104" s="1">
        <v>2</v>
      </c>
      <c r="L104" s="2">
        <v>334</v>
      </c>
      <c r="M104" s="2">
        <v>280</v>
      </c>
      <c r="N104" s="3">
        <v>16.2</v>
      </c>
      <c r="O104" s="2">
        <v>560</v>
      </c>
      <c r="P104" s="2">
        <v>82.5</v>
      </c>
      <c r="Q104" s="2">
        <v>28</v>
      </c>
      <c r="R104" s="2">
        <v>0</v>
      </c>
      <c r="S104" s="2">
        <v>173.97</v>
      </c>
      <c r="T104" s="2">
        <v>339.09</v>
      </c>
      <c r="U104" s="1">
        <v>0</v>
      </c>
      <c r="V104" s="2">
        <v>0</v>
      </c>
      <c r="W104" s="1"/>
      <c r="X104" s="2">
        <v>560</v>
      </c>
      <c r="Y104" s="10">
        <v>-63.56</v>
      </c>
      <c r="Z104" s="3">
        <v>-11.3</v>
      </c>
      <c r="AA104" s="1" t="s">
        <v>60</v>
      </c>
      <c r="AB104" s="1">
        <v>4918</v>
      </c>
      <c r="AC104" s="1">
        <v>216</v>
      </c>
      <c r="AD104" s="3">
        <v>4.3899999999999997</v>
      </c>
      <c r="AE104" s="1">
        <v>30</v>
      </c>
      <c r="AF104" s="3">
        <v>4</v>
      </c>
      <c r="AG104" s="1">
        <v>4</v>
      </c>
      <c r="AH104" s="1" t="s">
        <v>49</v>
      </c>
      <c r="AI104" s="1" t="s">
        <v>153</v>
      </c>
      <c r="AJ104" s="1">
        <v>2</v>
      </c>
      <c r="AK104" s="1">
        <v>26</v>
      </c>
      <c r="AL104" s="1" t="s">
        <v>51</v>
      </c>
    </row>
    <row r="105" spans="1:38" ht="16.05" customHeight="1">
      <c r="A105" s="5" t="s">
        <v>523</v>
      </c>
      <c r="B105" s="23">
        <v>45546</v>
      </c>
      <c r="C105" s="5" t="s">
        <v>524</v>
      </c>
      <c r="D105" s="5" t="s">
        <v>65</v>
      </c>
      <c r="E105" s="5" t="s">
        <v>525</v>
      </c>
      <c r="F105" s="5" t="s">
        <v>256</v>
      </c>
      <c r="G105" s="5" t="s">
        <v>526</v>
      </c>
      <c r="H105" s="5" t="s">
        <v>527</v>
      </c>
      <c r="I105" s="5" t="s">
        <v>59</v>
      </c>
      <c r="J105" s="5" t="s">
        <v>47</v>
      </c>
      <c r="K105" s="5">
        <v>10</v>
      </c>
      <c r="L105" s="6">
        <v>1533</v>
      </c>
      <c r="M105" s="6">
        <v>1248</v>
      </c>
      <c r="N105" s="7">
        <v>18.600000000000001</v>
      </c>
      <c r="O105" s="6">
        <v>12480</v>
      </c>
      <c r="P105" s="6">
        <v>1163.3599999999999</v>
      </c>
      <c r="Q105" s="6">
        <v>624</v>
      </c>
      <c r="R105" s="6">
        <v>0</v>
      </c>
      <c r="S105" s="6">
        <v>6827.96</v>
      </c>
      <c r="T105" s="6">
        <v>0</v>
      </c>
      <c r="U105" s="5">
        <v>0</v>
      </c>
      <c r="V105" s="6">
        <v>0</v>
      </c>
      <c r="W105" s="5"/>
      <c r="X105" s="6">
        <v>12480</v>
      </c>
      <c r="Y105" s="8">
        <v>3864.68</v>
      </c>
      <c r="Z105" s="7">
        <v>31</v>
      </c>
      <c r="AA105" s="5" t="s">
        <v>60</v>
      </c>
      <c r="AB105" s="5">
        <v>0</v>
      </c>
      <c r="AC105" s="5">
        <v>0</v>
      </c>
      <c r="AD105" s="7">
        <v>0</v>
      </c>
      <c r="AE105" s="5">
        <v>0</v>
      </c>
      <c r="AF105" s="7">
        <v>0</v>
      </c>
      <c r="AG105" s="5">
        <v>5</v>
      </c>
      <c r="AH105" s="5" t="s">
        <v>49</v>
      </c>
      <c r="AI105" s="5" t="s">
        <v>105</v>
      </c>
      <c r="AJ105" s="5">
        <v>3</v>
      </c>
      <c r="AK105" s="5">
        <v>177</v>
      </c>
      <c r="AL105" s="5" t="s">
        <v>51</v>
      </c>
    </row>
    <row r="106" spans="1:38" ht="16.05" customHeight="1">
      <c r="A106" s="1" t="s">
        <v>528</v>
      </c>
      <c r="B106" s="22">
        <v>45067</v>
      </c>
      <c r="C106" s="1"/>
      <c r="D106" s="1" t="s">
        <v>65</v>
      </c>
      <c r="E106" s="1" t="s">
        <v>108</v>
      </c>
      <c r="F106" s="1" t="s">
        <v>56</v>
      </c>
      <c r="G106" s="1" t="s">
        <v>529</v>
      </c>
      <c r="H106" s="1" t="s">
        <v>530</v>
      </c>
      <c r="I106" s="1" t="s">
        <v>59</v>
      </c>
      <c r="J106" s="1" t="s">
        <v>85</v>
      </c>
      <c r="K106" s="1">
        <v>7</v>
      </c>
      <c r="L106" s="2">
        <v>1522</v>
      </c>
      <c r="M106" s="2">
        <v>1163</v>
      </c>
      <c r="N106" s="3">
        <v>23.6</v>
      </c>
      <c r="O106" s="2">
        <v>8141</v>
      </c>
      <c r="P106" s="2">
        <v>1056.1400000000001</v>
      </c>
      <c r="Q106" s="2">
        <v>407.05</v>
      </c>
      <c r="R106" s="2">
        <v>0</v>
      </c>
      <c r="S106" s="2">
        <v>3751.1</v>
      </c>
      <c r="T106" s="2">
        <v>0</v>
      </c>
      <c r="U106" s="1">
        <v>0</v>
      </c>
      <c r="V106" s="2">
        <v>0</v>
      </c>
      <c r="W106" s="1"/>
      <c r="X106" s="2">
        <v>8141</v>
      </c>
      <c r="Y106" s="4">
        <v>2926.71</v>
      </c>
      <c r="Z106" s="3">
        <v>36</v>
      </c>
      <c r="AA106" s="1" t="s">
        <v>60</v>
      </c>
      <c r="AB106" s="1">
        <v>0</v>
      </c>
      <c r="AC106" s="1">
        <v>0</v>
      </c>
      <c r="AD106" s="3">
        <v>0</v>
      </c>
      <c r="AE106" s="1">
        <v>0</v>
      </c>
      <c r="AF106" s="3">
        <v>0</v>
      </c>
      <c r="AG106" s="1"/>
      <c r="AH106" s="1" t="s">
        <v>49</v>
      </c>
      <c r="AI106" s="1" t="s">
        <v>308</v>
      </c>
      <c r="AJ106" s="1">
        <v>1</v>
      </c>
      <c r="AK106" s="1">
        <v>162</v>
      </c>
      <c r="AL106" s="1" t="s">
        <v>51</v>
      </c>
    </row>
    <row r="107" spans="1:38" ht="16.05" customHeight="1">
      <c r="A107" s="5" t="s">
        <v>531</v>
      </c>
      <c r="B107" s="23">
        <v>45559</v>
      </c>
      <c r="C107" s="5" t="s">
        <v>533</v>
      </c>
      <c r="D107" s="5" t="s">
        <v>98</v>
      </c>
      <c r="E107" s="5" t="s">
        <v>114</v>
      </c>
      <c r="F107" s="5" t="s">
        <v>197</v>
      </c>
      <c r="G107" s="5" t="s">
        <v>534</v>
      </c>
      <c r="H107" s="5" t="s">
        <v>535</v>
      </c>
      <c r="I107" s="5" t="s">
        <v>59</v>
      </c>
      <c r="J107" s="5" t="s">
        <v>47</v>
      </c>
      <c r="K107" s="5">
        <v>10</v>
      </c>
      <c r="L107" s="6">
        <v>1010</v>
      </c>
      <c r="M107" s="6">
        <v>745</v>
      </c>
      <c r="N107" s="7">
        <v>26.2</v>
      </c>
      <c r="O107" s="6">
        <v>7450</v>
      </c>
      <c r="P107" s="6">
        <v>823.1</v>
      </c>
      <c r="Q107" s="6">
        <v>372.5</v>
      </c>
      <c r="R107" s="6">
        <v>0</v>
      </c>
      <c r="S107" s="6">
        <v>2755.23</v>
      </c>
      <c r="T107" s="6">
        <v>216.87</v>
      </c>
      <c r="U107" s="5">
        <v>0</v>
      </c>
      <c r="V107" s="6">
        <v>0</v>
      </c>
      <c r="W107" s="5"/>
      <c r="X107" s="6">
        <v>7450</v>
      </c>
      <c r="Y107" s="8">
        <v>3282.3</v>
      </c>
      <c r="Z107" s="7">
        <v>44.1</v>
      </c>
      <c r="AA107" s="5" t="s">
        <v>94</v>
      </c>
      <c r="AB107" s="5">
        <v>11112</v>
      </c>
      <c r="AC107" s="5">
        <v>772</v>
      </c>
      <c r="AD107" s="7">
        <v>6.95</v>
      </c>
      <c r="AE107" s="5">
        <v>29</v>
      </c>
      <c r="AF107" s="7">
        <v>1</v>
      </c>
      <c r="AG107" s="5">
        <v>2</v>
      </c>
      <c r="AH107" s="5" t="s">
        <v>49</v>
      </c>
      <c r="AI107" s="5" t="s">
        <v>95</v>
      </c>
      <c r="AJ107" s="5">
        <v>1</v>
      </c>
      <c r="AK107" s="5">
        <v>90</v>
      </c>
      <c r="AL107" s="5" t="s">
        <v>51</v>
      </c>
    </row>
    <row r="108" spans="1:38" ht="16.05" customHeight="1">
      <c r="A108" s="1" t="s">
        <v>536</v>
      </c>
      <c r="B108" s="22">
        <v>45058</v>
      </c>
      <c r="C108" s="1"/>
      <c r="D108" s="1" t="s">
        <v>144</v>
      </c>
      <c r="E108" s="1" t="s">
        <v>145</v>
      </c>
      <c r="F108" s="1" t="s">
        <v>91</v>
      </c>
      <c r="G108" s="1" t="s">
        <v>537</v>
      </c>
      <c r="H108" s="1" t="s">
        <v>538</v>
      </c>
      <c r="I108" s="1" t="s">
        <v>46</v>
      </c>
      <c r="J108" s="1" t="s">
        <v>136</v>
      </c>
      <c r="K108" s="1">
        <v>2</v>
      </c>
      <c r="L108" s="2">
        <v>2972</v>
      </c>
      <c r="M108" s="2">
        <v>2306</v>
      </c>
      <c r="N108" s="3">
        <v>22.4</v>
      </c>
      <c r="O108" s="2">
        <v>4612</v>
      </c>
      <c r="P108" s="2">
        <v>723.29</v>
      </c>
      <c r="Q108" s="2">
        <v>0</v>
      </c>
      <c r="R108" s="2">
        <v>98.79</v>
      </c>
      <c r="S108" s="2">
        <v>1960.7</v>
      </c>
      <c r="T108" s="2">
        <v>209.12</v>
      </c>
      <c r="U108" s="1">
        <v>0</v>
      </c>
      <c r="V108" s="2">
        <v>0</v>
      </c>
      <c r="W108" s="1"/>
      <c r="X108" s="2">
        <v>4612</v>
      </c>
      <c r="Y108" s="4">
        <v>1620.1</v>
      </c>
      <c r="Z108" s="3">
        <v>35.1</v>
      </c>
      <c r="AA108" s="1" t="s">
        <v>60</v>
      </c>
      <c r="AB108" s="1">
        <v>11061</v>
      </c>
      <c r="AC108" s="1">
        <v>335</v>
      </c>
      <c r="AD108" s="3">
        <v>3.03</v>
      </c>
      <c r="AE108" s="1">
        <v>3</v>
      </c>
      <c r="AF108" s="3">
        <v>3</v>
      </c>
      <c r="AG108" s="1"/>
      <c r="AH108" s="1" t="s">
        <v>49</v>
      </c>
      <c r="AI108" s="1" t="s">
        <v>176</v>
      </c>
      <c r="AJ108" s="1">
        <v>4</v>
      </c>
      <c r="AK108" s="1">
        <v>79</v>
      </c>
      <c r="AL108" s="1" t="s">
        <v>51</v>
      </c>
    </row>
    <row r="109" spans="1:38" ht="16.05" customHeight="1">
      <c r="A109" s="5" t="s">
        <v>539</v>
      </c>
      <c r="B109" s="23">
        <v>45097</v>
      </c>
      <c r="C109" s="5" t="s">
        <v>540</v>
      </c>
      <c r="D109" s="5" t="s">
        <v>144</v>
      </c>
      <c r="E109" s="5" t="s">
        <v>456</v>
      </c>
      <c r="F109" s="5" t="s">
        <v>91</v>
      </c>
      <c r="G109" s="5" t="s">
        <v>541</v>
      </c>
      <c r="H109" s="5" t="s">
        <v>542</v>
      </c>
      <c r="I109" s="5" t="s">
        <v>59</v>
      </c>
      <c r="J109" s="5" t="s">
        <v>47</v>
      </c>
      <c r="K109" s="5">
        <v>10</v>
      </c>
      <c r="L109" s="6">
        <v>3651</v>
      </c>
      <c r="M109" s="6">
        <v>3251</v>
      </c>
      <c r="N109" s="7">
        <v>11</v>
      </c>
      <c r="O109" s="6">
        <v>32510</v>
      </c>
      <c r="P109" s="6">
        <v>4129.21</v>
      </c>
      <c r="Q109" s="6">
        <v>1625.5</v>
      </c>
      <c r="R109" s="6">
        <v>0</v>
      </c>
      <c r="S109" s="6">
        <v>16460.810000000001</v>
      </c>
      <c r="T109" s="6">
        <v>0</v>
      </c>
      <c r="U109" s="5">
        <v>0</v>
      </c>
      <c r="V109" s="6">
        <v>0</v>
      </c>
      <c r="W109" s="5"/>
      <c r="X109" s="6">
        <v>32510</v>
      </c>
      <c r="Y109" s="8">
        <v>10294.48</v>
      </c>
      <c r="Z109" s="7">
        <v>31.7</v>
      </c>
      <c r="AA109" s="5" t="s">
        <v>60</v>
      </c>
      <c r="AB109" s="5">
        <v>0</v>
      </c>
      <c r="AC109" s="5">
        <v>0</v>
      </c>
      <c r="AD109" s="7">
        <v>0</v>
      </c>
      <c r="AE109" s="5">
        <v>0</v>
      </c>
      <c r="AF109" s="7">
        <v>0</v>
      </c>
      <c r="AG109" s="5">
        <v>3</v>
      </c>
      <c r="AH109" s="5" t="s">
        <v>61</v>
      </c>
      <c r="AI109" s="5" t="s">
        <v>153</v>
      </c>
      <c r="AJ109" s="5">
        <v>1</v>
      </c>
      <c r="AK109" s="5">
        <v>169</v>
      </c>
      <c r="AL109" s="5" t="s">
        <v>51</v>
      </c>
    </row>
    <row r="110" spans="1:38" ht="16.05" customHeight="1">
      <c r="A110" s="1" t="s">
        <v>543</v>
      </c>
      <c r="B110" s="22">
        <v>45383</v>
      </c>
      <c r="C110" s="1"/>
      <c r="D110" s="1" t="s">
        <v>65</v>
      </c>
      <c r="E110" s="1" t="s">
        <v>328</v>
      </c>
      <c r="F110" s="1" t="s">
        <v>256</v>
      </c>
      <c r="G110" s="1" t="s">
        <v>544</v>
      </c>
      <c r="H110" s="1" t="s">
        <v>545</v>
      </c>
      <c r="I110" s="1" t="s">
        <v>59</v>
      </c>
      <c r="J110" s="1" t="s">
        <v>77</v>
      </c>
      <c r="K110" s="1">
        <v>9</v>
      </c>
      <c r="L110" s="2">
        <v>422</v>
      </c>
      <c r="M110" s="2">
        <v>337</v>
      </c>
      <c r="N110" s="3">
        <v>20.100000000000001</v>
      </c>
      <c r="O110" s="2">
        <v>3033</v>
      </c>
      <c r="P110" s="2">
        <v>533.65</v>
      </c>
      <c r="Q110" s="2">
        <v>151.65</v>
      </c>
      <c r="R110" s="2">
        <v>0</v>
      </c>
      <c r="S110" s="2">
        <v>1274.92</v>
      </c>
      <c r="T110" s="2">
        <v>476.14</v>
      </c>
      <c r="U110" s="1">
        <v>0</v>
      </c>
      <c r="V110" s="2">
        <v>0</v>
      </c>
      <c r="W110" s="1"/>
      <c r="X110" s="2">
        <v>3033</v>
      </c>
      <c r="Y110" s="4">
        <v>596.64</v>
      </c>
      <c r="Z110" s="3">
        <v>19.7</v>
      </c>
      <c r="AA110" s="1" t="s">
        <v>94</v>
      </c>
      <c r="AB110" s="1">
        <v>8285</v>
      </c>
      <c r="AC110" s="1">
        <v>363</v>
      </c>
      <c r="AD110" s="3">
        <v>4.38</v>
      </c>
      <c r="AE110" s="1">
        <v>43</v>
      </c>
      <c r="AF110" s="3">
        <v>3.3</v>
      </c>
      <c r="AG110" s="1"/>
      <c r="AH110" s="1" t="s">
        <v>49</v>
      </c>
      <c r="AI110" s="1" t="s">
        <v>79</v>
      </c>
      <c r="AJ110" s="1">
        <v>2</v>
      </c>
      <c r="AK110" s="1">
        <v>109</v>
      </c>
      <c r="AL110" s="1" t="s">
        <v>51</v>
      </c>
    </row>
    <row r="111" spans="1:38" ht="16.05" customHeight="1">
      <c r="A111" s="5" t="s">
        <v>546</v>
      </c>
      <c r="B111" s="23">
        <v>45066</v>
      </c>
      <c r="C111" s="5"/>
      <c r="D111" s="5" t="s">
        <v>98</v>
      </c>
      <c r="E111" s="5" t="s">
        <v>434</v>
      </c>
      <c r="F111" s="5" t="s">
        <v>43</v>
      </c>
      <c r="G111" s="5" t="s">
        <v>547</v>
      </c>
      <c r="H111" s="5" t="s">
        <v>548</v>
      </c>
      <c r="I111" s="5" t="s">
        <v>46</v>
      </c>
      <c r="J111" s="5" t="s">
        <v>77</v>
      </c>
      <c r="K111" s="5">
        <v>3</v>
      </c>
      <c r="L111" s="6">
        <v>1168</v>
      </c>
      <c r="M111" s="6">
        <v>888</v>
      </c>
      <c r="N111" s="7">
        <v>24</v>
      </c>
      <c r="O111" s="6">
        <v>2664</v>
      </c>
      <c r="P111" s="6">
        <v>461.33</v>
      </c>
      <c r="Q111" s="6">
        <v>0</v>
      </c>
      <c r="R111" s="6">
        <v>36.54</v>
      </c>
      <c r="S111" s="6">
        <v>1279.31</v>
      </c>
      <c r="T111" s="6">
        <v>154.26</v>
      </c>
      <c r="U111" s="5">
        <v>0</v>
      </c>
      <c r="V111" s="6">
        <v>0</v>
      </c>
      <c r="W111" s="5"/>
      <c r="X111" s="6">
        <v>2664</v>
      </c>
      <c r="Y111" s="8">
        <v>732.56</v>
      </c>
      <c r="Z111" s="7">
        <v>27.5</v>
      </c>
      <c r="AA111" s="5" t="s">
        <v>60</v>
      </c>
      <c r="AB111" s="5">
        <v>4653</v>
      </c>
      <c r="AC111" s="5">
        <v>182</v>
      </c>
      <c r="AD111" s="7">
        <v>3.91</v>
      </c>
      <c r="AE111" s="5">
        <v>32</v>
      </c>
      <c r="AF111" s="7">
        <v>0.5</v>
      </c>
      <c r="AG111" s="5"/>
      <c r="AH111" s="5" t="s">
        <v>49</v>
      </c>
      <c r="AI111" s="5" t="s">
        <v>105</v>
      </c>
      <c r="AJ111" s="5">
        <v>3</v>
      </c>
      <c r="AK111" s="5">
        <v>117</v>
      </c>
      <c r="AL111" s="5" t="s">
        <v>51</v>
      </c>
    </row>
    <row r="112" spans="1:38" ht="16.05" customHeight="1">
      <c r="A112" s="1" t="s">
        <v>549</v>
      </c>
      <c r="B112" s="22">
        <v>45556</v>
      </c>
      <c r="C112" s="1"/>
      <c r="D112" s="1" t="s">
        <v>144</v>
      </c>
      <c r="E112" s="1" t="s">
        <v>166</v>
      </c>
      <c r="F112" s="1" t="s">
        <v>209</v>
      </c>
      <c r="G112" s="1" t="s">
        <v>550</v>
      </c>
      <c r="H112" s="1" t="s">
        <v>551</v>
      </c>
      <c r="I112" s="1" t="s">
        <v>59</v>
      </c>
      <c r="J112" s="1" t="s">
        <v>77</v>
      </c>
      <c r="K112" s="1">
        <v>4</v>
      </c>
      <c r="L112" s="2">
        <v>1173</v>
      </c>
      <c r="M112" s="2">
        <v>1091</v>
      </c>
      <c r="N112" s="3">
        <v>7</v>
      </c>
      <c r="O112" s="2">
        <v>4364</v>
      </c>
      <c r="P112" s="2">
        <v>427.73</v>
      </c>
      <c r="Q112" s="2">
        <v>218.2</v>
      </c>
      <c r="R112" s="2">
        <v>0</v>
      </c>
      <c r="S112" s="2">
        <v>1428.48</v>
      </c>
      <c r="T112" s="2">
        <v>0</v>
      </c>
      <c r="U112" s="1">
        <v>0</v>
      </c>
      <c r="V112" s="2">
        <v>0</v>
      </c>
      <c r="W112" s="1"/>
      <c r="X112" s="2">
        <v>4364</v>
      </c>
      <c r="Y112" s="4">
        <v>2289.59</v>
      </c>
      <c r="Z112" s="3">
        <v>52.5</v>
      </c>
      <c r="AA112" s="1" t="s">
        <v>60</v>
      </c>
      <c r="AB112" s="1">
        <v>0</v>
      </c>
      <c r="AC112" s="1">
        <v>0</v>
      </c>
      <c r="AD112" s="3">
        <v>0</v>
      </c>
      <c r="AE112" s="1">
        <v>0</v>
      </c>
      <c r="AF112" s="3">
        <v>0</v>
      </c>
      <c r="AG112" s="1"/>
      <c r="AH112" s="1" t="s">
        <v>49</v>
      </c>
      <c r="AI112" s="1" t="s">
        <v>70</v>
      </c>
      <c r="AJ112" s="1">
        <v>3</v>
      </c>
      <c r="AK112" s="1">
        <v>198</v>
      </c>
      <c r="AL112" s="1" t="s">
        <v>51</v>
      </c>
    </row>
    <row r="113" spans="1:38" ht="16.05" customHeight="1">
      <c r="A113" s="5" t="s">
        <v>552</v>
      </c>
      <c r="B113" s="23">
        <v>45542</v>
      </c>
      <c r="C113" s="5"/>
      <c r="D113" s="5" t="s">
        <v>65</v>
      </c>
      <c r="E113" s="5" t="s">
        <v>73</v>
      </c>
      <c r="F113" s="5" t="s">
        <v>115</v>
      </c>
      <c r="G113" s="5" t="s">
        <v>553</v>
      </c>
      <c r="H113" s="5" t="s">
        <v>554</v>
      </c>
      <c r="I113" s="5" t="s">
        <v>59</v>
      </c>
      <c r="J113" s="5" t="s">
        <v>136</v>
      </c>
      <c r="K113" s="5">
        <v>9</v>
      </c>
      <c r="L113" s="6">
        <v>2187</v>
      </c>
      <c r="M113" s="6">
        <v>1613</v>
      </c>
      <c r="N113" s="7">
        <v>26.2</v>
      </c>
      <c r="O113" s="6">
        <v>14517</v>
      </c>
      <c r="P113" s="6">
        <v>2370</v>
      </c>
      <c r="Q113" s="6">
        <v>725.85</v>
      </c>
      <c r="R113" s="6">
        <v>0</v>
      </c>
      <c r="S113" s="6">
        <v>5798.96</v>
      </c>
      <c r="T113" s="6">
        <v>47.95</v>
      </c>
      <c r="U113" s="5">
        <v>0</v>
      </c>
      <c r="V113" s="6">
        <v>0</v>
      </c>
      <c r="W113" s="5"/>
      <c r="X113" s="6">
        <v>14517</v>
      </c>
      <c r="Y113" s="8">
        <v>5574.24</v>
      </c>
      <c r="Z113" s="7">
        <v>38.4</v>
      </c>
      <c r="AA113" s="5" t="s">
        <v>48</v>
      </c>
      <c r="AB113" s="5">
        <v>1157</v>
      </c>
      <c r="AC113" s="5">
        <v>68</v>
      </c>
      <c r="AD113" s="7">
        <v>5.88</v>
      </c>
      <c r="AE113" s="5">
        <v>10</v>
      </c>
      <c r="AF113" s="7">
        <v>0.3</v>
      </c>
      <c r="AG113" s="5"/>
      <c r="AH113" s="5" t="s">
        <v>49</v>
      </c>
      <c r="AI113" s="5" t="s">
        <v>79</v>
      </c>
      <c r="AJ113" s="5">
        <v>3</v>
      </c>
      <c r="AK113" s="5">
        <v>179</v>
      </c>
      <c r="AL113" s="5" t="s">
        <v>51</v>
      </c>
    </row>
    <row r="114" spans="1:38" ht="16.05" customHeight="1">
      <c r="A114" s="1" t="s">
        <v>555</v>
      </c>
      <c r="B114" s="22">
        <v>45624</v>
      </c>
      <c r="C114" s="1"/>
      <c r="D114" s="1" t="s">
        <v>81</v>
      </c>
      <c r="E114" s="1" t="s">
        <v>284</v>
      </c>
      <c r="F114" s="1" t="s">
        <v>227</v>
      </c>
      <c r="G114" s="1" t="s">
        <v>556</v>
      </c>
      <c r="H114" s="1" t="s">
        <v>557</v>
      </c>
      <c r="I114" s="1" t="s">
        <v>46</v>
      </c>
      <c r="J114" s="1" t="s">
        <v>136</v>
      </c>
      <c r="K114" s="1">
        <v>3</v>
      </c>
      <c r="L114" s="2">
        <v>3969</v>
      </c>
      <c r="M114" s="2">
        <v>3374</v>
      </c>
      <c r="N114" s="3">
        <v>15</v>
      </c>
      <c r="O114" s="2">
        <v>10122</v>
      </c>
      <c r="P114" s="2">
        <v>1089.75</v>
      </c>
      <c r="Q114" s="2">
        <v>0</v>
      </c>
      <c r="R114" s="2">
        <v>62.24</v>
      </c>
      <c r="S114" s="2">
        <v>5075.55</v>
      </c>
      <c r="T114" s="2">
        <v>0</v>
      </c>
      <c r="U114" s="1">
        <v>0</v>
      </c>
      <c r="V114" s="2">
        <v>0</v>
      </c>
      <c r="W114" s="1"/>
      <c r="X114" s="2">
        <v>10122</v>
      </c>
      <c r="Y114" s="4">
        <v>3894.46</v>
      </c>
      <c r="Z114" s="3">
        <v>38.5</v>
      </c>
      <c r="AA114" s="1" t="s">
        <v>60</v>
      </c>
      <c r="AB114" s="1">
        <v>0</v>
      </c>
      <c r="AC114" s="1">
        <v>0</v>
      </c>
      <c r="AD114" s="3">
        <v>0</v>
      </c>
      <c r="AE114" s="1">
        <v>0</v>
      </c>
      <c r="AF114" s="3">
        <v>0</v>
      </c>
      <c r="AG114" s="1"/>
      <c r="AH114" s="1" t="s">
        <v>49</v>
      </c>
      <c r="AI114" s="1" t="s">
        <v>176</v>
      </c>
      <c r="AJ114" s="1">
        <v>7</v>
      </c>
      <c r="AK114" s="1">
        <v>176</v>
      </c>
      <c r="AL114" s="1" t="s">
        <v>51</v>
      </c>
    </row>
    <row r="115" spans="1:38" ht="16.05" customHeight="1">
      <c r="A115" s="5" t="s">
        <v>558</v>
      </c>
      <c r="B115" s="23">
        <v>44937</v>
      </c>
      <c r="C115" s="5"/>
      <c r="D115" s="5" t="s">
        <v>98</v>
      </c>
      <c r="E115" s="5" t="s">
        <v>559</v>
      </c>
      <c r="F115" s="5" t="s">
        <v>239</v>
      </c>
      <c r="G115" s="5" t="s">
        <v>560</v>
      </c>
      <c r="H115" s="5" t="s">
        <v>561</v>
      </c>
      <c r="I115" s="5" t="s">
        <v>46</v>
      </c>
      <c r="J115" s="5" t="s">
        <v>77</v>
      </c>
      <c r="K115" s="5">
        <v>9</v>
      </c>
      <c r="L115" s="6">
        <v>2878</v>
      </c>
      <c r="M115" s="6">
        <v>2282</v>
      </c>
      <c r="N115" s="7">
        <v>20.7</v>
      </c>
      <c r="O115" s="6">
        <v>20538</v>
      </c>
      <c r="P115" s="6">
        <v>3097.02</v>
      </c>
      <c r="Q115" s="6">
        <v>0</v>
      </c>
      <c r="R115" s="6">
        <v>113.63</v>
      </c>
      <c r="S115" s="6">
        <v>7494.92</v>
      </c>
      <c r="T115" s="6">
        <v>166.91</v>
      </c>
      <c r="U115" s="5">
        <v>0</v>
      </c>
      <c r="V115" s="6">
        <v>0</v>
      </c>
      <c r="W115" s="5"/>
      <c r="X115" s="6">
        <v>20538</v>
      </c>
      <c r="Y115" s="8">
        <v>9665.52</v>
      </c>
      <c r="Z115" s="7">
        <v>47.1</v>
      </c>
      <c r="AA115" s="5" t="s">
        <v>60</v>
      </c>
      <c r="AB115" s="5">
        <v>9842</v>
      </c>
      <c r="AC115" s="5">
        <v>743</v>
      </c>
      <c r="AD115" s="7">
        <v>7.55</v>
      </c>
      <c r="AE115" s="5">
        <v>8</v>
      </c>
      <c r="AF115" s="7">
        <v>0.9</v>
      </c>
      <c r="AG115" s="5"/>
      <c r="AH115" s="5" t="s">
        <v>49</v>
      </c>
      <c r="AI115" s="5" t="s">
        <v>176</v>
      </c>
      <c r="AJ115" s="5">
        <v>3</v>
      </c>
      <c r="AK115" s="5">
        <v>6</v>
      </c>
      <c r="AL115" s="12" t="s">
        <v>71</v>
      </c>
    </row>
    <row r="116" spans="1:38" ht="16.05" customHeight="1">
      <c r="A116" s="1" t="s">
        <v>562</v>
      </c>
      <c r="B116" s="22">
        <v>45238</v>
      </c>
      <c r="C116" s="1" t="s">
        <v>321</v>
      </c>
      <c r="D116" s="1" t="s">
        <v>54</v>
      </c>
      <c r="E116" s="1" t="s">
        <v>191</v>
      </c>
      <c r="F116" s="1" t="s">
        <v>197</v>
      </c>
      <c r="G116" s="1" t="s">
        <v>563</v>
      </c>
      <c r="H116" s="1" t="s">
        <v>564</v>
      </c>
      <c r="I116" s="1" t="s">
        <v>59</v>
      </c>
      <c r="J116" s="1" t="s">
        <v>103</v>
      </c>
      <c r="K116" s="1">
        <v>3</v>
      </c>
      <c r="L116" s="2">
        <v>2632</v>
      </c>
      <c r="M116" s="2">
        <v>2098</v>
      </c>
      <c r="N116" s="3">
        <v>20.3</v>
      </c>
      <c r="O116" s="2">
        <v>6294</v>
      </c>
      <c r="P116" s="2">
        <v>948.99</v>
      </c>
      <c r="Q116" s="2">
        <v>314.7</v>
      </c>
      <c r="R116" s="2">
        <v>0</v>
      </c>
      <c r="S116" s="2">
        <v>1958.65</v>
      </c>
      <c r="T116" s="2">
        <v>47.38</v>
      </c>
      <c r="U116" s="1">
        <v>1</v>
      </c>
      <c r="V116" s="2">
        <v>2098</v>
      </c>
      <c r="W116" s="1" t="s">
        <v>332</v>
      </c>
      <c r="X116" s="2">
        <v>4196</v>
      </c>
      <c r="Y116" s="4">
        <v>926.28</v>
      </c>
      <c r="Z116" s="3">
        <v>22.1</v>
      </c>
      <c r="AA116" s="1" t="s">
        <v>60</v>
      </c>
      <c r="AB116" s="1">
        <v>2351</v>
      </c>
      <c r="AC116" s="1">
        <v>163</v>
      </c>
      <c r="AD116" s="3">
        <v>6.93</v>
      </c>
      <c r="AE116" s="1">
        <v>1</v>
      </c>
      <c r="AF116" s="3">
        <v>2.2999999999999998</v>
      </c>
      <c r="AG116" s="1"/>
      <c r="AH116" s="1" t="s">
        <v>49</v>
      </c>
      <c r="AI116" s="1" t="s">
        <v>70</v>
      </c>
      <c r="AJ116" s="1">
        <v>1</v>
      </c>
      <c r="AK116" s="1">
        <v>165</v>
      </c>
      <c r="AL116" s="1" t="s">
        <v>51</v>
      </c>
    </row>
    <row r="117" spans="1:38" ht="16.05" customHeight="1">
      <c r="A117" s="5" t="s">
        <v>565</v>
      </c>
      <c r="B117" s="23">
        <v>44997</v>
      </c>
      <c r="C117" s="5" t="s">
        <v>566</v>
      </c>
      <c r="D117" s="5" t="s">
        <v>98</v>
      </c>
      <c r="E117" s="5" t="s">
        <v>559</v>
      </c>
      <c r="F117" s="5" t="s">
        <v>209</v>
      </c>
      <c r="G117" s="5" t="s">
        <v>567</v>
      </c>
      <c r="H117" s="5" t="s">
        <v>568</v>
      </c>
      <c r="I117" s="5" t="s">
        <v>46</v>
      </c>
      <c r="J117" s="5" t="s">
        <v>103</v>
      </c>
      <c r="K117" s="5">
        <v>6</v>
      </c>
      <c r="L117" s="6">
        <v>4669</v>
      </c>
      <c r="M117" s="6">
        <v>4308</v>
      </c>
      <c r="N117" s="7">
        <v>7.7</v>
      </c>
      <c r="O117" s="6">
        <v>25848</v>
      </c>
      <c r="P117" s="6">
        <v>2288.56</v>
      </c>
      <c r="Q117" s="6">
        <v>0</v>
      </c>
      <c r="R117" s="6">
        <v>74.61</v>
      </c>
      <c r="S117" s="6">
        <v>10819.99</v>
      </c>
      <c r="T117" s="6">
        <v>169.65</v>
      </c>
      <c r="U117" s="5">
        <v>2</v>
      </c>
      <c r="V117" s="6">
        <v>8616</v>
      </c>
      <c r="W117" s="5" t="s">
        <v>206</v>
      </c>
      <c r="X117" s="6">
        <v>17232</v>
      </c>
      <c r="Y117" s="8">
        <v>3879.19</v>
      </c>
      <c r="Z117" s="7">
        <v>22.5</v>
      </c>
      <c r="AA117" s="5" t="s">
        <v>94</v>
      </c>
      <c r="AB117" s="5">
        <v>4702</v>
      </c>
      <c r="AC117" s="5">
        <v>225</v>
      </c>
      <c r="AD117" s="7">
        <v>4.79</v>
      </c>
      <c r="AE117" s="5">
        <v>37</v>
      </c>
      <c r="AF117" s="7">
        <v>0.1</v>
      </c>
      <c r="AG117" s="5"/>
      <c r="AH117" s="5" t="s">
        <v>49</v>
      </c>
      <c r="AI117" s="5" t="s">
        <v>105</v>
      </c>
      <c r="AJ117" s="5">
        <v>6</v>
      </c>
      <c r="AK117" s="5">
        <v>150</v>
      </c>
      <c r="AL117" s="5" t="s">
        <v>51</v>
      </c>
    </row>
    <row r="118" spans="1:38" ht="16.05" customHeight="1">
      <c r="A118" s="1" t="s">
        <v>569</v>
      </c>
      <c r="B118" s="22">
        <v>45397</v>
      </c>
      <c r="C118" s="1" t="s">
        <v>571</v>
      </c>
      <c r="D118" s="1" t="s">
        <v>41</v>
      </c>
      <c r="E118" s="1" t="s">
        <v>160</v>
      </c>
      <c r="F118" s="1" t="s">
        <v>115</v>
      </c>
      <c r="G118" s="1" t="s">
        <v>572</v>
      </c>
      <c r="H118" s="1" t="s">
        <v>573</v>
      </c>
      <c r="I118" s="1" t="s">
        <v>59</v>
      </c>
      <c r="J118" s="1" t="s">
        <v>47</v>
      </c>
      <c r="K118" s="1">
        <v>4</v>
      </c>
      <c r="L118" s="2">
        <v>3530</v>
      </c>
      <c r="M118" s="2">
        <v>3111</v>
      </c>
      <c r="N118" s="3">
        <v>11.9</v>
      </c>
      <c r="O118" s="2">
        <v>12444</v>
      </c>
      <c r="P118" s="2">
        <v>1209.6099999999999</v>
      </c>
      <c r="Q118" s="2">
        <v>622.20000000000005</v>
      </c>
      <c r="R118" s="2">
        <v>0</v>
      </c>
      <c r="S118" s="2">
        <v>6287.48</v>
      </c>
      <c r="T118" s="2">
        <v>84.6</v>
      </c>
      <c r="U118" s="1">
        <v>0</v>
      </c>
      <c r="V118" s="2">
        <v>0</v>
      </c>
      <c r="W118" s="1"/>
      <c r="X118" s="2">
        <v>12444</v>
      </c>
      <c r="Y118" s="4">
        <v>4240.1099999999997</v>
      </c>
      <c r="Z118" s="3">
        <v>34.1</v>
      </c>
      <c r="AA118" s="1" t="s">
        <v>60</v>
      </c>
      <c r="AB118" s="1">
        <v>9582</v>
      </c>
      <c r="AC118" s="1">
        <v>669</v>
      </c>
      <c r="AD118" s="3">
        <v>6.98</v>
      </c>
      <c r="AE118" s="1">
        <v>21</v>
      </c>
      <c r="AF118" s="3">
        <v>0.1</v>
      </c>
      <c r="AG118" s="1">
        <v>5</v>
      </c>
      <c r="AH118" s="1" t="s">
        <v>49</v>
      </c>
      <c r="AI118" s="1" t="s">
        <v>105</v>
      </c>
      <c r="AJ118" s="1">
        <v>3</v>
      </c>
      <c r="AK118" s="1">
        <v>58</v>
      </c>
      <c r="AL118" s="1" t="s">
        <v>51</v>
      </c>
    </row>
    <row r="119" spans="1:38" ht="16.05" customHeight="1">
      <c r="A119" s="5" t="s">
        <v>574</v>
      </c>
      <c r="B119" s="23">
        <v>45581</v>
      </c>
      <c r="C119" s="5" t="s">
        <v>178</v>
      </c>
      <c r="D119" s="5" t="s">
        <v>98</v>
      </c>
      <c r="E119" s="5" t="s">
        <v>434</v>
      </c>
      <c r="F119" s="5" t="s">
        <v>43</v>
      </c>
      <c r="G119" s="5" t="s">
        <v>575</v>
      </c>
      <c r="H119" s="5" t="s">
        <v>576</v>
      </c>
      <c r="I119" s="5" t="s">
        <v>59</v>
      </c>
      <c r="J119" s="5" t="s">
        <v>47</v>
      </c>
      <c r="K119" s="5">
        <v>1</v>
      </c>
      <c r="L119" s="6">
        <v>2434</v>
      </c>
      <c r="M119" s="6">
        <v>2193</v>
      </c>
      <c r="N119" s="7">
        <v>9.9</v>
      </c>
      <c r="O119" s="6">
        <v>2193</v>
      </c>
      <c r="P119" s="6">
        <v>253.25</v>
      </c>
      <c r="Q119" s="6">
        <v>109.65</v>
      </c>
      <c r="R119" s="6">
        <v>0</v>
      </c>
      <c r="S119" s="6">
        <v>957.21</v>
      </c>
      <c r="T119" s="6">
        <v>316.02</v>
      </c>
      <c r="U119" s="5">
        <v>0</v>
      </c>
      <c r="V119" s="6">
        <v>0</v>
      </c>
      <c r="W119" s="5"/>
      <c r="X119" s="6">
        <v>2193</v>
      </c>
      <c r="Y119" s="8">
        <v>556.87</v>
      </c>
      <c r="Z119" s="7">
        <v>25.4</v>
      </c>
      <c r="AA119" s="5" t="s">
        <v>60</v>
      </c>
      <c r="AB119" s="5">
        <v>6074</v>
      </c>
      <c r="AC119" s="5">
        <v>186</v>
      </c>
      <c r="AD119" s="7">
        <v>3.06</v>
      </c>
      <c r="AE119" s="5">
        <v>35</v>
      </c>
      <c r="AF119" s="7">
        <v>0.4</v>
      </c>
      <c r="AG119" s="5">
        <v>3</v>
      </c>
      <c r="AH119" s="5" t="s">
        <v>49</v>
      </c>
      <c r="AI119" s="5" t="s">
        <v>112</v>
      </c>
      <c r="AJ119" s="5">
        <v>3</v>
      </c>
      <c r="AK119" s="5">
        <v>177</v>
      </c>
      <c r="AL119" s="5" t="s">
        <v>51</v>
      </c>
    </row>
    <row r="120" spans="1:38" ht="16.05" customHeight="1">
      <c r="A120" s="1" t="s">
        <v>577</v>
      </c>
      <c r="B120" s="22">
        <v>45236</v>
      </c>
      <c r="C120" s="1" t="s">
        <v>578</v>
      </c>
      <c r="D120" s="1" t="s">
        <v>41</v>
      </c>
      <c r="E120" s="1" t="s">
        <v>335</v>
      </c>
      <c r="F120" s="1" t="s">
        <v>100</v>
      </c>
      <c r="G120" s="1" t="s">
        <v>579</v>
      </c>
      <c r="H120" s="1" t="s">
        <v>580</v>
      </c>
      <c r="I120" s="1" t="s">
        <v>46</v>
      </c>
      <c r="J120" s="1" t="s">
        <v>47</v>
      </c>
      <c r="K120" s="1">
        <v>3</v>
      </c>
      <c r="L120" s="2">
        <v>3553</v>
      </c>
      <c r="M120" s="2">
        <v>2530</v>
      </c>
      <c r="N120" s="3">
        <v>28.8</v>
      </c>
      <c r="O120" s="2">
        <v>7590</v>
      </c>
      <c r="P120" s="2">
        <v>989.79</v>
      </c>
      <c r="Q120" s="2">
        <v>0</v>
      </c>
      <c r="R120" s="2">
        <v>62.86</v>
      </c>
      <c r="S120" s="2">
        <v>3417.08</v>
      </c>
      <c r="T120" s="2">
        <v>227.29</v>
      </c>
      <c r="U120" s="1">
        <v>0</v>
      </c>
      <c r="V120" s="2">
        <v>0</v>
      </c>
      <c r="W120" s="1"/>
      <c r="X120" s="2">
        <v>7590</v>
      </c>
      <c r="Y120" s="4">
        <v>2892.98</v>
      </c>
      <c r="Z120" s="3">
        <v>38.1</v>
      </c>
      <c r="AA120" s="1" t="s">
        <v>60</v>
      </c>
      <c r="AB120" s="1">
        <v>5500</v>
      </c>
      <c r="AC120" s="1">
        <v>347</v>
      </c>
      <c r="AD120" s="3">
        <v>6.31</v>
      </c>
      <c r="AE120" s="1">
        <v>6</v>
      </c>
      <c r="AF120" s="3">
        <v>1.5</v>
      </c>
      <c r="AG120" s="1">
        <v>4</v>
      </c>
      <c r="AH120" s="1" t="s">
        <v>49</v>
      </c>
      <c r="AI120" s="1" t="s">
        <v>95</v>
      </c>
      <c r="AJ120" s="1">
        <v>7</v>
      </c>
      <c r="AK120" s="1">
        <v>77</v>
      </c>
      <c r="AL120" s="1" t="s">
        <v>51</v>
      </c>
    </row>
    <row r="121" spans="1:38" ht="16.05" customHeight="1">
      <c r="A121" s="5" t="s">
        <v>581</v>
      </c>
      <c r="B121" s="23">
        <v>45407</v>
      </c>
      <c r="C121" s="5"/>
      <c r="D121" s="5" t="s">
        <v>144</v>
      </c>
      <c r="E121" s="5" t="s">
        <v>429</v>
      </c>
      <c r="F121" s="5" t="s">
        <v>43</v>
      </c>
      <c r="G121" s="5" t="s">
        <v>582</v>
      </c>
      <c r="H121" s="5" t="s">
        <v>583</v>
      </c>
      <c r="I121" s="5" t="s">
        <v>46</v>
      </c>
      <c r="J121" s="5" t="s">
        <v>136</v>
      </c>
      <c r="K121" s="5">
        <v>7</v>
      </c>
      <c r="L121" s="6">
        <v>2311</v>
      </c>
      <c r="M121" s="6">
        <v>1893</v>
      </c>
      <c r="N121" s="7">
        <v>18.100000000000001</v>
      </c>
      <c r="O121" s="6">
        <v>13251</v>
      </c>
      <c r="P121" s="6">
        <v>1911.74</v>
      </c>
      <c r="Q121" s="6">
        <v>0</v>
      </c>
      <c r="R121" s="6">
        <v>84.56</v>
      </c>
      <c r="S121" s="6">
        <v>6023.33</v>
      </c>
      <c r="T121" s="6">
        <v>0</v>
      </c>
      <c r="U121" s="5">
        <v>0</v>
      </c>
      <c r="V121" s="6">
        <v>0</v>
      </c>
      <c r="W121" s="5"/>
      <c r="X121" s="6">
        <v>13251</v>
      </c>
      <c r="Y121" s="8">
        <v>5231.37</v>
      </c>
      <c r="Z121" s="7">
        <v>39.5</v>
      </c>
      <c r="AA121" s="5" t="s">
        <v>60</v>
      </c>
      <c r="AB121" s="5">
        <v>0</v>
      </c>
      <c r="AC121" s="5">
        <v>0</v>
      </c>
      <c r="AD121" s="7">
        <v>0</v>
      </c>
      <c r="AE121" s="5">
        <v>0</v>
      </c>
      <c r="AF121" s="7">
        <v>0</v>
      </c>
      <c r="AG121" s="5"/>
      <c r="AH121" s="5" t="s">
        <v>49</v>
      </c>
      <c r="AI121" s="5" t="s">
        <v>297</v>
      </c>
      <c r="AJ121" s="5">
        <v>6</v>
      </c>
      <c r="AK121" s="5">
        <v>66</v>
      </c>
      <c r="AL121" s="5" t="s">
        <v>51</v>
      </c>
    </row>
    <row r="122" spans="1:38" ht="16.05" customHeight="1">
      <c r="A122" s="1" t="s">
        <v>584</v>
      </c>
      <c r="B122" s="22">
        <v>45276</v>
      </c>
      <c r="C122" s="1" t="s">
        <v>585</v>
      </c>
      <c r="D122" s="1" t="s">
        <v>98</v>
      </c>
      <c r="E122" s="1" t="s">
        <v>449</v>
      </c>
      <c r="F122" s="1" t="s">
        <v>329</v>
      </c>
      <c r="G122" s="1" t="s">
        <v>586</v>
      </c>
      <c r="H122" s="1" t="s">
        <v>587</v>
      </c>
      <c r="I122" s="1" t="s">
        <v>59</v>
      </c>
      <c r="J122" s="1" t="s">
        <v>47</v>
      </c>
      <c r="K122" s="1">
        <v>3</v>
      </c>
      <c r="L122" s="2">
        <v>2465</v>
      </c>
      <c r="M122" s="2">
        <v>2123</v>
      </c>
      <c r="N122" s="3">
        <v>13.9</v>
      </c>
      <c r="O122" s="2">
        <v>6369</v>
      </c>
      <c r="P122" s="2">
        <v>941.02</v>
      </c>
      <c r="Q122" s="2">
        <v>318.45</v>
      </c>
      <c r="R122" s="2">
        <v>0</v>
      </c>
      <c r="S122" s="2">
        <v>2262.8200000000002</v>
      </c>
      <c r="T122" s="2">
        <v>385.55</v>
      </c>
      <c r="U122" s="1">
        <v>0</v>
      </c>
      <c r="V122" s="2">
        <v>0</v>
      </c>
      <c r="W122" s="1"/>
      <c r="X122" s="2">
        <v>6369</v>
      </c>
      <c r="Y122" s="4">
        <v>2461.16</v>
      </c>
      <c r="Z122" s="3">
        <v>38.6</v>
      </c>
      <c r="AA122" s="1" t="s">
        <v>48</v>
      </c>
      <c r="AB122" s="1">
        <v>1427</v>
      </c>
      <c r="AC122" s="1">
        <v>32</v>
      </c>
      <c r="AD122" s="3">
        <v>2.2400000000000002</v>
      </c>
      <c r="AE122" s="1">
        <v>3</v>
      </c>
      <c r="AF122" s="3">
        <v>6.1</v>
      </c>
      <c r="AG122" s="1">
        <v>2</v>
      </c>
      <c r="AH122" s="1" t="s">
        <v>61</v>
      </c>
      <c r="AI122" s="1" t="s">
        <v>79</v>
      </c>
      <c r="AJ122" s="1">
        <v>3</v>
      </c>
      <c r="AK122" s="1">
        <v>56</v>
      </c>
      <c r="AL122" s="1" t="s">
        <v>51</v>
      </c>
    </row>
    <row r="123" spans="1:38" ht="16.05" customHeight="1">
      <c r="A123" s="5" t="s">
        <v>588</v>
      </c>
      <c r="B123" s="23">
        <v>45374</v>
      </c>
      <c r="C123" s="5"/>
      <c r="D123" s="5" t="s">
        <v>54</v>
      </c>
      <c r="E123" s="5" t="s">
        <v>589</v>
      </c>
      <c r="F123" s="5" t="s">
        <v>227</v>
      </c>
      <c r="G123" s="5" t="s">
        <v>590</v>
      </c>
      <c r="H123" s="5" t="s">
        <v>591</v>
      </c>
      <c r="I123" s="5" t="s">
        <v>46</v>
      </c>
      <c r="J123" s="5" t="s">
        <v>85</v>
      </c>
      <c r="K123" s="5">
        <v>6</v>
      </c>
      <c r="L123" s="6">
        <v>2082</v>
      </c>
      <c r="M123" s="6">
        <v>1541</v>
      </c>
      <c r="N123" s="7">
        <v>26</v>
      </c>
      <c r="O123" s="6">
        <v>9246</v>
      </c>
      <c r="P123" s="6">
        <v>1029.22</v>
      </c>
      <c r="Q123" s="6">
        <v>0</v>
      </c>
      <c r="R123" s="6">
        <v>54.96</v>
      </c>
      <c r="S123" s="6">
        <v>3526.17</v>
      </c>
      <c r="T123" s="6">
        <v>425.89</v>
      </c>
      <c r="U123" s="5">
        <v>0</v>
      </c>
      <c r="V123" s="6">
        <v>0</v>
      </c>
      <c r="W123" s="5"/>
      <c r="X123" s="6">
        <v>9246</v>
      </c>
      <c r="Y123" s="8">
        <v>4209.76</v>
      </c>
      <c r="Z123" s="7">
        <v>45.5</v>
      </c>
      <c r="AA123" s="5" t="s">
        <v>48</v>
      </c>
      <c r="AB123" s="5">
        <v>6134</v>
      </c>
      <c r="AC123" s="5">
        <v>271</v>
      </c>
      <c r="AD123" s="7">
        <v>4.42</v>
      </c>
      <c r="AE123" s="5">
        <v>27</v>
      </c>
      <c r="AF123" s="7">
        <v>1</v>
      </c>
      <c r="AG123" s="5"/>
      <c r="AH123" s="5" t="s">
        <v>49</v>
      </c>
      <c r="AI123" s="5" t="s">
        <v>50</v>
      </c>
      <c r="AJ123" s="5">
        <v>6</v>
      </c>
      <c r="AK123" s="5">
        <v>75</v>
      </c>
      <c r="AL123" s="5" t="s">
        <v>51</v>
      </c>
    </row>
    <row r="124" spans="1:38" ht="16.05" customHeight="1">
      <c r="A124" s="1" t="s">
        <v>592</v>
      </c>
      <c r="B124" s="22">
        <v>44930</v>
      </c>
      <c r="C124" s="1" t="s">
        <v>293</v>
      </c>
      <c r="D124" s="1" t="s">
        <v>54</v>
      </c>
      <c r="E124" s="1" t="s">
        <v>589</v>
      </c>
      <c r="F124" s="1" t="s">
        <v>74</v>
      </c>
      <c r="G124" s="1" t="s">
        <v>593</v>
      </c>
      <c r="H124" s="1" t="s">
        <v>594</v>
      </c>
      <c r="I124" s="1" t="s">
        <v>46</v>
      </c>
      <c r="J124" s="1" t="s">
        <v>47</v>
      </c>
      <c r="K124" s="1">
        <v>5</v>
      </c>
      <c r="L124" s="2">
        <v>2075</v>
      </c>
      <c r="M124" s="2">
        <v>1674</v>
      </c>
      <c r="N124" s="3">
        <v>19.3</v>
      </c>
      <c r="O124" s="2">
        <v>8370</v>
      </c>
      <c r="P124" s="2">
        <v>914.89</v>
      </c>
      <c r="Q124" s="2">
        <v>0</v>
      </c>
      <c r="R124" s="2">
        <v>55.55</v>
      </c>
      <c r="S124" s="2">
        <v>4300.33</v>
      </c>
      <c r="T124" s="2">
        <v>0</v>
      </c>
      <c r="U124" s="1">
        <v>0</v>
      </c>
      <c r="V124" s="2">
        <v>0</v>
      </c>
      <c r="W124" s="1"/>
      <c r="X124" s="2">
        <v>8370</v>
      </c>
      <c r="Y124" s="4">
        <v>3099.23</v>
      </c>
      <c r="Z124" s="3">
        <v>37</v>
      </c>
      <c r="AA124" s="1" t="s">
        <v>60</v>
      </c>
      <c r="AB124" s="1">
        <v>0</v>
      </c>
      <c r="AC124" s="1">
        <v>0</v>
      </c>
      <c r="AD124" s="3">
        <v>0</v>
      </c>
      <c r="AE124" s="1">
        <v>0</v>
      </c>
      <c r="AF124" s="3">
        <v>0</v>
      </c>
      <c r="AG124" s="1">
        <v>4</v>
      </c>
      <c r="AH124" s="1" t="s">
        <v>49</v>
      </c>
      <c r="AI124" s="1" t="s">
        <v>308</v>
      </c>
      <c r="AJ124" s="1">
        <v>6</v>
      </c>
      <c r="AK124" s="1">
        <v>33</v>
      </c>
      <c r="AL124" s="1" t="s">
        <v>51</v>
      </c>
    </row>
    <row r="125" spans="1:38" ht="16.05" customHeight="1">
      <c r="A125" s="5" t="s">
        <v>595</v>
      </c>
      <c r="B125" s="23">
        <v>45500</v>
      </c>
      <c r="C125" s="5" t="s">
        <v>596</v>
      </c>
      <c r="D125" s="5" t="s">
        <v>144</v>
      </c>
      <c r="E125" s="5" t="s">
        <v>456</v>
      </c>
      <c r="F125" s="5" t="s">
        <v>74</v>
      </c>
      <c r="G125" s="5" t="s">
        <v>597</v>
      </c>
      <c r="H125" s="5" t="s">
        <v>598</v>
      </c>
      <c r="I125" s="5" t="s">
        <v>46</v>
      </c>
      <c r="J125" s="5" t="s">
        <v>47</v>
      </c>
      <c r="K125" s="5">
        <v>4</v>
      </c>
      <c r="L125" s="6">
        <v>3043</v>
      </c>
      <c r="M125" s="6">
        <v>2455</v>
      </c>
      <c r="N125" s="7">
        <v>19.3</v>
      </c>
      <c r="O125" s="6">
        <v>9820</v>
      </c>
      <c r="P125" s="6">
        <v>856.8</v>
      </c>
      <c r="Q125" s="6">
        <v>0</v>
      </c>
      <c r="R125" s="6">
        <v>93.59</v>
      </c>
      <c r="S125" s="6">
        <v>3525.83</v>
      </c>
      <c r="T125" s="6">
        <v>131.13999999999999</v>
      </c>
      <c r="U125" s="5">
        <v>0</v>
      </c>
      <c r="V125" s="6">
        <v>0</v>
      </c>
      <c r="W125" s="5"/>
      <c r="X125" s="6">
        <v>9820</v>
      </c>
      <c r="Y125" s="8">
        <v>5212.6400000000003</v>
      </c>
      <c r="Z125" s="7">
        <v>53.1</v>
      </c>
      <c r="AA125" s="5" t="s">
        <v>60</v>
      </c>
      <c r="AB125" s="5">
        <v>10349</v>
      </c>
      <c r="AC125" s="5">
        <v>552</v>
      </c>
      <c r="AD125" s="7">
        <v>5.33</v>
      </c>
      <c r="AE125" s="5">
        <v>51</v>
      </c>
      <c r="AF125" s="7">
        <v>0.1</v>
      </c>
      <c r="AG125" s="5">
        <v>3</v>
      </c>
      <c r="AH125" s="5" t="s">
        <v>49</v>
      </c>
      <c r="AI125" s="5" t="s">
        <v>70</v>
      </c>
      <c r="AJ125" s="5">
        <v>7</v>
      </c>
      <c r="AK125" s="5">
        <v>73</v>
      </c>
      <c r="AL125" s="5" t="s">
        <v>51</v>
      </c>
    </row>
    <row r="126" spans="1:38" ht="16.05" customHeight="1">
      <c r="A126" s="1" t="s">
        <v>599</v>
      </c>
      <c r="B126" s="22">
        <v>44992</v>
      </c>
      <c r="C126" s="1"/>
      <c r="D126" s="1" t="s">
        <v>81</v>
      </c>
      <c r="E126" s="1" t="s">
        <v>279</v>
      </c>
      <c r="F126" s="1" t="s">
        <v>125</v>
      </c>
      <c r="G126" s="1" t="s">
        <v>600</v>
      </c>
      <c r="H126" s="1" t="s">
        <v>601</v>
      </c>
      <c r="I126" s="1" t="s">
        <v>46</v>
      </c>
      <c r="J126" s="1" t="s">
        <v>77</v>
      </c>
      <c r="K126" s="1">
        <v>9</v>
      </c>
      <c r="L126" s="2">
        <v>698</v>
      </c>
      <c r="M126" s="2">
        <v>513</v>
      </c>
      <c r="N126" s="3">
        <v>26.5</v>
      </c>
      <c r="O126" s="2">
        <v>4617</v>
      </c>
      <c r="P126" s="2">
        <v>569.48</v>
      </c>
      <c r="Q126" s="2">
        <v>0</v>
      </c>
      <c r="R126" s="2">
        <v>77.28</v>
      </c>
      <c r="S126" s="2">
        <v>1403.11</v>
      </c>
      <c r="T126" s="2">
        <v>199.23</v>
      </c>
      <c r="U126" s="1">
        <v>0</v>
      </c>
      <c r="V126" s="2">
        <v>0</v>
      </c>
      <c r="W126" s="1"/>
      <c r="X126" s="2">
        <v>4617</v>
      </c>
      <c r="Y126" s="4">
        <v>2367.9</v>
      </c>
      <c r="Z126" s="3">
        <v>51.3</v>
      </c>
      <c r="AA126" s="1" t="s">
        <v>48</v>
      </c>
      <c r="AB126" s="1">
        <v>7482</v>
      </c>
      <c r="AC126" s="1">
        <v>377</v>
      </c>
      <c r="AD126" s="3">
        <v>5.04</v>
      </c>
      <c r="AE126" s="1">
        <v>43</v>
      </c>
      <c r="AF126" s="3">
        <v>0.9</v>
      </c>
      <c r="AG126" s="1"/>
      <c r="AH126" s="1" t="s">
        <v>49</v>
      </c>
      <c r="AI126" s="1" t="s">
        <v>95</v>
      </c>
      <c r="AJ126" s="1">
        <v>7</v>
      </c>
      <c r="AK126" s="1">
        <v>171</v>
      </c>
      <c r="AL126" s="1" t="s">
        <v>51</v>
      </c>
    </row>
    <row r="127" spans="1:38" ht="16.05" customHeight="1">
      <c r="A127" s="5" t="s">
        <v>602</v>
      </c>
      <c r="B127" s="23">
        <v>45594</v>
      </c>
      <c r="C127" s="5"/>
      <c r="D127" s="5" t="s">
        <v>81</v>
      </c>
      <c r="E127" s="5" t="s">
        <v>90</v>
      </c>
      <c r="F127" s="5" t="s">
        <v>209</v>
      </c>
      <c r="G127" s="5" t="s">
        <v>603</v>
      </c>
      <c r="H127" s="5" t="s">
        <v>604</v>
      </c>
      <c r="I127" s="5" t="s">
        <v>46</v>
      </c>
      <c r="J127" s="5" t="s">
        <v>77</v>
      </c>
      <c r="K127" s="5">
        <v>6</v>
      </c>
      <c r="L127" s="6">
        <v>2400</v>
      </c>
      <c r="M127" s="6">
        <v>1742</v>
      </c>
      <c r="N127" s="7">
        <v>27.4</v>
      </c>
      <c r="O127" s="6">
        <v>10452</v>
      </c>
      <c r="P127" s="6">
        <v>1272.44</v>
      </c>
      <c r="Q127" s="6">
        <v>0</v>
      </c>
      <c r="R127" s="6">
        <v>67.290000000000006</v>
      </c>
      <c r="S127" s="6">
        <v>3214.78</v>
      </c>
      <c r="T127" s="6">
        <v>0</v>
      </c>
      <c r="U127" s="5">
        <v>0</v>
      </c>
      <c r="V127" s="6">
        <v>0</v>
      </c>
      <c r="W127" s="5"/>
      <c r="X127" s="6">
        <v>10452</v>
      </c>
      <c r="Y127" s="8">
        <v>5897.49</v>
      </c>
      <c r="Z127" s="7">
        <v>56.4</v>
      </c>
      <c r="AA127" s="5" t="s">
        <v>60</v>
      </c>
      <c r="AB127" s="5">
        <v>0</v>
      </c>
      <c r="AC127" s="5">
        <v>0</v>
      </c>
      <c r="AD127" s="7">
        <v>0</v>
      </c>
      <c r="AE127" s="5">
        <v>0</v>
      </c>
      <c r="AF127" s="7">
        <v>0</v>
      </c>
      <c r="AG127" s="5"/>
      <c r="AH127" s="5" t="s">
        <v>49</v>
      </c>
      <c r="AI127" s="5" t="s">
        <v>70</v>
      </c>
      <c r="AJ127" s="5">
        <v>5</v>
      </c>
      <c r="AK127" s="5">
        <v>20</v>
      </c>
      <c r="AL127" s="5" t="s">
        <v>51</v>
      </c>
    </row>
    <row r="128" spans="1:38" ht="16.05" customHeight="1">
      <c r="A128" s="1" t="s">
        <v>605</v>
      </c>
      <c r="B128" s="22">
        <v>45346</v>
      </c>
      <c r="C128" s="1"/>
      <c r="D128" s="1" t="s">
        <v>81</v>
      </c>
      <c r="E128" s="1" t="s">
        <v>90</v>
      </c>
      <c r="F128" s="1" t="s">
        <v>56</v>
      </c>
      <c r="G128" s="1" t="s">
        <v>606</v>
      </c>
      <c r="H128" s="1" t="s">
        <v>607</v>
      </c>
      <c r="I128" s="1" t="s">
        <v>59</v>
      </c>
      <c r="J128" s="1" t="s">
        <v>136</v>
      </c>
      <c r="K128" s="1">
        <v>3</v>
      </c>
      <c r="L128" s="2">
        <v>1842</v>
      </c>
      <c r="M128" s="2">
        <v>1411</v>
      </c>
      <c r="N128" s="3">
        <v>23.4</v>
      </c>
      <c r="O128" s="2">
        <v>4233</v>
      </c>
      <c r="P128" s="2">
        <v>636.61</v>
      </c>
      <c r="Q128" s="2">
        <v>211.65</v>
      </c>
      <c r="R128" s="2">
        <v>0</v>
      </c>
      <c r="S128" s="2">
        <v>2268.77</v>
      </c>
      <c r="T128" s="2">
        <v>255.84</v>
      </c>
      <c r="U128" s="1">
        <v>0</v>
      </c>
      <c r="V128" s="2">
        <v>0</v>
      </c>
      <c r="W128" s="1"/>
      <c r="X128" s="2">
        <v>4233</v>
      </c>
      <c r="Y128" s="4">
        <v>860.13</v>
      </c>
      <c r="Z128" s="3">
        <v>20.3</v>
      </c>
      <c r="AA128" s="1" t="s">
        <v>60</v>
      </c>
      <c r="AB128" s="1">
        <v>801</v>
      </c>
      <c r="AC128" s="1">
        <v>52</v>
      </c>
      <c r="AD128" s="3">
        <v>6.49</v>
      </c>
      <c r="AE128" s="1">
        <v>10</v>
      </c>
      <c r="AF128" s="3">
        <v>1.8</v>
      </c>
      <c r="AG128" s="1"/>
      <c r="AH128" s="1" t="s">
        <v>49</v>
      </c>
      <c r="AI128" s="1" t="s">
        <v>79</v>
      </c>
      <c r="AJ128" s="1">
        <v>1</v>
      </c>
      <c r="AK128" s="1">
        <v>133</v>
      </c>
      <c r="AL128" s="1" t="s">
        <v>51</v>
      </c>
    </row>
    <row r="129" spans="1:38" ht="16.05" customHeight="1">
      <c r="A129" s="5" t="s">
        <v>608</v>
      </c>
      <c r="B129" s="23">
        <v>45186</v>
      </c>
      <c r="C129" s="5" t="s">
        <v>610</v>
      </c>
      <c r="D129" s="5" t="s">
        <v>98</v>
      </c>
      <c r="E129" s="5" t="s">
        <v>559</v>
      </c>
      <c r="F129" s="5" t="s">
        <v>67</v>
      </c>
      <c r="G129" s="5" t="s">
        <v>611</v>
      </c>
      <c r="H129" s="5" t="s">
        <v>612</v>
      </c>
      <c r="I129" s="5" t="s">
        <v>59</v>
      </c>
      <c r="J129" s="5" t="s">
        <v>103</v>
      </c>
      <c r="K129" s="5">
        <v>5</v>
      </c>
      <c r="L129" s="6">
        <v>4048</v>
      </c>
      <c r="M129" s="6">
        <v>2865</v>
      </c>
      <c r="N129" s="7">
        <v>29.2</v>
      </c>
      <c r="O129" s="6">
        <v>14325</v>
      </c>
      <c r="P129" s="6">
        <v>1578.62</v>
      </c>
      <c r="Q129" s="6">
        <v>716.25</v>
      </c>
      <c r="R129" s="6">
        <v>0</v>
      </c>
      <c r="S129" s="6">
        <v>7301.41</v>
      </c>
      <c r="T129" s="6">
        <v>0</v>
      </c>
      <c r="U129" s="5">
        <v>5</v>
      </c>
      <c r="V129" s="6">
        <v>14325</v>
      </c>
      <c r="W129" s="5" t="s">
        <v>111</v>
      </c>
      <c r="X129" s="6">
        <v>0</v>
      </c>
      <c r="Y129" s="11">
        <v>-9596.2800000000007</v>
      </c>
      <c r="Z129" s="7">
        <v>0</v>
      </c>
      <c r="AA129" s="5" t="s">
        <v>60</v>
      </c>
      <c r="AB129" s="5">
        <v>0</v>
      </c>
      <c r="AC129" s="5">
        <v>0</v>
      </c>
      <c r="AD129" s="7">
        <v>0</v>
      </c>
      <c r="AE129" s="5">
        <v>0</v>
      </c>
      <c r="AF129" s="7">
        <v>0</v>
      </c>
      <c r="AG129" s="5"/>
      <c r="AH129" s="5" t="s">
        <v>49</v>
      </c>
      <c r="AI129" s="5" t="s">
        <v>70</v>
      </c>
      <c r="AJ129" s="5">
        <v>2</v>
      </c>
      <c r="AK129" s="5">
        <v>8</v>
      </c>
      <c r="AL129" s="12" t="s">
        <v>71</v>
      </c>
    </row>
    <row r="130" spans="1:38" ht="16.05" customHeight="1">
      <c r="A130" s="1" t="s">
        <v>613</v>
      </c>
      <c r="B130" s="22">
        <v>45180</v>
      </c>
      <c r="C130" s="1" t="s">
        <v>255</v>
      </c>
      <c r="D130" s="1" t="s">
        <v>54</v>
      </c>
      <c r="E130" s="1" t="s">
        <v>300</v>
      </c>
      <c r="F130" s="1" t="s">
        <v>56</v>
      </c>
      <c r="G130" s="1" t="s">
        <v>614</v>
      </c>
      <c r="H130" s="1" t="s">
        <v>615</v>
      </c>
      <c r="I130" s="1" t="s">
        <v>59</v>
      </c>
      <c r="J130" s="1" t="s">
        <v>47</v>
      </c>
      <c r="K130" s="1">
        <v>9</v>
      </c>
      <c r="L130" s="2">
        <v>2414</v>
      </c>
      <c r="M130" s="2">
        <v>2060</v>
      </c>
      <c r="N130" s="3">
        <v>14.7</v>
      </c>
      <c r="O130" s="2">
        <v>18540</v>
      </c>
      <c r="P130" s="2">
        <v>2183.1</v>
      </c>
      <c r="Q130" s="2">
        <v>927</v>
      </c>
      <c r="R130" s="2">
        <v>0</v>
      </c>
      <c r="S130" s="2">
        <v>9952.4699999999993</v>
      </c>
      <c r="T130" s="2">
        <v>309.01</v>
      </c>
      <c r="U130" s="1">
        <v>0</v>
      </c>
      <c r="V130" s="2">
        <v>0</v>
      </c>
      <c r="W130" s="1"/>
      <c r="X130" s="2">
        <v>18540</v>
      </c>
      <c r="Y130" s="4">
        <v>5168.42</v>
      </c>
      <c r="Z130" s="3">
        <v>27.9</v>
      </c>
      <c r="AA130" s="1" t="s">
        <v>94</v>
      </c>
      <c r="AB130" s="1">
        <v>5679</v>
      </c>
      <c r="AC130" s="1">
        <v>67</v>
      </c>
      <c r="AD130" s="3">
        <v>1.18</v>
      </c>
      <c r="AE130" s="1">
        <v>2</v>
      </c>
      <c r="AF130" s="3">
        <v>7.5</v>
      </c>
      <c r="AG130" s="1">
        <v>2</v>
      </c>
      <c r="AH130" s="1" t="s">
        <v>49</v>
      </c>
      <c r="AI130" s="1" t="s">
        <v>112</v>
      </c>
      <c r="AJ130" s="1">
        <v>2</v>
      </c>
      <c r="AK130" s="1">
        <v>52</v>
      </c>
      <c r="AL130" s="1" t="s">
        <v>51</v>
      </c>
    </row>
    <row r="131" spans="1:38" ht="16.05" customHeight="1">
      <c r="A131" s="5" t="s">
        <v>616</v>
      </c>
      <c r="B131" s="23">
        <v>44979</v>
      </c>
      <c r="C131" s="5"/>
      <c r="D131" s="5" t="s">
        <v>41</v>
      </c>
      <c r="E131" s="5" t="s">
        <v>42</v>
      </c>
      <c r="F131" s="5" t="s">
        <v>222</v>
      </c>
      <c r="G131" s="5" t="s">
        <v>617</v>
      </c>
      <c r="H131" s="5" t="s">
        <v>618</v>
      </c>
      <c r="I131" s="5" t="s">
        <v>59</v>
      </c>
      <c r="J131" s="5" t="s">
        <v>77</v>
      </c>
      <c r="K131" s="5">
        <v>2</v>
      </c>
      <c r="L131" s="6">
        <v>3562</v>
      </c>
      <c r="M131" s="6">
        <v>2667</v>
      </c>
      <c r="N131" s="7">
        <v>25.1</v>
      </c>
      <c r="O131" s="6">
        <v>5334</v>
      </c>
      <c r="P131" s="6">
        <v>603.97</v>
      </c>
      <c r="Q131" s="6">
        <v>266.7</v>
      </c>
      <c r="R131" s="6">
        <v>0</v>
      </c>
      <c r="S131" s="6">
        <v>1674.7</v>
      </c>
      <c r="T131" s="6">
        <v>287.41000000000003</v>
      </c>
      <c r="U131" s="5">
        <v>0</v>
      </c>
      <c r="V131" s="6">
        <v>0</v>
      </c>
      <c r="W131" s="5"/>
      <c r="X131" s="6">
        <v>5334</v>
      </c>
      <c r="Y131" s="8">
        <v>2501.2199999999998</v>
      </c>
      <c r="Z131" s="7">
        <v>46.9</v>
      </c>
      <c r="AA131" s="5" t="s">
        <v>60</v>
      </c>
      <c r="AB131" s="5">
        <v>8387</v>
      </c>
      <c r="AC131" s="5">
        <v>403</v>
      </c>
      <c r="AD131" s="7">
        <v>4.8099999999999996</v>
      </c>
      <c r="AE131" s="5">
        <v>60</v>
      </c>
      <c r="AF131" s="7">
        <v>0.2</v>
      </c>
      <c r="AG131" s="5"/>
      <c r="AH131" s="5" t="s">
        <v>49</v>
      </c>
      <c r="AI131" s="5" t="s">
        <v>112</v>
      </c>
      <c r="AJ131" s="5">
        <v>3</v>
      </c>
      <c r="AK131" s="5">
        <v>98</v>
      </c>
      <c r="AL131" s="5" t="s">
        <v>51</v>
      </c>
    </row>
    <row r="132" spans="1:38" ht="16.05" customHeight="1">
      <c r="A132" s="1" t="s">
        <v>619</v>
      </c>
      <c r="B132" s="22">
        <v>45202</v>
      </c>
      <c r="C132" s="1" t="s">
        <v>620</v>
      </c>
      <c r="D132" s="1" t="s">
        <v>65</v>
      </c>
      <c r="E132" s="1" t="s">
        <v>328</v>
      </c>
      <c r="F132" s="1" t="s">
        <v>209</v>
      </c>
      <c r="G132" s="1" t="s">
        <v>621</v>
      </c>
      <c r="H132" s="1" t="s">
        <v>622</v>
      </c>
      <c r="I132" s="1" t="s">
        <v>46</v>
      </c>
      <c r="J132" s="1" t="s">
        <v>47</v>
      </c>
      <c r="K132" s="1">
        <v>9</v>
      </c>
      <c r="L132" s="2">
        <v>1998</v>
      </c>
      <c r="M132" s="2">
        <v>1867</v>
      </c>
      <c r="N132" s="3">
        <v>6.6</v>
      </c>
      <c r="O132" s="2">
        <v>16803</v>
      </c>
      <c r="P132" s="2">
        <v>2011.65</v>
      </c>
      <c r="Q132" s="2">
        <v>0</v>
      </c>
      <c r="R132" s="2">
        <v>30.13</v>
      </c>
      <c r="S132" s="2">
        <v>7701.29</v>
      </c>
      <c r="T132" s="2">
        <v>272.57</v>
      </c>
      <c r="U132" s="1">
        <v>0</v>
      </c>
      <c r="V132" s="2">
        <v>0</v>
      </c>
      <c r="W132" s="1"/>
      <c r="X132" s="2">
        <v>16803</v>
      </c>
      <c r="Y132" s="4">
        <v>6787.36</v>
      </c>
      <c r="Z132" s="3">
        <v>40.4</v>
      </c>
      <c r="AA132" s="1" t="s">
        <v>48</v>
      </c>
      <c r="AB132" s="1">
        <v>4156</v>
      </c>
      <c r="AC132" s="1">
        <v>218</v>
      </c>
      <c r="AD132" s="3">
        <v>5.25</v>
      </c>
      <c r="AE132" s="1">
        <v>3</v>
      </c>
      <c r="AF132" s="3">
        <v>4.9000000000000004</v>
      </c>
      <c r="AG132" s="1">
        <v>5</v>
      </c>
      <c r="AH132" s="1" t="s">
        <v>49</v>
      </c>
      <c r="AI132" s="1" t="s">
        <v>112</v>
      </c>
      <c r="AJ132" s="1">
        <v>5</v>
      </c>
      <c r="AK132" s="1">
        <v>144</v>
      </c>
      <c r="AL132" s="1" t="s">
        <v>51</v>
      </c>
    </row>
    <row r="133" spans="1:38" ht="16.05" customHeight="1">
      <c r="A133" s="5" t="s">
        <v>623</v>
      </c>
      <c r="B133" s="23">
        <v>45120</v>
      </c>
      <c r="C133" s="5"/>
      <c r="D133" s="5" t="s">
        <v>54</v>
      </c>
      <c r="E133" s="5" t="s">
        <v>191</v>
      </c>
      <c r="F133" s="5" t="s">
        <v>209</v>
      </c>
      <c r="G133" s="5" t="s">
        <v>624</v>
      </c>
      <c r="H133" s="5" t="s">
        <v>625</v>
      </c>
      <c r="I133" s="5" t="s">
        <v>59</v>
      </c>
      <c r="J133" s="5" t="s">
        <v>136</v>
      </c>
      <c r="K133" s="5">
        <v>9</v>
      </c>
      <c r="L133" s="6">
        <v>2077</v>
      </c>
      <c r="M133" s="6">
        <v>1510</v>
      </c>
      <c r="N133" s="7">
        <v>27.3</v>
      </c>
      <c r="O133" s="6">
        <v>13590</v>
      </c>
      <c r="P133" s="6">
        <v>1552.28</v>
      </c>
      <c r="Q133" s="6">
        <v>679.5</v>
      </c>
      <c r="R133" s="6">
        <v>0</v>
      </c>
      <c r="S133" s="6">
        <v>7394.47</v>
      </c>
      <c r="T133" s="6">
        <v>440.28</v>
      </c>
      <c r="U133" s="5">
        <v>0</v>
      </c>
      <c r="V133" s="6">
        <v>0</v>
      </c>
      <c r="W133" s="5"/>
      <c r="X133" s="6">
        <v>13590</v>
      </c>
      <c r="Y133" s="8">
        <v>3523.47</v>
      </c>
      <c r="Z133" s="7">
        <v>25.9</v>
      </c>
      <c r="AA133" s="5" t="s">
        <v>78</v>
      </c>
      <c r="AB133" s="5">
        <v>3124</v>
      </c>
      <c r="AC133" s="5">
        <v>187</v>
      </c>
      <c r="AD133" s="7">
        <v>5.99</v>
      </c>
      <c r="AE133" s="5">
        <v>7</v>
      </c>
      <c r="AF133" s="7">
        <v>4.2</v>
      </c>
      <c r="AG133" s="5"/>
      <c r="AH133" s="5" t="s">
        <v>49</v>
      </c>
      <c r="AI133" s="5" t="s">
        <v>153</v>
      </c>
      <c r="AJ133" s="5">
        <v>3</v>
      </c>
      <c r="AK133" s="5">
        <v>14</v>
      </c>
      <c r="AL133" s="12" t="s">
        <v>71</v>
      </c>
    </row>
    <row r="134" spans="1:38" ht="16.05" customHeight="1">
      <c r="A134" s="1" t="s">
        <v>626</v>
      </c>
      <c r="B134" s="22">
        <v>45150</v>
      </c>
      <c r="C134" s="1" t="s">
        <v>627</v>
      </c>
      <c r="D134" s="1" t="s">
        <v>54</v>
      </c>
      <c r="E134" s="1" t="s">
        <v>150</v>
      </c>
      <c r="F134" s="1" t="s">
        <v>239</v>
      </c>
      <c r="G134" s="1" t="s">
        <v>628</v>
      </c>
      <c r="H134" s="1" t="s">
        <v>629</v>
      </c>
      <c r="I134" s="1" t="s">
        <v>46</v>
      </c>
      <c r="J134" s="1" t="s">
        <v>47</v>
      </c>
      <c r="K134" s="1">
        <v>2</v>
      </c>
      <c r="L134" s="2">
        <v>899</v>
      </c>
      <c r="M134" s="2">
        <v>823</v>
      </c>
      <c r="N134" s="3">
        <v>8.5</v>
      </c>
      <c r="O134" s="2">
        <v>1646</v>
      </c>
      <c r="P134" s="2">
        <v>134.9</v>
      </c>
      <c r="Q134" s="2">
        <v>0</v>
      </c>
      <c r="R134" s="2">
        <v>56.91</v>
      </c>
      <c r="S134" s="2">
        <v>666.14</v>
      </c>
      <c r="T134" s="2">
        <v>0</v>
      </c>
      <c r="U134" s="1">
        <v>0</v>
      </c>
      <c r="V134" s="2">
        <v>0</v>
      </c>
      <c r="W134" s="1"/>
      <c r="X134" s="2">
        <v>1646</v>
      </c>
      <c r="Y134" s="4">
        <v>788.05</v>
      </c>
      <c r="Z134" s="3">
        <v>47.9</v>
      </c>
      <c r="AA134" s="1" t="s">
        <v>60</v>
      </c>
      <c r="AB134" s="1">
        <v>0</v>
      </c>
      <c r="AC134" s="1">
        <v>0</v>
      </c>
      <c r="AD134" s="3">
        <v>0</v>
      </c>
      <c r="AE134" s="1">
        <v>0</v>
      </c>
      <c r="AF134" s="3">
        <v>0</v>
      </c>
      <c r="AG134" s="1">
        <v>3</v>
      </c>
      <c r="AH134" s="1" t="s">
        <v>49</v>
      </c>
      <c r="AI134" s="1" t="s">
        <v>163</v>
      </c>
      <c r="AJ134" s="1">
        <v>7</v>
      </c>
      <c r="AK134" s="1">
        <v>174</v>
      </c>
      <c r="AL134" s="1" t="s">
        <v>51</v>
      </c>
    </row>
    <row r="135" spans="1:38" ht="16.05" customHeight="1">
      <c r="A135" s="5" t="s">
        <v>630</v>
      </c>
      <c r="B135" s="23">
        <v>45113</v>
      </c>
      <c r="C135" s="5"/>
      <c r="D135" s="5" t="s">
        <v>65</v>
      </c>
      <c r="E135" s="5" t="s">
        <v>179</v>
      </c>
      <c r="F135" s="5" t="s">
        <v>197</v>
      </c>
      <c r="G135" s="5" t="s">
        <v>631</v>
      </c>
      <c r="H135" s="5" t="s">
        <v>632</v>
      </c>
      <c r="I135" s="5" t="s">
        <v>59</v>
      </c>
      <c r="J135" s="5" t="s">
        <v>85</v>
      </c>
      <c r="K135" s="5">
        <v>3</v>
      </c>
      <c r="L135" s="6">
        <v>1817</v>
      </c>
      <c r="M135" s="6">
        <v>1512</v>
      </c>
      <c r="N135" s="7">
        <v>16.8</v>
      </c>
      <c r="O135" s="6">
        <v>4536</v>
      </c>
      <c r="P135" s="6">
        <v>799.25</v>
      </c>
      <c r="Q135" s="6">
        <v>226.8</v>
      </c>
      <c r="R135" s="6">
        <v>0</v>
      </c>
      <c r="S135" s="6">
        <v>2181.52</v>
      </c>
      <c r="T135" s="6">
        <v>439.09</v>
      </c>
      <c r="U135" s="5">
        <v>0</v>
      </c>
      <c r="V135" s="6">
        <v>0</v>
      </c>
      <c r="W135" s="5"/>
      <c r="X135" s="6">
        <v>4536</v>
      </c>
      <c r="Y135" s="8">
        <v>889.34</v>
      </c>
      <c r="Z135" s="7">
        <v>19.600000000000001</v>
      </c>
      <c r="AA135" s="5" t="s">
        <v>78</v>
      </c>
      <c r="AB135" s="5">
        <v>11436</v>
      </c>
      <c r="AC135" s="5">
        <v>333</v>
      </c>
      <c r="AD135" s="7">
        <v>2.91</v>
      </c>
      <c r="AE135" s="5">
        <v>25</v>
      </c>
      <c r="AF135" s="7">
        <v>1.2</v>
      </c>
      <c r="AG135" s="5"/>
      <c r="AH135" s="5" t="s">
        <v>49</v>
      </c>
      <c r="AI135" s="5" t="s">
        <v>163</v>
      </c>
      <c r="AJ135" s="5">
        <v>2</v>
      </c>
      <c r="AK135" s="5">
        <v>89</v>
      </c>
      <c r="AL135" s="5" t="s">
        <v>51</v>
      </c>
    </row>
    <row r="136" spans="1:38" ht="16.05" customHeight="1">
      <c r="A136" s="1" t="s">
        <v>633</v>
      </c>
      <c r="B136" s="22">
        <v>45572</v>
      </c>
      <c r="C136" s="1"/>
      <c r="D136" s="1" t="s">
        <v>54</v>
      </c>
      <c r="E136" s="1" t="s">
        <v>124</v>
      </c>
      <c r="F136" s="1" t="s">
        <v>203</v>
      </c>
      <c r="G136" s="1" t="s">
        <v>635</v>
      </c>
      <c r="H136" s="1" t="s">
        <v>636</v>
      </c>
      <c r="I136" s="1" t="s">
        <v>59</v>
      </c>
      <c r="J136" s="1" t="s">
        <v>85</v>
      </c>
      <c r="K136" s="1">
        <v>9</v>
      </c>
      <c r="L136" s="2">
        <v>4458</v>
      </c>
      <c r="M136" s="2">
        <v>4197</v>
      </c>
      <c r="N136" s="3">
        <v>5.9</v>
      </c>
      <c r="O136" s="2">
        <v>37773</v>
      </c>
      <c r="P136" s="2">
        <v>6106.15</v>
      </c>
      <c r="Q136" s="2">
        <v>1888.65</v>
      </c>
      <c r="R136" s="2">
        <v>0</v>
      </c>
      <c r="S136" s="2">
        <v>13348.33</v>
      </c>
      <c r="T136" s="2">
        <v>194.19</v>
      </c>
      <c r="U136" s="1">
        <v>0</v>
      </c>
      <c r="V136" s="2">
        <v>0</v>
      </c>
      <c r="W136" s="1"/>
      <c r="X136" s="2">
        <v>37773</v>
      </c>
      <c r="Y136" s="4">
        <v>16235.68</v>
      </c>
      <c r="Z136" s="3">
        <v>43</v>
      </c>
      <c r="AA136" s="1" t="s">
        <v>60</v>
      </c>
      <c r="AB136" s="1">
        <v>10163</v>
      </c>
      <c r="AC136" s="1">
        <v>738</v>
      </c>
      <c r="AD136" s="3">
        <v>7.26</v>
      </c>
      <c r="AE136" s="1">
        <v>113</v>
      </c>
      <c r="AF136" s="3">
        <v>0</v>
      </c>
      <c r="AG136" s="1"/>
      <c r="AH136" s="1" t="s">
        <v>49</v>
      </c>
      <c r="AI136" s="1" t="s">
        <v>176</v>
      </c>
      <c r="AJ136" s="1">
        <v>2</v>
      </c>
      <c r="AK136" s="1">
        <v>15</v>
      </c>
      <c r="AL136" s="9" t="s">
        <v>71</v>
      </c>
    </row>
    <row r="137" spans="1:38" ht="16.05" customHeight="1">
      <c r="A137" s="5" t="s">
        <v>637</v>
      </c>
      <c r="B137" s="23">
        <v>45175</v>
      </c>
      <c r="C137" s="5"/>
      <c r="D137" s="5" t="s">
        <v>65</v>
      </c>
      <c r="E137" s="5" t="s">
        <v>73</v>
      </c>
      <c r="F137" s="5" t="s">
        <v>56</v>
      </c>
      <c r="G137" s="5" t="s">
        <v>638</v>
      </c>
      <c r="H137" s="5" t="s">
        <v>639</v>
      </c>
      <c r="I137" s="5" t="s">
        <v>46</v>
      </c>
      <c r="J137" s="5" t="s">
        <v>85</v>
      </c>
      <c r="K137" s="5">
        <v>1</v>
      </c>
      <c r="L137" s="6">
        <v>2532</v>
      </c>
      <c r="M137" s="6">
        <v>2351</v>
      </c>
      <c r="N137" s="7">
        <v>7.1</v>
      </c>
      <c r="O137" s="6">
        <v>2351</v>
      </c>
      <c r="P137" s="6">
        <v>368.36</v>
      </c>
      <c r="Q137" s="6">
        <v>0</v>
      </c>
      <c r="R137" s="6">
        <v>58.51</v>
      </c>
      <c r="S137" s="6">
        <v>1082.1500000000001</v>
      </c>
      <c r="T137" s="6">
        <v>175.44</v>
      </c>
      <c r="U137" s="5">
        <v>0</v>
      </c>
      <c r="V137" s="6">
        <v>0</v>
      </c>
      <c r="W137" s="5"/>
      <c r="X137" s="6">
        <v>2351</v>
      </c>
      <c r="Y137" s="8">
        <v>666.54</v>
      </c>
      <c r="Z137" s="7">
        <v>28.4</v>
      </c>
      <c r="AA137" s="5" t="s">
        <v>94</v>
      </c>
      <c r="AB137" s="5">
        <v>12348</v>
      </c>
      <c r="AC137" s="5">
        <v>402</v>
      </c>
      <c r="AD137" s="7">
        <v>3.26</v>
      </c>
      <c r="AE137" s="5">
        <v>18</v>
      </c>
      <c r="AF137" s="7">
        <v>0.4</v>
      </c>
      <c r="AG137" s="5"/>
      <c r="AH137" s="5" t="s">
        <v>49</v>
      </c>
      <c r="AI137" s="5" t="s">
        <v>112</v>
      </c>
      <c r="AJ137" s="5">
        <v>7</v>
      </c>
      <c r="AK137" s="5">
        <v>65</v>
      </c>
      <c r="AL137" s="5" t="s">
        <v>51</v>
      </c>
    </row>
    <row r="138" spans="1:38" ht="16.05" customHeight="1">
      <c r="A138" s="1" t="s">
        <v>640</v>
      </c>
      <c r="B138" s="22">
        <v>45053</v>
      </c>
      <c r="C138" s="1" t="s">
        <v>641</v>
      </c>
      <c r="D138" s="1" t="s">
        <v>98</v>
      </c>
      <c r="E138" s="1" t="s">
        <v>482</v>
      </c>
      <c r="F138" s="1" t="s">
        <v>67</v>
      </c>
      <c r="G138" s="1" t="s">
        <v>642</v>
      </c>
      <c r="H138" s="1" t="s">
        <v>643</v>
      </c>
      <c r="I138" s="1" t="s">
        <v>46</v>
      </c>
      <c r="J138" s="1" t="s">
        <v>47</v>
      </c>
      <c r="K138" s="1">
        <v>8</v>
      </c>
      <c r="L138" s="2">
        <v>1455</v>
      </c>
      <c r="M138" s="2">
        <v>1178</v>
      </c>
      <c r="N138" s="3">
        <v>19</v>
      </c>
      <c r="O138" s="2">
        <v>9424</v>
      </c>
      <c r="P138" s="2">
        <v>1098.76</v>
      </c>
      <c r="Q138" s="2">
        <v>0</v>
      </c>
      <c r="R138" s="2">
        <v>69.069999999999993</v>
      </c>
      <c r="S138" s="2">
        <v>4185.75</v>
      </c>
      <c r="T138" s="2">
        <v>366.58</v>
      </c>
      <c r="U138" s="1">
        <v>0</v>
      </c>
      <c r="V138" s="2">
        <v>0</v>
      </c>
      <c r="W138" s="1"/>
      <c r="X138" s="2">
        <v>9424</v>
      </c>
      <c r="Y138" s="4">
        <v>3703.84</v>
      </c>
      <c r="Z138" s="3">
        <v>39.299999999999997</v>
      </c>
      <c r="AA138" s="1" t="s">
        <v>60</v>
      </c>
      <c r="AB138" s="1">
        <v>11799</v>
      </c>
      <c r="AC138" s="1">
        <v>750</v>
      </c>
      <c r="AD138" s="3">
        <v>6.36</v>
      </c>
      <c r="AE138" s="1">
        <v>69</v>
      </c>
      <c r="AF138" s="3">
        <v>0.5</v>
      </c>
      <c r="AG138" s="1">
        <v>2</v>
      </c>
      <c r="AH138" s="1" t="s">
        <v>49</v>
      </c>
      <c r="AI138" s="1" t="s">
        <v>163</v>
      </c>
      <c r="AJ138" s="1">
        <v>6</v>
      </c>
      <c r="AK138" s="1">
        <v>145</v>
      </c>
      <c r="AL138" s="1" t="s">
        <v>51</v>
      </c>
    </row>
    <row r="139" spans="1:38" ht="16.05" customHeight="1">
      <c r="A139" s="5" t="s">
        <v>644</v>
      </c>
      <c r="B139" s="23">
        <v>45615</v>
      </c>
      <c r="C139" s="5" t="s">
        <v>645</v>
      </c>
      <c r="D139" s="5" t="s">
        <v>54</v>
      </c>
      <c r="E139" s="5" t="s">
        <v>191</v>
      </c>
      <c r="F139" s="5" t="s">
        <v>43</v>
      </c>
      <c r="G139" s="5" t="s">
        <v>646</v>
      </c>
      <c r="H139" s="5" t="s">
        <v>647</v>
      </c>
      <c r="I139" s="5" t="s">
        <v>59</v>
      </c>
      <c r="J139" s="5" t="s">
        <v>47</v>
      </c>
      <c r="K139" s="5">
        <v>5</v>
      </c>
      <c r="L139" s="6">
        <v>2947</v>
      </c>
      <c r="M139" s="6">
        <v>2657</v>
      </c>
      <c r="N139" s="7">
        <v>9.8000000000000007</v>
      </c>
      <c r="O139" s="6">
        <v>13285</v>
      </c>
      <c r="P139" s="6">
        <v>1550.77</v>
      </c>
      <c r="Q139" s="6">
        <v>664.25</v>
      </c>
      <c r="R139" s="6">
        <v>0</v>
      </c>
      <c r="S139" s="6">
        <v>4945.2</v>
      </c>
      <c r="T139" s="6">
        <v>74.900000000000006</v>
      </c>
      <c r="U139" s="5">
        <v>0</v>
      </c>
      <c r="V139" s="6">
        <v>0</v>
      </c>
      <c r="W139" s="5"/>
      <c r="X139" s="6">
        <v>13285</v>
      </c>
      <c r="Y139" s="8">
        <v>6049.88</v>
      </c>
      <c r="Z139" s="7">
        <v>45.5</v>
      </c>
      <c r="AA139" s="5" t="s">
        <v>78</v>
      </c>
      <c r="AB139" s="5">
        <v>4899</v>
      </c>
      <c r="AC139" s="5">
        <v>209</v>
      </c>
      <c r="AD139" s="7">
        <v>4.2699999999999996</v>
      </c>
      <c r="AE139" s="5">
        <v>29</v>
      </c>
      <c r="AF139" s="7">
        <v>0.1</v>
      </c>
      <c r="AG139" s="5">
        <v>3</v>
      </c>
      <c r="AH139" s="5" t="s">
        <v>61</v>
      </c>
      <c r="AI139" s="5" t="s">
        <v>308</v>
      </c>
      <c r="AJ139" s="5">
        <v>3</v>
      </c>
      <c r="AK139" s="5">
        <v>175</v>
      </c>
      <c r="AL139" s="5" t="s">
        <v>51</v>
      </c>
    </row>
    <row r="140" spans="1:38" ht="16.05" customHeight="1">
      <c r="A140" s="1" t="s">
        <v>648</v>
      </c>
      <c r="B140" s="22">
        <v>45424</v>
      </c>
      <c r="C140" s="1"/>
      <c r="D140" s="1" t="s">
        <v>54</v>
      </c>
      <c r="E140" s="1" t="s">
        <v>589</v>
      </c>
      <c r="F140" s="1" t="s">
        <v>100</v>
      </c>
      <c r="G140" s="1" t="s">
        <v>649</v>
      </c>
      <c r="H140" s="1" t="s">
        <v>650</v>
      </c>
      <c r="I140" s="1" t="s">
        <v>46</v>
      </c>
      <c r="J140" s="1" t="s">
        <v>85</v>
      </c>
      <c r="K140" s="1">
        <v>4</v>
      </c>
      <c r="L140" s="2">
        <v>2811</v>
      </c>
      <c r="M140" s="2">
        <v>2452</v>
      </c>
      <c r="N140" s="3">
        <v>12.8</v>
      </c>
      <c r="O140" s="2">
        <v>9808</v>
      </c>
      <c r="P140" s="2">
        <v>1340.77</v>
      </c>
      <c r="Q140" s="2">
        <v>0</v>
      </c>
      <c r="R140" s="2">
        <v>105.16</v>
      </c>
      <c r="S140" s="2">
        <v>5365.73</v>
      </c>
      <c r="T140" s="2">
        <v>178.92</v>
      </c>
      <c r="U140" s="1">
        <v>0</v>
      </c>
      <c r="V140" s="2">
        <v>0</v>
      </c>
      <c r="W140" s="1"/>
      <c r="X140" s="2">
        <v>9808</v>
      </c>
      <c r="Y140" s="4">
        <v>2817.42</v>
      </c>
      <c r="Z140" s="3">
        <v>28.7</v>
      </c>
      <c r="AA140" s="1" t="s">
        <v>48</v>
      </c>
      <c r="AB140" s="1">
        <v>3531</v>
      </c>
      <c r="AC140" s="1">
        <v>203</v>
      </c>
      <c r="AD140" s="3">
        <v>5.75</v>
      </c>
      <c r="AE140" s="1">
        <v>40</v>
      </c>
      <c r="AF140" s="3">
        <v>0.2</v>
      </c>
      <c r="AG140" s="1"/>
      <c r="AH140" s="1" t="s">
        <v>49</v>
      </c>
      <c r="AI140" s="1" t="s">
        <v>62</v>
      </c>
      <c r="AJ140" s="1">
        <v>5</v>
      </c>
      <c r="AK140" s="1">
        <v>74</v>
      </c>
      <c r="AL140" s="1" t="s">
        <v>51</v>
      </c>
    </row>
    <row r="141" spans="1:38" ht="16.05" customHeight="1">
      <c r="A141" s="5" t="s">
        <v>651</v>
      </c>
      <c r="B141" s="23">
        <v>45272</v>
      </c>
      <c r="C141" s="5" t="s">
        <v>652</v>
      </c>
      <c r="D141" s="5" t="s">
        <v>54</v>
      </c>
      <c r="E141" s="5" t="s">
        <v>55</v>
      </c>
      <c r="F141" s="5" t="s">
        <v>125</v>
      </c>
      <c r="G141" s="5" t="s">
        <v>653</v>
      </c>
      <c r="H141" s="5" t="s">
        <v>654</v>
      </c>
      <c r="I141" s="5" t="s">
        <v>59</v>
      </c>
      <c r="J141" s="5" t="s">
        <v>47</v>
      </c>
      <c r="K141" s="5">
        <v>4</v>
      </c>
      <c r="L141" s="6">
        <v>541</v>
      </c>
      <c r="M141" s="6">
        <v>424</v>
      </c>
      <c r="N141" s="7">
        <v>21.6</v>
      </c>
      <c r="O141" s="6">
        <v>1696</v>
      </c>
      <c r="P141" s="6">
        <v>164.79</v>
      </c>
      <c r="Q141" s="6">
        <v>84.8</v>
      </c>
      <c r="R141" s="6">
        <v>0</v>
      </c>
      <c r="S141" s="6">
        <v>893.2</v>
      </c>
      <c r="T141" s="6">
        <v>98.27</v>
      </c>
      <c r="U141" s="5">
        <v>0</v>
      </c>
      <c r="V141" s="6">
        <v>0</v>
      </c>
      <c r="W141" s="5"/>
      <c r="X141" s="6">
        <v>1696</v>
      </c>
      <c r="Y141" s="8">
        <v>454.94</v>
      </c>
      <c r="Z141" s="7">
        <v>26.8</v>
      </c>
      <c r="AA141" s="5" t="s">
        <v>60</v>
      </c>
      <c r="AB141" s="5">
        <v>13424</v>
      </c>
      <c r="AC141" s="5">
        <v>101</v>
      </c>
      <c r="AD141" s="7">
        <v>0.75</v>
      </c>
      <c r="AE141" s="5">
        <v>12</v>
      </c>
      <c r="AF141" s="7">
        <v>1.9</v>
      </c>
      <c r="AG141" s="5">
        <v>4</v>
      </c>
      <c r="AH141" s="5" t="s">
        <v>49</v>
      </c>
      <c r="AI141" s="5" t="s">
        <v>308</v>
      </c>
      <c r="AJ141" s="5">
        <v>2</v>
      </c>
      <c r="AK141" s="5">
        <v>128</v>
      </c>
      <c r="AL141" s="5" t="s">
        <v>51</v>
      </c>
    </row>
    <row r="142" spans="1:38" ht="16.05" customHeight="1">
      <c r="A142" s="1" t="s">
        <v>655</v>
      </c>
      <c r="B142" s="22">
        <v>45596</v>
      </c>
      <c r="C142" s="1" t="s">
        <v>656</v>
      </c>
      <c r="D142" s="1" t="s">
        <v>65</v>
      </c>
      <c r="E142" s="1" t="s">
        <v>525</v>
      </c>
      <c r="F142" s="1" t="s">
        <v>227</v>
      </c>
      <c r="G142" s="1" t="s">
        <v>657</v>
      </c>
      <c r="H142" s="1" t="s">
        <v>658</v>
      </c>
      <c r="I142" s="1" t="s">
        <v>46</v>
      </c>
      <c r="J142" s="1" t="s">
        <v>47</v>
      </c>
      <c r="K142" s="1">
        <v>2</v>
      </c>
      <c r="L142" s="2">
        <v>1204</v>
      </c>
      <c r="M142" s="2">
        <v>1130</v>
      </c>
      <c r="N142" s="3">
        <v>6.1</v>
      </c>
      <c r="O142" s="2">
        <v>2260</v>
      </c>
      <c r="P142" s="2">
        <v>204.31</v>
      </c>
      <c r="Q142" s="2">
        <v>0</v>
      </c>
      <c r="R142" s="2">
        <v>72.5</v>
      </c>
      <c r="S142" s="2">
        <v>1181.6400000000001</v>
      </c>
      <c r="T142" s="2">
        <v>382.12</v>
      </c>
      <c r="U142" s="1">
        <v>0</v>
      </c>
      <c r="V142" s="2">
        <v>0</v>
      </c>
      <c r="W142" s="1"/>
      <c r="X142" s="2">
        <v>2260</v>
      </c>
      <c r="Y142" s="4">
        <v>419.43</v>
      </c>
      <c r="Z142" s="3">
        <v>18.600000000000001</v>
      </c>
      <c r="AA142" s="1" t="s">
        <v>60</v>
      </c>
      <c r="AB142" s="1">
        <v>7447</v>
      </c>
      <c r="AC142" s="1">
        <v>513</v>
      </c>
      <c r="AD142" s="3">
        <v>6.89</v>
      </c>
      <c r="AE142" s="1">
        <v>68</v>
      </c>
      <c r="AF142" s="3">
        <v>0.5</v>
      </c>
      <c r="AG142" s="1">
        <v>4</v>
      </c>
      <c r="AH142" s="1" t="s">
        <v>49</v>
      </c>
      <c r="AI142" s="1" t="s">
        <v>95</v>
      </c>
      <c r="AJ142" s="1">
        <v>3</v>
      </c>
      <c r="AK142" s="1">
        <v>119</v>
      </c>
      <c r="AL142" s="1" t="s">
        <v>51</v>
      </c>
    </row>
    <row r="143" spans="1:38" ht="16.05" customHeight="1">
      <c r="A143" s="5" t="s">
        <v>659</v>
      </c>
      <c r="B143" s="23">
        <v>45187</v>
      </c>
      <c r="C143" s="5" t="s">
        <v>660</v>
      </c>
      <c r="D143" s="5" t="s">
        <v>98</v>
      </c>
      <c r="E143" s="5" t="s">
        <v>114</v>
      </c>
      <c r="F143" s="5" t="s">
        <v>125</v>
      </c>
      <c r="G143" s="5" t="s">
        <v>661</v>
      </c>
      <c r="H143" s="5" t="s">
        <v>662</v>
      </c>
      <c r="I143" s="5" t="s">
        <v>59</v>
      </c>
      <c r="J143" s="5" t="s">
        <v>47</v>
      </c>
      <c r="K143" s="5">
        <v>10</v>
      </c>
      <c r="L143" s="6">
        <v>4417</v>
      </c>
      <c r="M143" s="6">
        <v>3839</v>
      </c>
      <c r="N143" s="7">
        <v>13.1</v>
      </c>
      <c r="O143" s="6">
        <v>38390</v>
      </c>
      <c r="P143" s="6">
        <v>6615.2</v>
      </c>
      <c r="Q143" s="6">
        <v>1919.5</v>
      </c>
      <c r="R143" s="6">
        <v>0</v>
      </c>
      <c r="S143" s="6">
        <v>13465.51</v>
      </c>
      <c r="T143" s="6">
        <v>33.86</v>
      </c>
      <c r="U143" s="5">
        <v>0</v>
      </c>
      <c r="V143" s="6">
        <v>0</v>
      </c>
      <c r="W143" s="5"/>
      <c r="X143" s="6">
        <v>38390</v>
      </c>
      <c r="Y143" s="8">
        <v>16355.93</v>
      </c>
      <c r="Z143" s="7">
        <v>42.6</v>
      </c>
      <c r="AA143" s="5" t="s">
        <v>60</v>
      </c>
      <c r="AB143" s="5">
        <v>6226</v>
      </c>
      <c r="AC143" s="5">
        <v>44</v>
      </c>
      <c r="AD143" s="7">
        <v>0.71</v>
      </c>
      <c r="AE143" s="5">
        <v>6</v>
      </c>
      <c r="AF143" s="7">
        <v>0.1</v>
      </c>
      <c r="AG143" s="5">
        <v>5</v>
      </c>
      <c r="AH143" s="5" t="s">
        <v>49</v>
      </c>
      <c r="AI143" s="5" t="s">
        <v>176</v>
      </c>
      <c r="AJ143" s="5">
        <v>3</v>
      </c>
      <c r="AK143" s="5">
        <v>42</v>
      </c>
      <c r="AL143" s="5" t="s">
        <v>51</v>
      </c>
    </row>
    <row r="144" spans="1:38" ht="16.05" customHeight="1">
      <c r="A144" s="1" t="s">
        <v>663</v>
      </c>
      <c r="B144" s="22">
        <v>45523</v>
      </c>
      <c r="C144" s="1"/>
      <c r="D144" s="1" t="s">
        <v>54</v>
      </c>
      <c r="E144" s="1" t="s">
        <v>124</v>
      </c>
      <c r="F144" s="1" t="s">
        <v>74</v>
      </c>
      <c r="G144" s="1" t="s">
        <v>664</v>
      </c>
      <c r="H144" s="1" t="s">
        <v>665</v>
      </c>
      <c r="I144" s="1" t="s">
        <v>59</v>
      </c>
      <c r="J144" s="1" t="s">
        <v>85</v>
      </c>
      <c r="K144" s="1">
        <v>7</v>
      </c>
      <c r="L144" s="2">
        <v>1299</v>
      </c>
      <c r="M144" s="2">
        <v>1230</v>
      </c>
      <c r="N144" s="3">
        <v>5.3</v>
      </c>
      <c r="O144" s="2">
        <v>8610</v>
      </c>
      <c r="P144" s="2">
        <v>697.14</v>
      </c>
      <c r="Q144" s="2">
        <v>430.5</v>
      </c>
      <c r="R144" s="2">
        <v>0</v>
      </c>
      <c r="S144" s="2">
        <v>4423.3999999999996</v>
      </c>
      <c r="T144" s="2">
        <v>406.82</v>
      </c>
      <c r="U144" s="1">
        <v>0</v>
      </c>
      <c r="V144" s="2">
        <v>0</v>
      </c>
      <c r="W144" s="1"/>
      <c r="X144" s="2">
        <v>8610</v>
      </c>
      <c r="Y144" s="4">
        <v>2652.14</v>
      </c>
      <c r="Z144" s="3">
        <v>30.8</v>
      </c>
      <c r="AA144" s="1" t="s">
        <v>94</v>
      </c>
      <c r="AB144" s="1">
        <v>9253</v>
      </c>
      <c r="AC144" s="1">
        <v>464</v>
      </c>
      <c r="AD144" s="3">
        <v>5.01</v>
      </c>
      <c r="AE144" s="1">
        <v>33</v>
      </c>
      <c r="AF144" s="3">
        <v>1</v>
      </c>
      <c r="AG144" s="1"/>
      <c r="AH144" s="1" t="s">
        <v>49</v>
      </c>
      <c r="AI144" s="1" t="s">
        <v>86</v>
      </c>
      <c r="AJ144" s="1">
        <v>2</v>
      </c>
      <c r="AK144" s="1">
        <v>128</v>
      </c>
      <c r="AL144" s="1" t="s">
        <v>51</v>
      </c>
    </row>
    <row r="145" spans="1:38" ht="16.05" customHeight="1">
      <c r="A145" s="5" t="s">
        <v>666</v>
      </c>
      <c r="B145" s="23">
        <v>44942</v>
      </c>
      <c r="C145" s="5"/>
      <c r="D145" s="5" t="s">
        <v>98</v>
      </c>
      <c r="E145" s="5" t="s">
        <v>559</v>
      </c>
      <c r="F145" s="5" t="s">
        <v>43</v>
      </c>
      <c r="G145" s="5" t="s">
        <v>667</v>
      </c>
      <c r="H145" s="5" t="s">
        <v>668</v>
      </c>
      <c r="I145" s="5" t="s">
        <v>59</v>
      </c>
      <c r="J145" s="5" t="s">
        <v>136</v>
      </c>
      <c r="K145" s="5">
        <v>7</v>
      </c>
      <c r="L145" s="6">
        <v>3384</v>
      </c>
      <c r="M145" s="6">
        <v>2974</v>
      </c>
      <c r="N145" s="7">
        <v>12.1</v>
      </c>
      <c r="O145" s="6">
        <v>20818</v>
      </c>
      <c r="P145" s="6">
        <v>2893.23</v>
      </c>
      <c r="Q145" s="6">
        <v>1040.9000000000001</v>
      </c>
      <c r="R145" s="6">
        <v>0</v>
      </c>
      <c r="S145" s="6">
        <v>10844.55</v>
      </c>
      <c r="T145" s="6">
        <v>0</v>
      </c>
      <c r="U145" s="5">
        <v>0</v>
      </c>
      <c r="V145" s="6">
        <v>0</v>
      </c>
      <c r="W145" s="5"/>
      <c r="X145" s="6">
        <v>20818</v>
      </c>
      <c r="Y145" s="8">
        <v>6039.32</v>
      </c>
      <c r="Z145" s="7">
        <v>29</v>
      </c>
      <c r="AA145" s="5" t="s">
        <v>60</v>
      </c>
      <c r="AB145" s="5">
        <v>0</v>
      </c>
      <c r="AC145" s="5">
        <v>0</v>
      </c>
      <c r="AD145" s="7">
        <v>0</v>
      </c>
      <c r="AE145" s="5">
        <v>0</v>
      </c>
      <c r="AF145" s="7">
        <v>0</v>
      </c>
      <c r="AG145" s="5"/>
      <c r="AH145" s="5" t="s">
        <v>49</v>
      </c>
      <c r="AI145" s="5" t="s">
        <v>112</v>
      </c>
      <c r="AJ145" s="5">
        <v>1</v>
      </c>
      <c r="AK145" s="5">
        <v>94</v>
      </c>
      <c r="AL145" s="5" t="s">
        <v>51</v>
      </c>
    </row>
    <row r="146" spans="1:38" ht="16.05" customHeight="1">
      <c r="A146" s="1" t="s">
        <v>669</v>
      </c>
      <c r="B146" s="22">
        <v>45182</v>
      </c>
      <c r="C146" s="1" t="s">
        <v>39</v>
      </c>
      <c r="D146" s="1" t="s">
        <v>54</v>
      </c>
      <c r="E146" s="1" t="s">
        <v>670</v>
      </c>
      <c r="F146" s="1" t="s">
        <v>91</v>
      </c>
      <c r="G146" s="1" t="s">
        <v>671</v>
      </c>
      <c r="H146" s="1" t="s">
        <v>672</v>
      </c>
      <c r="I146" s="1" t="s">
        <v>59</v>
      </c>
      <c r="J146" s="1" t="s">
        <v>47</v>
      </c>
      <c r="K146" s="1">
        <v>9</v>
      </c>
      <c r="L146" s="2">
        <v>3194</v>
      </c>
      <c r="M146" s="2">
        <v>2667</v>
      </c>
      <c r="N146" s="3">
        <v>16.5</v>
      </c>
      <c r="O146" s="2">
        <v>24003</v>
      </c>
      <c r="P146" s="2">
        <v>2303.08</v>
      </c>
      <c r="Q146" s="2">
        <v>1200.1500000000001</v>
      </c>
      <c r="R146" s="2">
        <v>0</v>
      </c>
      <c r="S146" s="2">
        <v>8597.1299999999992</v>
      </c>
      <c r="T146" s="2">
        <v>0</v>
      </c>
      <c r="U146" s="1">
        <v>0</v>
      </c>
      <c r="V146" s="2">
        <v>0</v>
      </c>
      <c r="W146" s="1"/>
      <c r="X146" s="2">
        <v>24003</v>
      </c>
      <c r="Y146" s="4">
        <v>11902.64</v>
      </c>
      <c r="Z146" s="3">
        <v>49.6</v>
      </c>
      <c r="AA146" s="1" t="s">
        <v>60</v>
      </c>
      <c r="AB146" s="1">
        <v>0</v>
      </c>
      <c r="AC146" s="1">
        <v>0</v>
      </c>
      <c r="AD146" s="3">
        <v>0</v>
      </c>
      <c r="AE146" s="1">
        <v>0</v>
      </c>
      <c r="AF146" s="3">
        <v>0</v>
      </c>
      <c r="AG146" s="1">
        <v>4</v>
      </c>
      <c r="AH146" s="1" t="s">
        <v>61</v>
      </c>
      <c r="AI146" s="1" t="s">
        <v>62</v>
      </c>
      <c r="AJ146" s="1">
        <v>3</v>
      </c>
      <c r="AK146" s="1">
        <v>55</v>
      </c>
      <c r="AL146" s="1" t="s">
        <v>51</v>
      </c>
    </row>
    <row r="147" spans="1:38" ht="16.05" customHeight="1">
      <c r="A147" s="5" t="s">
        <v>673</v>
      </c>
      <c r="B147" s="23">
        <v>45146</v>
      </c>
      <c r="C147" s="5"/>
      <c r="D147" s="5" t="s">
        <v>54</v>
      </c>
      <c r="E147" s="5" t="s">
        <v>150</v>
      </c>
      <c r="F147" s="5" t="s">
        <v>203</v>
      </c>
      <c r="G147" s="5" t="s">
        <v>674</v>
      </c>
      <c r="H147" s="5" t="s">
        <v>675</v>
      </c>
      <c r="I147" s="5" t="s">
        <v>46</v>
      </c>
      <c r="J147" s="5" t="s">
        <v>85</v>
      </c>
      <c r="K147" s="5">
        <v>4</v>
      </c>
      <c r="L147" s="6">
        <v>582</v>
      </c>
      <c r="M147" s="6">
        <v>422</v>
      </c>
      <c r="N147" s="7">
        <v>27.5</v>
      </c>
      <c r="O147" s="6">
        <v>1688</v>
      </c>
      <c r="P147" s="6">
        <v>220.89</v>
      </c>
      <c r="Q147" s="6">
        <v>0</v>
      </c>
      <c r="R147" s="6">
        <v>80.47</v>
      </c>
      <c r="S147" s="6">
        <v>855.54</v>
      </c>
      <c r="T147" s="6">
        <v>309.31</v>
      </c>
      <c r="U147" s="5">
        <v>0</v>
      </c>
      <c r="V147" s="6">
        <v>0</v>
      </c>
      <c r="W147" s="5"/>
      <c r="X147" s="6">
        <v>1688</v>
      </c>
      <c r="Y147" s="8">
        <v>221.79</v>
      </c>
      <c r="Z147" s="7">
        <v>13.1</v>
      </c>
      <c r="AA147" s="5" t="s">
        <v>78</v>
      </c>
      <c r="AB147" s="5">
        <v>14335</v>
      </c>
      <c r="AC147" s="5">
        <v>574</v>
      </c>
      <c r="AD147" s="7">
        <v>4</v>
      </c>
      <c r="AE147" s="5">
        <v>16</v>
      </c>
      <c r="AF147" s="7">
        <v>4.5999999999999996</v>
      </c>
      <c r="AG147" s="5"/>
      <c r="AH147" s="5" t="s">
        <v>49</v>
      </c>
      <c r="AI147" s="5" t="s">
        <v>105</v>
      </c>
      <c r="AJ147" s="5">
        <v>7</v>
      </c>
      <c r="AK147" s="5">
        <v>184</v>
      </c>
      <c r="AL147" s="5" t="s">
        <v>51</v>
      </c>
    </row>
    <row r="148" spans="1:38" ht="16.05" customHeight="1">
      <c r="A148" s="1" t="s">
        <v>676</v>
      </c>
      <c r="B148" s="22">
        <v>45502</v>
      </c>
      <c r="C148" s="1"/>
      <c r="D148" s="1" t="s">
        <v>54</v>
      </c>
      <c r="E148" s="1" t="s">
        <v>124</v>
      </c>
      <c r="F148" s="1" t="s">
        <v>115</v>
      </c>
      <c r="G148" s="1" t="s">
        <v>677</v>
      </c>
      <c r="H148" s="1" t="s">
        <v>678</v>
      </c>
      <c r="I148" s="1" t="s">
        <v>59</v>
      </c>
      <c r="J148" s="1" t="s">
        <v>136</v>
      </c>
      <c r="K148" s="1">
        <v>7</v>
      </c>
      <c r="L148" s="2">
        <v>4649</v>
      </c>
      <c r="M148" s="2">
        <v>3839</v>
      </c>
      <c r="N148" s="3">
        <v>17.399999999999999</v>
      </c>
      <c r="O148" s="2">
        <v>26873</v>
      </c>
      <c r="P148" s="2">
        <v>4268.62</v>
      </c>
      <c r="Q148" s="2">
        <v>1343.65</v>
      </c>
      <c r="R148" s="2">
        <v>0</v>
      </c>
      <c r="S148" s="2">
        <v>13780.01</v>
      </c>
      <c r="T148" s="2">
        <v>146.41999999999999</v>
      </c>
      <c r="U148" s="1">
        <v>0</v>
      </c>
      <c r="V148" s="2">
        <v>0</v>
      </c>
      <c r="W148" s="1"/>
      <c r="X148" s="2">
        <v>26873</v>
      </c>
      <c r="Y148" s="4">
        <v>7334.3</v>
      </c>
      <c r="Z148" s="3">
        <v>27.3</v>
      </c>
      <c r="AA148" s="1" t="s">
        <v>94</v>
      </c>
      <c r="AB148" s="1">
        <v>3245</v>
      </c>
      <c r="AC148" s="1">
        <v>120</v>
      </c>
      <c r="AD148" s="3">
        <v>3.7</v>
      </c>
      <c r="AE148" s="1">
        <v>24</v>
      </c>
      <c r="AF148" s="3">
        <v>0.2</v>
      </c>
      <c r="AG148" s="1"/>
      <c r="AH148" s="1" t="s">
        <v>49</v>
      </c>
      <c r="AI148" s="1" t="s">
        <v>86</v>
      </c>
      <c r="AJ148" s="1">
        <v>3</v>
      </c>
      <c r="AK148" s="1">
        <v>55</v>
      </c>
      <c r="AL148" s="1" t="s">
        <v>51</v>
      </c>
    </row>
    <row r="149" spans="1:38" ht="16.05" customHeight="1">
      <c r="A149" s="5" t="s">
        <v>679</v>
      </c>
      <c r="B149" s="23">
        <v>45634</v>
      </c>
      <c r="C149" s="5" t="s">
        <v>680</v>
      </c>
      <c r="D149" s="5" t="s">
        <v>81</v>
      </c>
      <c r="E149" s="5" t="s">
        <v>284</v>
      </c>
      <c r="F149" s="5" t="s">
        <v>91</v>
      </c>
      <c r="G149" s="5" t="s">
        <v>681</v>
      </c>
      <c r="H149" s="5" t="s">
        <v>682</v>
      </c>
      <c r="I149" s="5" t="s">
        <v>59</v>
      </c>
      <c r="J149" s="5" t="s">
        <v>47</v>
      </c>
      <c r="K149" s="5">
        <v>2</v>
      </c>
      <c r="L149" s="6">
        <v>2072</v>
      </c>
      <c r="M149" s="6">
        <v>1496</v>
      </c>
      <c r="N149" s="7">
        <v>27.8</v>
      </c>
      <c r="O149" s="6">
        <v>2992</v>
      </c>
      <c r="P149" s="6">
        <v>378.97</v>
      </c>
      <c r="Q149" s="6">
        <v>149.6</v>
      </c>
      <c r="R149" s="6">
        <v>0</v>
      </c>
      <c r="S149" s="6">
        <v>1245.44</v>
      </c>
      <c r="T149" s="6">
        <v>283.3</v>
      </c>
      <c r="U149" s="5">
        <v>0</v>
      </c>
      <c r="V149" s="6">
        <v>0</v>
      </c>
      <c r="W149" s="5"/>
      <c r="X149" s="6">
        <v>2992</v>
      </c>
      <c r="Y149" s="8">
        <v>934.69</v>
      </c>
      <c r="Z149" s="7">
        <v>31.2</v>
      </c>
      <c r="AA149" s="5" t="s">
        <v>78</v>
      </c>
      <c r="AB149" s="5">
        <v>4557</v>
      </c>
      <c r="AC149" s="5">
        <v>310</v>
      </c>
      <c r="AD149" s="7">
        <v>6.8</v>
      </c>
      <c r="AE149" s="5">
        <v>12</v>
      </c>
      <c r="AF149" s="7">
        <v>1.6</v>
      </c>
      <c r="AG149" s="5">
        <v>5</v>
      </c>
      <c r="AH149" s="5" t="s">
        <v>61</v>
      </c>
      <c r="AI149" s="5" t="s">
        <v>112</v>
      </c>
      <c r="AJ149" s="5">
        <v>2</v>
      </c>
      <c r="AK149" s="5">
        <v>27</v>
      </c>
      <c r="AL149" s="5" t="s">
        <v>51</v>
      </c>
    </row>
    <row r="150" spans="1:38" ht="16.05" customHeight="1">
      <c r="A150" s="1" t="s">
        <v>683</v>
      </c>
      <c r="B150" s="22">
        <v>45138</v>
      </c>
      <c r="C150" s="1"/>
      <c r="D150" s="1" t="s">
        <v>144</v>
      </c>
      <c r="E150" s="1" t="s">
        <v>317</v>
      </c>
      <c r="F150" s="1" t="s">
        <v>197</v>
      </c>
      <c r="G150" s="1" t="s">
        <v>684</v>
      </c>
      <c r="H150" s="1" t="s">
        <v>685</v>
      </c>
      <c r="I150" s="1" t="s">
        <v>46</v>
      </c>
      <c r="J150" s="1" t="s">
        <v>136</v>
      </c>
      <c r="K150" s="1">
        <v>10</v>
      </c>
      <c r="L150" s="2">
        <v>784</v>
      </c>
      <c r="M150" s="2">
        <v>668</v>
      </c>
      <c r="N150" s="3">
        <v>14.8</v>
      </c>
      <c r="O150" s="2">
        <v>6680</v>
      </c>
      <c r="P150" s="2">
        <v>626.55999999999995</v>
      </c>
      <c r="Q150" s="2">
        <v>0</v>
      </c>
      <c r="R150" s="2">
        <v>87.37</v>
      </c>
      <c r="S150" s="2">
        <v>2731.43</v>
      </c>
      <c r="T150" s="2">
        <v>183.12</v>
      </c>
      <c r="U150" s="1">
        <v>0</v>
      </c>
      <c r="V150" s="2">
        <v>0</v>
      </c>
      <c r="W150" s="1"/>
      <c r="X150" s="2">
        <v>6680</v>
      </c>
      <c r="Y150" s="4">
        <v>3051.52</v>
      </c>
      <c r="Z150" s="3">
        <v>45.7</v>
      </c>
      <c r="AA150" s="1" t="s">
        <v>48</v>
      </c>
      <c r="AB150" s="1">
        <v>5384</v>
      </c>
      <c r="AC150" s="1">
        <v>319</v>
      </c>
      <c r="AD150" s="3">
        <v>5.92</v>
      </c>
      <c r="AE150" s="1">
        <v>15</v>
      </c>
      <c r="AF150" s="3">
        <v>1.8</v>
      </c>
      <c r="AG150" s="1"/>
      <c r="AH150" s="1" t="s">
        <v>49</v>
      </c>
      <c r="AI150" s="1" t="s">
        <v>153</v>
      </c>
      <c r="AJ150" s="1">
        <v>4</v>
      </c>
      <c r="AK150" s="1">
        <v>124</v>
      </c>
      <c r="AL150" s="1" t="s">
        <v>51</v>
      </c>
    </row>
    <row r="151" spans="1:38" ht="16.05" customHeight="1">
      <c r="A151" s="5" t="s">
        <v>686</v>
      </c>
      <c r="B151" s="23">
        <v>45513</v>
      </c>
      <c r="C151" s="5" t="s">
        <v>687</v>
      </c>
      <c r="D151" s="5" t="s">
        <v>144</v>
      </c>
      <c r="E151" s="5" t="s">
        <v>406</v>
      </c>
      <c r="F151" s="5" t="s">
        <v>125</v>
      </c>
      <c r="G151" s="5" t="s">
        <v>688</v>
      </c>
      <c r="H151" s="5" t="s">
        <v>689</v>
      </c>
      <c r="I151" s="5" t="s">
        <v>59</v>
      </c>
      <c r="J151" s="5" t="s">
        <v>47</v>
      </c>
      <c r="K151" s="5">
        <v>2</v>
      </c>
      <c r="L151" s="6">
        <v>2455</v>
      </c>
      <c r="M151" s="6">
        <v>2197</v>
      </c>
      <c r="N151" s="7">
        <v>10.5</v>
      </c>
      <c r="O151" s="6">
        <v>4394</v>
      </c>
      <c r="P151" s="6">
        <v>743.48</v>
      </c>
      <c r="Q151" s="6">
        <v>219.7</v>
      </c>
      <c r="R151" s="6">
        <v>0</v>
      </c>
      <c r="S151" s="6">
        <v>1438.4</v>
      </c>
      <c r="T151" s="6">
        <v>241.73</v>
      </c>
      <c r="U151" s="5">
        <v>0</v>
      </c>
      <c r="V151" s="6">
        <v>0</v>
      </c>
      <c r="W151" s="5"/>
      <c r="X151" s="6">
        <v>4394</v>
      </c>
      <c r="Y151" s="8">
        <v>1750.69</v>
      </c>
      <c r="Z151" s="7">
        <v>39.799999999999997</v>
      </c>
      <c r="AA151" s="5" t="s">
        <v>94</v>
      </c>
      <c r="AB151" s="5">
        <v>3531</v>
      </c>
      <c r="AC151" s="5">
        <v>250</v>
      </c>
      <c r="AD151" s="7">
        <v>7.08</v>
      </c>
      <c r="AE151" s="5">
        <v>39</v>
      </c>
      <c r="AF151" s="7">
        <v>0.3</v>
      </c>
      <c r="AG151" s="5">
        <v>5</v>
      </c>
      <c r="AH151" s="5" t="s">
        <v>49</v>
      </c>
      <c r="AI151" s="5" t="s">
        <v>70</v>
      </c>
      <c r="AJ151" s="5">
        <v>3</v>
      </c>
      <c r="AK151" s="5">
        <v>172</v>
      </c>
      <c r="AL151" s="5" t="s">
        <v>51</v>
      </c>
    </row>
    <row r="152" spans="1:38" ht="16.05" customHeight="1">
      <c r="A152" s="1" t="s">
        <v>690</v>
      </c>
      <c r="B152" s="22">
        <v>45456</v>
      </c>
      <c r="C152" s="1"/>
      <c r="D152" s="1" t="s">
        <v>41</v>
      </c>
      <c r="E152" s="1" t="s">
        <v>289</v>
      </c>
      <c r="F152" s="1" t="s">
        <v>125</v>
      </c>
      <c r="G152" s="1" t="s">
        <v>692</v>
      </c>
      <c r="H152" s="1" t="s">
        <v>693</v>
      </c>
      <c r="I152" s="1" t="s">
        <v>59</v>
      </c>
      <c r="J152" s="1" t="s">
        <v>85</v>
      </c>
      <c r="K152" s="1">
        <v>8</v>
      </c>
      <c r="L152" s="2">
        <v>3113</v>
      </c>
      <c r="M152" s="2">
        <v>2186</v>
      </c>
      <c r="N152" s="3">
        <v>29.8</v>
      </c>
      <c r="O152" s="2">
        <v>17488</v>
      </c>
      <c r="P152" s="2">
        <v>1950.42</v>
      </c>
      <c r="Q152" s="2">
        <v>874.4</v>
      </c>
      <c r="R152" s="2">
        <v>0</v>
      </c>
      <c r="S152" s="2">
        <v>5546.84</v>
      </c>
      <c r="T152" s="2">
        <v>266.06</v>
      </c>
      <c r="U152" s="1">
        <v>0</v>
      </c>
      <c r="V152" s="2">
        <v>0</v>
      </c>
      <c r="W152" s="1"/>
      <c r="X152" s="2">
        <v>17488</v>
      </c>
      <c r="Y152" s="4">
        <v>8850.2800000000007</v>
      </c>
      <c r="Z152" s="3">
        <v>50.6</v>
      </c>
      <c r="AA152" s="1" t="s">
        <v>48</v>
      </c>
      <c r="AB152" s="1">
        <v>10527</v>
      </c>
      <c r="AC152" s="1">
        <v>478</v>
      </c>
      <c r="AD152" s="3">
        <v>4.54</v>
      </c>
      <c r="AE152" s="1">
        <v>89</v>
      </c>
      <c r="AF152" s="3">
        <v>0.1</v>
      </c>
      <c r="AG152" s="1"/>
      <c r="AH152" s="1" t="s">
        <v>49</v>
      </c>
      <c r="AI152" s="1" t="s">
        <v>297</v>
      </c>
      <c r="AJ152" s="1">
        <v>3</v>
      </c>
      <c r="AK152" s="1">
        <v>3</v>
      </c>
      <c r="AL152" s="9" t="s">
        <v>71</v>
      </c>
    </row>
    <row r="153" spans="1:38" ht="16.05" customHeight="1">
      <c r="A153" s="5" t="s">
        <v>694</v>
      </c>
      <c r="B153" s="23">
        <v>45600</v>
      </c>
      <c r="C153" s="5" t="s">
        <v>695</v>
      </c>
      <c r="D153" s="5" t="s">
        <v>41</v>
      </c>
      <c r="E153" s="5" t="s">
        <v>202</v>
      </c>
      <c r="F153" s="5" t="s">
        <v>115</v>
      </c>
      <c r="G153" s="5" t="s">
        <v>696</v>
      </c>
      <c r="H153" s="5" t="s">
        <v>697</v>
      </c>
      <c r="I153" s="5" t="s">
        <v>59</v>
      </c>
      <c r="J153" s="5" t="s">
        <v>47</v>
      </c>
      <c r="K153" s="5">
        <v>1</v>
      </c>
      <c r="L153" s="6">
        <v>3546</v>
      </c>
      <c r="M153" s="6">
        <v>2561</v>
      </c>
      <c r="N153" s="7">
        <v>27.8</v>
      </c>
      <c r="O153" s="6">
        <v>2561</v>
      </c>
      <c r="P153" s="6">
        <v>347.57</v>
      </c>
      <c r="Q153" s="6">
        <v>128.05000000000001</v>
      </c>
      <c r="R153" s="6">
        <v>0</v>
      </c>
      <c r="S153" s="6">
        <v>964.15</v>
      </c>
      <c r="T153" s="6">
        <v>0</v>
      </c>
      <c r="U153" s="5">
        <v>0</v>
      </c>
      <c r="V153" s="6">
        <v>0</v>
      </c>
      <c r="W153" s="5"/>
      <c r="X153" s="6">
        <v>2561</v>
      </c>
      <c r="Y153" s="8">
        <v>1121.23</v>
      </c>
      <c r="Z153" s="7">
        <v>43.8</v>
      </c>
      <c r="AA153" s="5" t="s">
        <v>60</v>
      </c>
      <c r="AB153" s="5">
        <v>0</v>
      </c>
      <c r="AC153" s="5">
        <v>0</v>
      </c>
      <c r="AD153" s="7">
        <v>0</v>
      </c>
      <c r="AE153" s="5">
        <v>0</v>
      </c>
      <c r="AF153" s="7">
        <v>0</v>
      </c>
      <c r="AG153" s="5">
        <v>2</v>
      </c>
      <c r="AH153" s="5" t="s">
        <v>49</v>
      </c>
      <c r="AI153" s="5" t="s">
        <v>79</v>
      </c>
      <c r="AJ153" s="5">
        <v>2</v>
      </c>
      <c r="AK153" s="5">
        <v>57</v>
      </c>
      <c r="AL153" s="5" t="s">
        <v>51</v>
      </c>
    </row>
    <row r="154" spans="1:38" ht="16.05" customHeight="1">
      <c r="A154" s="1" t="s">
        <v>698</v>
      </c>
      <c r="B154" s="22">
        <v>45041</v>
      </c>
      <c r="C154" s="1"/>
      <c r="D154" s="1" t="s">
        <v>54</v>
      </c>
      <c r="E154" s="1" t="s">
        <v>124</v>
      </c>
      <c r="F154" s="1" t="s">
        <v>329</v>
      </c>
      <c r="G154" s="1" t="s">
        <v>699</v>
      </c>
      <c r="H154" s="1" t="s">
        <v>700</v>
      </c>
      <c r="I154" s="1" t="s">
        <v>59</v>
      </c>
      <c r="J154" s="1" t="s">
        <v>85</v>
      </c>
      <c r="K154" s="1">
        <v>4</v>
      </c>
      <c r="L154" s="2">
        <v>2015</v>
      </c>
      <c r="M154" s="2">
        <v>1419</v>
      </c>
      <c r="N154" s="3">
        <v>29.6</v>
      </c>
      <c r="O154" s="2">
        <v>5676</v>
      </c>
      <c r="P154" s="2">
        <v>725.97</v>
      </c>
      <c r="Q154" s="2">
        <v>283.8</v>
      </c>
      <c r="R154" s="2">
        <v>0</v>
      </c>
      <c r="S154" s="2">
        <v>2925.14</v>
      </c>
      <c r="T154" s="2">
        <v>0</v>
      </c>
      <c r="U154" s="1">
        <v>0</v>
      </c>
      <c r="V154" s="2">
        <v>0</v>
      </c>
      <c r="W154" s="1"/>
      <c r="X154" s="2">
        <v>5676</v>
      </c>
      <c r="Y154" s="4">
        <v>1741.09</v>
      </c>
      <c r="Z154" s="3">
        <v>30.7</v>
      </c>
      <c r="AA154" s="1" t="s">
        <v>60</v>
      </c>
      <c r="AB154" s="1">
        <v>0</v>
      </c>
      <c r="AC154" s="1">
        <v>0</v>
      </c>
      <c r="AD154" s="3">
        <v>0</v>
      </c>
      <c r="AE154" s="1">
        <v>0</v>
      </c>
      <c r="AF154" s="3">
        <v>0</v>
      </c>
      <c r="AG154" s="1"/>
      <c r="AH154" s="1" t="s">
        <v>49</v>
      </c>
      <c r="AI154" s="1" t="s">
        <v>176</v>
      </c>
      <c r="AJ154" s="1">
        <v>3</v>
      </c>
      <c r="AK154" s="1">
        <v>15</v>
      </c>
      <c r="AL154" s="9" t="s">
        <v>71</v>
      </c>
    </row>
    <row r="155" spans="1:38" ht="16.05" customHeight="1">
      <c r="A155" s="5" t="s">
        <v>701</v>
      </c>
      <c r="B155" s="23">
        <v>45234</v>
      </c>
      <c r="C155" s="5"/>
      <c r="D155" s="5" t="s">
        <v>144</v>
      </c>
      <c r="E155" s="5" t="s">
        <v>173</v>
      </c>
      <c r="F155" s="5" t="s">
        <v>222</v>
      </c>
      <c r="G155" s="5" t="s">
        <v>702</v>
      </c>
      <c r="H155" s="5" t="s">
        <v>703</v>
      </c>
      <c r="I155" s="5" t="s">
        <v>59</v>
      </c>
      <c r="J155" s="5" t="s">
        <v>85</v>
      </c>
      <c r="K155" s="5">
        <v>7</v>
      </c>
      <c r="L155" s="6">
        <v>386</v>
      </c>
      <c r="M155" s="6">
        <v>300</v>
      </c>
      <c r="N155" s="7">
        <v>22.3</v>
      </c>
      <c r="O155" s="6">
        <v>2100</v>
      </c>
      <c r="P155" s="6">
        <v>231.63</v>
      </c>
      <c r="Q155" s="6">
        <v>105</v>
      </c>
      <c r="R155" s="6">
        <v>0</v>
      </c>
      <c r="S155" s="6">
        <v>1146.46</v>
      </c>
      <c r="T155" s="6">
        <v>0</v>
      </c>
      <c r="U155" s="5">
        <v>0</v>
      </c>
      <c r="V155" s="6">
        <v>0</v>
      </c>
      <c r="W155" s="5"/>
      <c r="X155" s="6">
        <v>2100</v>
      </c>
      <c r="Y155" s="8">
        <v>616.91</v>
      </c>
      <c r="Z155" s="7">
        <v>29.4</v>
      </c>
      <c r="AA155" s="5" t="s">
        <v>60</v>
      </c>
      <c r="AB155" s="5">
        <v>0</v>
      </c>
      <c r="AC155" s="5">
        <v>0</v>
      </c>
      <c r="AD155" s="7">
        <v>0</v>
      </c>
      <c r="AE155" s="5">
        <v>0</v>
      </c>
      <c r="AF155" s="7">
        <v>0</v>
      </c>
      <c r="AG155" s="5"/>
      <c r="AH155" s="5" t="s">
        <v>49</v>
      </c>
      <c r="AI155" s="5" t="s">
        <v>308</v>
      </c>
      <c r="AJ155" s="5">
        <v>1</v>
      </c>
      <c r="AK155" s="5">
        <v>87</v>
      </c>
      <c r="AL155" s="5" t="s">
        <v>51</v>
      </c>
    </row>
    <row r="156" spans="1:38" ht="16.05" customHeight="1">
      <c r="A156" s="1" t="s">
        <v>704</v>
      </c>
      <c r="B156" s="22">
        <v>45064</v>
      </c>
      <c r="C156" s="1" t="s">
        <v>705</v>
      </c>
      <c r="D156" s="1" t="s">
        <v>81</v>
      </c>
      <c r="E156" s="1" t="s">
        <v>82</v>
      </c>
      <c r="F156" s="1" t="s">
        <v>209</v>
      </c>
      <c r="G156" s="1" t="s">
        <v>706</v>
      </c>
      <c r="H156" s="1" t="s">
        <v>707</v>
      </c>
      <c r="I156" s="1" t="s">
        <v>46</v>
      </c>
      <c r="J156" s="1" t="s">
        <v>47</v>
      </c>
      <c r="K156" s="1">
        <v>9</v>
      </c>
      <c r="L156" s="2">
        <v>3609</v>
      </c>
      <c r="M156" s="2">
        <v>3249</v>
      </c>
      <c r="N156" s="3">
        <v>10</v>
      </c>
      <c r="O156" s="2">
        <v>29241</v>
      </c>
      <c r="P156" s="2">
        <v>4298.91</v>
      </c>
      <c r="Q156" s="2">
        <v>0</v>
      </c>
      <c r="R156" s="2">
        <v>64.77</v>
      </c>
      <c r="S156" s="2">
        <v>10408.16</v>
      </c>
      <c r="T156" s="2">
        <v>273.62</v>
      </c>
      <c r="U156" s="1">
        <v>0</v>
      </c>
      <c r="V156" s="2">
        <v>0</v>
      </c>
      <c r="W156" s="1"/>
      <c r="X156" s="2">
        <v>29241</v>
      </c>
      <c r="Y156" s="4">
        <v>14195.54</v>
      </c>
      <c r="Z156" s="3">
        <v>48.5</v>
      </c>
      <c r="AA156" s="1" t="s">
        <v>60</v>
      </c>
      <c r="AB156" s="1">
        <v>4042</v>
      </c>
      <c r="AC156" s="1">
        <v>254</v>
      </c>
      <c r="AD156" s="3">
        <v>6.28</v>
      </c>
      <c r="AE156" s="1">
        <v>14</v>
      </c>
      <c r="AF156" s="3">
        <v>0.6</v>
      </c>
      <c r="AG156" s="1">
        <v>2</v>
      </c>
      <c r="AH156" s="1" t="s">
        <v>61</v>
      </c>
      <c r="AI156" s="1" t="s">
        <v>50</v>
      </c>
      <c r="AJ156" s="1">
        <v>5</v>
      </c>
      <c r="AK156" s="1">
        <v>114</v>
      </c>
      <c r="AL156" s="1" t="s">
        <v>51</v>
      </c>
    </row>
    <row r="157" spans="1:38" ht="16.05" customHeight="1">
      <c r="A157" s="5" t="s">
        <v>708</v>
      </c>
      <c r="B157" s="23">
        <v>45096</v>
      </c>
      <c r="C157" s="5" t="s">
        <v>709</v>
      </c>
      <c r="D157" s="5" t="s">
        <v>41</v>
      </c>
      <c r="E157" s="5" t="s">
        <v>160</v>
      </c>
      <c r="F157" s="5" t="s">
        <v>239</v>
      </c>
      <c r="G157" s="5" t="s">
        <v>710</v>
      </c>
      <c r="H157" s="5" t="s">
        <v>711</v>
      </c>
      <c r="I157" s="5" t="s">
        <v>46</v>
      </c>
      <c r="J157" s="5" t="s">
        <v>47</v>
      </c>
      <c r="K157" s="5">
        <v>10</v>
      </c>
      <c r="L157" s="6">
        <v>379</v>
      </c>
      <c r="M157" s="6">
        <v>327</v>
      </c>
      <c r="N157" s="7">
        <v>13.7</v>
      </c>
      <c r="O157" s="6">
        <v>3270</v>
      </c>
      <c r="P157" s="6">
        <v>399.83</v>
      </c>
      <c r="Q157" s="6">
        <v>0</v>
      </c>
      <c r="R157" s="6">
        <v>76.87</v>
      </c>
      <c r="S157" s="6">
        <v>1593.23</v>
      </c>
      <c r="T157" s="6">
        <v>0</v>
      </c>
      <c r="U157" s="5">
        <v>0</v>
      </c>
      <c r="V157" s="6">
        <v>0</v>
      </c>
      <c r="W157" s="5"/>
      <c r="X157" s="6">
        <v>3270</v>
      </c>
      <c r="Y157" s="8">
        <v>1200.07</v>
      </c>
      <c r="Z157" s="7">
        <v>36.700000000000003</v>
      </c>
      <c r="AA157" s="5" t="s">
        <v>60</v>
      </c>
      <c r="AB157" s="5">
        <v>0</v>
      </c>
      <c r="AC157" s="5">
        <v>0</v>
      </c>
      <c r="AD157" s="7">
        <v>0</v>
      </c>
      <c r="AE157" s="5">
        <v>0</v>
      </c>
      <c r="AF157" s="7">
        <v>0</v>
      </c>
      <c r="AG157" s="5">
        <v>5</v>
      </c>
      <c r="AH157" s="5" t="s">
        <v>49</v>
      </c>
      <c r="AI157" s="5" t="s">
        <v>79</v>
      </c>
      <c r="AJ157" s="5">
        <v>4</v>
      </c>
      <c r="AK157" s="5">
        <v>36</v>
      </c>
      <c r="AL157" s="5" t="s">
        <v>51</v>
      </c>
    </row>
    <row r="158" spans="1:38" ht="16.05" customHeight="1">
      <c r="A158" s="1" t="s">
        <v>712</v>
      </c>
      <c r="B158" s="22">
        <v>45436</v>
      </c>
      <c r="C158" s="1" t="s">
        <v>713</v>
      </c>
      <c r="D158" s="1" t="s">
        <v>41</v>
      </c>
      <c r="E158" s="1" t="s">
        <v>323</v>
      </c>
      <c r="F158" s="1" t="s">
        <v>222</v>
      </c>
      <c r="G158" s="1" t="s">
        <v>714</v>
      </c>
      <c r="H158" s="1" t="s">
        <v>715</v>
      </c>
      <c r="I158" s="1" t="s">
        <v>59</v>
      </c>
      <c r="J158" s="1" t="s">
        <v>47</v>
      </c>
      <c r="K158" s="1">
        <v>5</v>
      </c>
      <c r="L158" s="2">
        <v>1907</v>
      </c>
      <c r="M158" s="2">
        <v>1339</v>
      </c>
      <c r="N158" s="3">
        <v>29.8</v>
      </c>
      <c r="O158" s="2">
        <v>6695</v>
      </c>
      <c r="P158" s="2">
        <v>957.16</v>
      </c>
      <c r="Q158" s="2">
        <v>334.75</v>
      </c>
      <c r="R158" s="2">
        <v>0</v>
      </c>
      <c r="S158" s="2">
        <v>3247.98</v>
      </c>
      <c r="T158" s="2">
        <v>60.34</v>
      </c>
      <c r="U158" s="1">
        <v>0</v>
      </c>
      <c r="V158" s="2">
        <v>0</v>
      </c>
      <c r="W158" s="1"/>
      <c r="X158" s="2">
        <v>6695</v>
      </c>
      <c r="Y158" s="4">
        <v>2094.77</v>
      </c>
      <c r="Z158" s="3">
        <v>31.3</v>
      </c>
      <c r="AA158" s="1" t="s">
        <v>94</v>
      </c>
      <c r="AB158" s="1">
        <v>7365</v>
      </c>
      <c r="AC158" s="1">
        <v>412</v>
      </c>
      <c r="AD158" s="3">
        <v>5.59</v>
      </c>
      <c r="AE158" s="1">
        <v>35</v>
      </c>
      <c r="AF158" s="3">
        <v>0.1</v>
      </c>
      <c r="AG158" s="1">
        <v>2</v>
      </c>
      <c r="AH158" s="1" t="s">
        <v>61</v>
      </c>
      <c r="AI158" s="1" t="s">
        <v>95</v>
      </c>
      <c r="AJ158" s="1">
        <v>1</v>
      </c>
      <c r="AK158" s="1">
        <v>91</v>
      </c>
      <c r="AL158" s="1" t="s">
        <v>51</v>
      </c>
    </row>
    <row r="159" spans="1:38" ht="16.05" customHeight="1">
      <c r="A159" s="5" t="s">
        <v>716</v>
      </c>
      <c r="B159" s="23">
        <v>45384</v>
      </c>
      <c r="C159" s="5"/>
      <c r="D159" s="5" t="s">
        <v>54</v>
      </c>
      <c r="E159" s="5" t="s">
        <v>670</v>
      </c>
      <c r="F159" s="5" t="s">
        <v>74</v>
      </c>
      <c r="G159" s="5" t="s">
        <v>717</v>
      </c>
      <c r="H159" s="5" t="s">
        <v>718</v>
      </c>
      <c r="I159" s="5" t="s">
        <v>46</v>
      </c>
      <c r="J159" s="5" t="s">
        <v>136</v>
      </c>
      <c r="K159" s="5">
        <v>3</v>
      </c>
      <c r="L159" s="6">
        <v>2094</v>
      </c>
      <c r="M159" s="6">
        <v>1685</v>
      </c>
      <c r="N159" s="7">
        <v>19.5</v>
      </c>
      <c r="O159" s="6">
        <v>5055</v>
      </c>
      <c r="P159" s="6">
        <v>504.84</v>
      </c>
      <c r="Q159" s="6">
        <v>0</v>
      </c>
      <c r="R159" s="6">
        <v>102.55</v>
      </c>
      <c r="S159" s="6">
        <v>2698.81</v>
      </c>
      <c r="T159" s="6">
        <v>198.46</v>
      </c>
      <c r="U159" s="5">
        <v>0</v>
      </c>
      <c r="V159" s="6">
        <v>0</v>
      </c>
      <c r="W159" s="5"/>
      <c r="X159" s="6">
        <v>5055</v>
      </c>
      <c r="Y159" s="8">
        <v>1550.34</v>
      </c>
      <c r="Z159" s="7">
        <v>30.7</v>
      </c>
      <c r="AA159" s="5" t="s">
        <v>94</v>
      </c>
      <c r="AB159" s="5">
        <v>540</v>
      </c>
      <c r="AC159" s="5">
        <v>35</v>
      </c>
      <c r="AD159" s="7">
        <v>6.48</v>
      </c>
      <c r="AE159" s="5">
        <v>7</v>
      </c>
      <c r="AF159" s="7">
        <v>1.7</v>
      </c>
      <c r="AG159" s="5"/>
      <c r="AH159" s="5" t="s">
        <v>49</v>
      </c>
      <c r="AI159" s="5" t="s">
        <v>86</v>
      </c>
      <c r="AJ159" s="5">
        <v>3</v>
      </c>
      <c r="AK159" s="5">
        <v>103</v>
      </c>
      <c r="AL159" s="5" t="s">
        <v>51</v>
      </c>
    </row>
    <row r="160" spans="1:38" ht="16.05" customHeight="1">
      <c r="A160" s="1" t="s">
        <v>719</v>
      </c>
      <c r="B160" s="22">
        <v>45426</v>
      </c>
      <c r="C160" s="1" t="s">
        <v>720</v>
      </c>
      <c r="D160" s="1" t="s">
        <v>98</v>
      </c>
      <c r="E160" s="1" t="s">
        <v>449</v>
      </c>
      <c r="F160" s="1" t="s">
        <v>197</v>
      </c>
      <c r="G160" s="1" t="s">
        <v>721</v>
      </c>
      <c r="H160" s="1" t="s">
        <v>722</v>
      </c>
      <c r="I160" s="1" t="s">
        <v>59</v>
      </c>
      <c r="J160" s="1" t="s">
        <v>47</v>
      </c>
      <c r="K160" s="1">
        <v>1</v>
      </c>
      <c r="L160" s="2">
        <v>3943</v>
      </c>
      <c r="M160" s="2">
        <v>3720</v>
      </c>
      <c r="N160" s="3">
        <v>5.7</v>
      </c>
      <c r="O160" s="2">
        <v>3720</v>
      </c>
      <c r="P160" s="2">
        <v>528.51</v>
      </c>
      <c r="Q160" s="2">
        <v>186</v>
      </c>
      <c r="R160" s="2">
        <v>0</v>
      </c>
      <c r="S160" s="2">
        <v>1134.99</v>
      </c>
      <c r="T160" s="2">
        <v>0</v>
      </c>
      <c r="U160" s="1">
        <v>0</v>
      </c>
      <c r="V160" s="2">
        <v>0</v>
      </c>
      <c r="W160" s="1"/>
      <c r="X160" s="2">
        <v>3720</v>
      </c>
      <c r="Y160" s="4">
        <v>1870.5</v>
      </c>
      <c r="Z160" s="3">
        <v>50.3</v>
      </c>
      <c r="AA160" s="1" t="s">
        <v>60</v>
      </c>
      <c r="AB160" s="1">
        <v>0</v>
      </c>
      <c r="AC160" s="1">
        <v>0</v>
      </c>
      <c r="AD160" s="3">
        <v>0</v>
      </c>
      <c r="AE160" s="1">
        <v>0</v>
      </c>
      <c r="AF160" s="3">
        <v>0</v>
      </c>
      <c r="AG160" s="1">
        <v>5</v>
      </c>
      <c r="AH160" s="1" t="s">
        <v>61</v>
      </c>
      <c r="AI160" s="1" t="s">
        <v>163</v>
      </c>
      <c r="AJ160" s="1">
        <v>1</v>
      </c>
      <c r="AK160" s="1">
        <v>9</v>
      </c>
      <c r="AL160" s="9" t="s">
        <v>71</v>
      </c>
    </row>
    <row r="161" spans="1:38" ht="16.05" customHeight="1">
      <c r="A161" s="5" t="s">
        <v>723</v>
      </c>
      <c r="B161" s="23">
        <v>44962</v>
      </c>
      <c r="C161" s="5"/>
      <c r="D161" s="5" t="s">
        <v>41</v>
      </c>
      <c r="E161" s="5" t="s">
        <v>323</v>
      </c>
      <c r="F161" s="5" t="s">
        <v>125</v>
      </c>
      <c r="G161" s="5" t="s">
        <v>724</v>
      </c>
      <c r="H161" s="5" t="s">
        <v>725</v>
      </c>
      <c r="I161" s="5" t="s">
        <v>46</v>
      </c>
      <c r="J161" s="5" t="s">
        <v>85</v>
      </c>
      <c r="K161" s="5">
        <v>4</v>
      </c>
      <c r="L161" s="6">
        <v>4998</v>
      </c>
      <c r="M161" s="6">
        <v>4178</v>
      </c>
      <c r="N161" s="7">
        <v>16.399999999999999</v>
      </c>
      <c r="O161" s="6">
        <v>16712</v>
      </c>
      <c r="P161" s="6">
        <v>1875.68</v>
      </c>
      <c r="Q161" s="6">
        <v>0</v>
      </c>
      <c r="R161" s="6">
        <v>48.3</v>
      </c>
      <c r="S161" s="6">
        <v>9050.2099999999991</v>
      </c>
      <c r="T161" s="6">
        <v>348.78</v>
      </c>
      <c r="U161" s="5">
        <v>0</v>
      </c>
      <c r="V161" s="6">
        <v>0</v>
      </c>
      <c r="W161" s="5"/>
      <c r="X161" s="6">
        <v>16712</v>
      </c>
      <c r="Y161" s="8">
        <v>5389.03</v>
      </c>
      <c r="Z161" s="7">
        <v>32.200000000000003</v>
      </c>
      <c r="AA161" s="5" t="s">
        <v>94</v>
      </c>
      <c r="AB161" s="5">
        <v>6886</v>
      </c>
      <c r="AC161" s="5">
        <v>408</v>
      </c>
      <c r="AD161" s="7">
        <v>5.93</v>
      </c>
      <c r="AE161" s="5">
        <v>50</v>
      </c>
      <c r="AF161" s="7">
        <v>0.2</v>
      </c>
      <c r="AG161" s="5"/>
      <c r="AH161" s="5" t="s">
        <v>49</v>
      </c>
      <c r="AI161" s="5" t="s">
        <v>153</v>
      </c>
      <c r="AJ161" s="5">
        <v>5</v>
      </c>
      <c r="AK161" s="5">
        <v>77</v>
      </c>
      <c r="AL161" s="5" t="s">
        <v>51</v>
      </c>
    </row>
    <row r="162" spans="1:38" ht="16.05" customHeight="1">
      <c r="A162" s="1" t="s">
        <v>726</v>
      </c>
      <c r="B162" s="22">
        <v>45351</v>
      </c>
      <c r="C162" s="1" t="s">
        <v>727</v>
      </c>
      <c r="D162" s="1" t="s">
        <v>144</v>
      </c>
      <c r="E162" s="1" t="s">
        <v>173</v>
      </c>
      <c r="F162" s="1" t="s">
        <v>197</v>
      </c>
      <c r="G162" s="1" t="s">
        <v>728</v>
      </c>
      <c r="H162" s="1" t="s">
        <v>729</v>
      </c>
      <c r="I162" s="1" t="s">
        <v>59</v>
      </c>
      <c r="J162" s="1" t="s">
        <v>47</v>
      </c>
      <c r="K162" s="1">
        <v>8</v>
      </c>
      <c r="L162" s="2">
        <v>1887</v>
      </c>
      <c r="M162" s="2">
        <v>1403</v>
      </c>
      <c r="N162" s="3">
        <v>25.6</v>
      </c>
      <c r="O162" s="2">
        <v>11224</v>
      </c>
      <c r="P162" s="2">
        <v>1815.03</v>
      </c>
      <c r="Q162" s="2">
        <v>561.20000000000005</v>
      </c>
      <c r="R162" s="2">
        <v>0</v>
      </c>
      <c r="S162" s="2">
        <v>5529.52</v>
      </c>
      <c r="T162" s="2">
        <v>394.28</v>
      </c>
      <c r="U162" s="1">
        <v>0</v>
      </c>
      <c r="V162" s="2">
        <v>0</v>
      </c>
      <c r="W162" s="1"/>
      <c r="X162" s="2">
        <v>11224</v>
      </c>
      <c r="Y162" s="4">
        <v>2923.97</v>
      </c>
      <c r="Z162" s="3">
        <v>26.1</v>
      </c>
      <c r="AA162" s="1" t="s">
        <v>48</v>
      </c>
      <c r="AB162" s="1">
        <v>3661</v>
      </c>
      <c r="AC162" s="1">
        <v>83</v>
      </c>
      <c r="AD162" s="3">
        <v>2.27</v>
      </c>
      <c r="AE162" s="1">
        <v>6</v>
      </c>
      <c r="AF162" s="3">
        <v>4.7</v>
      </c>
      <c r="AG162" s="1">
        <v>5</v>
      </c>
      <c r="AH162" s="1" t="s">
        <v>61</v>
      </c>
      <c r="AI162" s="1" t="s">
        <v>62</v>
      </c>
      <c r="AJ162" s="1">
        <v>3</v>
      </c>
      <c r="AK162" s="1">
        <v>131</v>
      </c>
      <c r="AL162" s="1" t="s">
        <v>51</v>
      </c>
    </row>
    <row r="163" spans="1:38" ht="16.05" customHeight="1">
      <c r="A163" s="5" t="s">
        <v>730</v>
      </c>
      <c r="B163" s="23">
        <v>45469</v>
      </c>
      <c r="C163" s="5" t="s">
        <v>731</v>
      </c>
      <c r="D163" s="5" t="s">
        <v>144</v>
      </c>
      <c r="E163" s="5" t="s">
        <v>406</v>
      </c>
      <c r="F163" s="5" t="s">
        <v>115</v>
      </c>
      <c r="G163" s="5" t="s">
        <v>732</v>
      </c>
      <c r="H163" s="5" t="s">
        <v>733</v>
      </c>
      <c r="I163" s="5" t="s">
        <v>46</v>
      </c>
      <c r="J163" s="5" t="s">
        <v>47</v>
      </c>
      <c r="K163" s="5">
        <v>3</v>
      </c>
      <c r="L163" s="6">
        <v>4444</v>
      </c>
      <c r="M163" s="6">
        <v>3316</v>
      </c>
      <c r="N163" s="7">
        <v>25.4</v>
      </c>
      <c r="O163" s="6">
        <v>9948</v>
      </c>
      <c r="P163" s="6">
        <v>888.5</v>
      </c>
      <c r="Q163" s="6">
        <v>0</v>
      </c>
      <c r="R163" s="6">
        <v>84.99</v>
      </c>
      <c r="S163" s="6">
        <v>4790.8599999999997</v>
      </c>
      <c r="T163" s="6">
        <v>475.81</v>
      </c>
      <c r="U163" s="5">
        <v>0</v>
      </c>
      <c r="V163" s="6">
        <v>0</v>
      </c>
      <c r="W163" s="5"/>
      <c r="X163" s="6">
        <v>9948</v>
      </c>
      <c r="Y163" s="8">
        <v>3707.84</v>
      </c>
      <c r="Z163" s="7">
        <v>37.299999999999997</v>
      </c>
      <c r="AA163" s="5" t="s">
        <v>60</v>
      </c>
      <c r="AB163" s="5">
        <v>2713</v>
      </c>
      <c r="AC163" s="5">
        <v>111</v>
      </c>
      <c r="AD163" s="7">
        <v>4.09</v>
      </c>
      <c r="AE163" s="5">
        <v>6</v>
      </c>
      <c r="AF163" s="7">
        <v>2.4</v>
      </c>
      <c r="AG163" s="5">
        <v>5</v>
      </c>
      <c r="AH163" s="5" t="s">
        <v>49</v>
      </c>
      <c r="AI163" s="5" t="s">
        <v>62</v>
      </c>
      <c r="AJ163" s="5">
        <v>7</v>
      </c>
      <c r="AK163" s="5">
        <v>59</v>
      </c>
      <c r="AL163" s="5" t="s">
        <v>51</v>
      </c>
    </row>
    <row r="164" spans="1:38" ht="16.05" customHeight="1">
      <c r="A164" s="1" t="s">
        <v>734</v>
      </c>
      <c r="B164" s="22">
        <v>45193</v>
      </c>
      <c r="C164" s="1"/>
      <c r="D164" s="1" t="s">
        <v>54</v>
      </c>
      <c r="E164" s="1" t="s">
        <v>150</v>
      </c>
      <c r="F164" s="1" t="s">
        <v>91</v>
      </c>
      <c r="G164" s="1" t="s">
        <v>735</v>
      </c>
      <c r="H164" s="1" t="s">
        <v>736</v>
      </c>
      <c r="I164" s="1" t="s">
        <v>59</v>
      </c>
      <c r="J164" s="1" t="s">
        <v>85</v>
      </c>
      <c r="K164" s="1">
        <v>6</v>
      </c>
      <c r="L164" s="2">
        <v>720</v>
      </c>
      <c r="M164" s="2">
        <v>627</v>
      </c>
      <c r="N164" s="3">
        <v>12.9</v>
      </c>
      <c r="O164" s="2">
        <v>3762</v>
      </c>
      <c r="P164" s="2">
        <v>324.2</v>
      </c>
      <c r="Q164" s="2">
        <v>188.1</v>
      </c>
      <c r="R164" s="2">
        <v>0</v>
      </c>
      <c r="S164" s="2">
        <v>1797.61</v>
      </c>
      <c r="T164" s="2">
        <v>0</v>
      </c>
      <c r="U164" s="1">
        <v>0</v>
      </c>
      <c r="V164" s="2">
        <v>0</v>
      </c>
      <c r="W164" s="1"/>
      <c r="X164" s="2">
        <v>3762</v>
      </c>
      <c r="Y164" s="4">
        <v>1452.09</v>
      </c>
      <c r="Z164" s="3">
        <v>38.6</v>
      </c>
      <c r="AA164" s="1" t="s">
        <v>60</v>
      </c>
      <c r="AB164" s="1">
        <v>0</v>
      </c>
      <c r="AC164" s="1">
        <v>0</v>
      </c>
      <c r="AD164" s="3">
        <v>0</v>
      </c>
      <c r="AE164" s="1">
        <v>0</v>
      </c>
      <c r="AF164" s="3">
        <v>0</v>
      </c>
      <c r="AG164" s="1"/>
      <c r="AH164" s="1" t="s">
        <v>49</v>
      </c>
      <c r="AI164" s="1" t="s">
        <v>79</v>
      </c>
      <c r="AJ164" s="1">
        <v>3</v>
      </c>
      <c r="AK164" s="1">
        <v>116</v>
      </c>
      <c r="AL164" s="1" t="s">
        <v>51</v>
      </c>
    </row>
    <row r="165" spans="1:38" ht="16.05" customHeight="1">
      <c r="A165" s="5" t="s">
        <v>737</v>
      </c>
      <c r="B165" s="23">
        <v>45218</v>
      </c>
      <c r="C165" s="5"/>
      <c r="D165" s="5" t="s">
        <v>144</v>
      </c>
      <c r="E165" s="5" t="s">
        <v>145</v>
      </c>
      <c r="F165" s="5" t="s">
        <v>125</v>
      </c>
      <c r="G165" s="5" t="s">
        <v>738</v>
      </c>
      <c r="H165" s="5" t="s">
        <v>739</v>
      </c>
      <c r="I165" s="5" t="s">
        <v>59</v>
      </c>
      <c r="J165" s="5" t="s">
        <v>85</v>
      </c>
      <c r="K165" s="5">
        <v>1</v>
      </c>
      <c r="L165" s="6">
        <v>1247</v>
      </c>
      <c r="M165" s="6">
        <v>1051</v>
      </c>
      <c r="N165" s="7">
        <v>15.7</v>
      </c>
      <c r="O165" s="6">
        <v>1051</v>
      </c>
      <c r="P165" s="6">
        <v>90</v>
      </c>
      <c r="Q165" s="6">
        <v>52.55</v>
      </c>
      <c r="R165" s="6">
        <v>0</v>
      </c>
      <c r="S165" s="6">
        <v>349.62</v>
      </c>
      <c r="T165" s="6">
        <v>0</v>
      </c>
      <c r="U165" s="5">
        <v>0</v>
      </c>
      <c r="V165" s="6">
        <v>0</v>
      </c>
      <c r="W165" s="5"/>
      <c r="X165" s="6">
        <v>1051</v>
      </c>
      <c r="Y165" s="8">
        <v>558.83000000000004</v>
      </c>
      <c r="Z165" s="7">
        <v>53.2</v>
      </c>
      <c r="AA165" s="5" t="s">
        <v>60</v>
      </c>
      <c r="AB165" s="5">
        <v>0</v>
      </c>
      <c r="AC165" s="5">
        <v>0</v>
      </c>
      <c r="AD165" s="7">
        <v>0</v>
      </c>
      <c r="AE165" s="5">
        <v>0</v>
      </c>
      <c r="AF165" s="7">
        <v>0</v>
      </c>
      <c r="AG165" s="5"/>
      <c r="AH165" s="5" t="s">
        <v>49</v>
      </c>
      <c r="AI165" s="5" t="s">
        <v>105</v>
      </c>
      <c r="AJ165" s="5">
        <v>2</v>
      </c>
      <c r="AK165" s="5">
        <v>200</v>
      </c>
      <c r="AL165" s="5" t="s">
        <v>51</v>
      </c>
    </row>
    <row r="166" spans="1:38" ht="16.05" customHeight="1">
      <c r="A166" s="1" t="s">
        <v>740</v>
      </c>
      <c r="B166" s="22">
        <v>45544</v>
      </c>
      <c r="C166" s="1" t="s">
        <v>741</v>
      </c>
      <c r="D166" s="1" t="s">
        <v>144</v>
      </c>
      <c r="E166" s="1" t="s">
        <v>173</v>
      </c>
      <c r="F166" s="1" t="s">
        <v>91</v>
      </c>
      <c r="G166" s="1" t="s">
        <v>742</v>
      </c>
      <c r="H166" s="1" t="s">
        <v>743</v>
      </c>
      <c r="I166" s="1" t="s">
        <v>46</v>
      </c>
      <c r="J166" s="1" t="s">
        <v>47</v>
      </c>
      <c r="K166" s="1">
        <v>6</v>
      </c>
      <c r="L166" s="2">
        <v>2920</v>
      </c>
      <c r="M166" s="2">
        <v>2593</v>
      </c>
      <c r="N166" s="3">
        <v>11.2</v>
      </c>
      <c r="O166" s="2">
        <v>15558</v>
      </c>
      <c r="P166" s="2">
        <v>2023.1</v>
      </c>
      <c r="Q166" s="2">
        <v>0</v>
      </c>
      <c r="R166" s="2">
        <v>116.32</v>
      </c>
      <c r="S166" s="2">
        <v>5869.22</v>
      </c>
      <c r="T166" s="2">
        <v>0</v>
      </c>
      <c r="U166" s="1">
        <v>0</v>
      </c>
      <c r="V166" s="2">
        <v>0</v>
      </c>
      <c r="W166" s="1"/>
      <c r="X166" s="2">
        <v>15558</v>
      </c>
      <c r="Y166" s="4">
        <v>7549.36</v>
      </c>
      <c r="Z166" s="3">
        <v>48.5</v>
      </c>
      <c r="AA166" s="1" t="s">
        <v>60</v>
      </c>
      <c r="AB166" s="1">
        <v>0</v>
      </c>
      <c r="AC166" s="1">
        <v>0</v>
      </c>
      <c r="AD166" s="3">
        <v>0</v>
      </c>
      <c r="AE166" s="1">
        <v>0</v>
      </c>
      <c r="AF166" s="3">
        <v>0</v>
      </c>
      <c r="AG166" s="1">
        <v>2</v>
      </c>
      <c r="AH166" s="1" t="s">
        <v>61</v>
      </c>
      <c r="AI166" s="1" t="s">
        <v>308</v>
      </c>
      <c r="AJ166" s="1">
        <v>7</v>
      </c>
      <c r="AK166" s="1">
        <v>140</v>
      </c>
      <c r="AL166" s="1" t="s">
        <v>51</v>
      </c>
    </row>
    <row r="167" spans="1:38" ht="16.05" customHeight="1">
      <c r="A167" s="5" t="s">
        <v>744</v>
      </c>
      <c r="B167" s="23">
        <v>45520</v>
      </c>
      <c r="C167" s="5" t="s">
        <v>133</v>
      </c>
      <c r="D167" s="5" t="s">
        <v>41</v>
      </c>
      <c r="E167" s="5" t="s">
        <v>335</v>
      </c>
      <c r="F167" s="5" t="s">
        <v>209</v>
      </c>
      <c r="G167" s="5" t="s">
        <v>745</v>
      </c>
      <c r="H167" s="5" t="s">
        <v>746</v>
      </c>
      <c r="I167" s="5" t="s">
        <v>59</v>
      </c>
      <c r="J167" s="5" t="s">
        <v>103</v>
      </c>
      <c r="K167" s="5">
        <v>5</v>
      </c>
      <c r="L167" s="6">
        <v>1033</v>
      </c>
      <c r="M167" s="6">
        <v>962</v>
      </c>
      <c r="N167" s="7">
        <v>6.9</v>
      </c>
      <c r="O167" s="6">
        <v>4810</v>
      </c>
      <c r="P167" s="6">
        <v>536.38</v>
      </c>
      <c r="Q167" s="6">
        <v>240.5</v>
      </c>
      <c r="R167" s="6">
        <v>0</v>
      </c>
      <c r="S167" s="6">
        <v>2442.9499999999998</v>
      </c>
      <c r="T167" s="6">
        <v>35.01</v>
      </c>
      <c r="U167" s="5">
        <v>5</v>
      </c>
      <c r="V167" s="6">
        <v>4810</v>
      </c>
      <c r="W167" s="5" t="s">
        <v>332</v>
      </c>
      <c r="X167" s="6">
        <v>0</v>
      </c>
      <c r="Y167" s="11">
        <v>-3254.84</v>
      </c>
      <c r="Z167" s="7">
        <v>0</v>
      </c>
      <c r="AA167" s="5" t="s">
        <v>94</v>
      </c>
      <c r="AB167" s="5">
        <v>2235</v>
      </c>
      <c r="AC167" s="5">
        <v>176</v>
      </c>
      <c r="AD167" s="7">
        <v>7.87</v>
      </c>
      <c r="AE167" s="5">
        <v>17</v>
      </c>
      <c r="AF167" s="7">
        <v>0.2</v>
      </c>
      <c r="AG167" s="5"/>
      <c r="AH167" s="5" t="s">
        <v>49</v>
      </c>
      <c r="AI167" s="5" t="s">
        <v>62</v>
      </c>
      <c r="AJ167" s="5">
        <v>3</v>
      </c>
      <c r="AK167" s="5">
        <v>21</v>
      </c>
      <c r="AL167" s="5" t="s">
        <v>51</v>
      </c>
    </row>
    <row r="168" spans="1:38" ht="16.05" customHeight="1">
      <c r="A168" s="1" t="s">
        <v>747</v>
      </c>
      <c r="B168" s="22">
        <v>45341</v>
      </c>
      <c r="C168" s="1" t="s">
        <v>748</v>
      </c>
      <c r="D168" s="1" t="s">
        <v>144</v>
      </c>
      <c r="E168" s="1" t="s">
        <v>429</v>
      </c>
      <c r="F168" s="1" t="s">
        <v>203</v>
      </c>
      <c r="G168" s="1" t="s">
        <v>749</v>
      </c>
      <c r="H168" s="1" t="s">
        <v>750</v>
      </c>
      <c r="I168" s="1" t="s">
        <v>59</v>
      </c>
      <c r="J168" s="1" t="s">
        <v>47</v>
      </c>
      <c r="K168" s="1">
        <v>6</v>
      </c>
      <c r="L168" s="2">
        <v>237</v>
      </c>
      <c r="M168" s="2">
        <v>210</v>
      </c>
      <c r="N168" s="3">
        <v>11.4</v>
      </c>
      <c r="O168" s="2">
        <v>1260</v>
      </c>
      <c r="P168" s="2">
        <v>208.89</v>
      </c>
      <c r="Q168" s="2">
        <v>63</v>
      </c>
      <c r="R168" s="2">
        <v>0</v>
      </c>
      <c r="S168" s="2">
        <v>448.82</v>
      </c>
      <c r="T168" s="2">
        <v>442.48</v>
      </c>
      <c r="U168" s="1">
        <v>0</v>
      </c>
      <c r="V168" s="2">
        <v>0</v>
      </c>
      <c r="W168" s="1"/>
      <c r="X168" s="2">
        <v>1260</v>
      </c>
      <c r="Y168" s="4">
        <v>96.81</v>
      </c>
      <c r="Z168" s="3">
        <v>7.7</v>
      </c>
      <c r="AA168" s="1" t="s">
        <v>48</v>
      </c>
      <c r="AB168" s="1">
        <v>4899</v>
      </c>
      <c r="AC168" s="1">
        <v>321</v>
      </c>
      <c r="AD168" s="3">
        <v>6.55</v>
      </c>
      <c r="AE168" s="1">
        <v>23</v>
      </c>
      <c r="AF168" s="3">
        <v>9.1999999999999993</v>
      </c>
      <c r="AG168" s="1">
        <v>1</v>
      </c>
      <c r="AH168" s="1" t="s">
        <v>61</v>
      </c>
      <c r="AI168" s="1" t="s">
        <v>297</v>
      </c>
      <c r="AJ168" s="1">
        <v>2</v>
      </c>
      <c r="AK168" s="1">
        <v>170</v>
      </c>
      <c r="AL168" s="1" t="s">
        <v>51</v>
      </c>
    </row>
    <row r="169" spans="1:38" ht="16.05" customHeight="1">
      <c r="A169" s="5" t="s">
        <v>751</v>
      </c>
      <c r="B169" s="23">
        <v>45620</v>
      </c>
      <c r="C169" s="5" t="s">
        <v>752</v>
      </c>
      <c r="D169" s="5" t="s">
        <v>65</v>
      </c>
      <c r="E169" s="5" t="s">
        <v>179</v>
      </c>
      <c r="F169" s="5" t="s">
        <v>203</v>
      </c>
      <c r="G169" s="5" t="s">
        <v>753</v>
      </c>
      <c r="H169" s="5" t="s">
        <v>754</v>
      </c>
      <c r="I169" s="5" t="s">
        <v>59</v>
      </c>
      <c r="J169" s="5" t="s">
        <v>47</v>
      </c>
      <c r="K169" s="5">
        <v>9</v>
      </c>
      <c r="L169" s="6">
        <v>2187</v>
      </c>
      <c r="M169" s="6">
        <v>1967</v>
      </c>
      <c r="N169" s="7">
        <v>10.1</v>
      </c>
      <c r="O169" s="6">
        <v>17703</v>
      </c>
      <c r="P169" s="6">
        <v>1689.89</v>
      </c>
      <c r="Q169" s="6">
        <v>885.15</v>
      </c>
      <c r="R169" s="6">
        <v>0</v>
      </c>
      <c r="S169" s="6">
        <v>6689.21</v>
      </c>
      <c r="T169" s="6">
        <v>427.34</v>
      </c>
      <c r="U169" s="5">
        <v>0</v>
      </c>
      <c r="V169" s="6">
        <v>0</v>
      </c>
      <c r="W169" s="5"/>
      <c r="X169" s="6">
        <v>17703</v>
      </c>
      <c r="Y169" s="8">
        <v>8011.41</v>
      </c>
      <c r="Z169" s="7">
        <v>45.3</v>
      </c>
      <c r="AA169" s="5" t="s">
        <v>48</v>
      </c>
      <c r="AB169" s="5">
        <v>3621</v>
      </c>
      <c r="AC169" s="5">
        <v>236</v>
      </c>
      <c r="AD169" s="7">
        <v>6.52</v>
      </c>
      <c r="AE169" s="5">
        <v>41</v>
      </c>
      <c r="AF169" s="7">
        <v>0.5</v>
      </c>
      <c r="AG169" s="5">
        <v>3</v>
      </c>
      <c r="AH169" s="5" t="s">
        <v>61</v>
      </c>
      <c r="AI169" s="5" t="s">
        <v>297</v>
      </c>
      <c r="AJ169" s="5">
        <v>3</v>
      </c>
      <c r="AK169" s="5">
        <v>132</v>
      </c>
      <c r="AL169" s="5" t="s">
        <v>51</v>
      </c>
    </row>
    <row r="170" spans="1:38" ht="16.05" customHeight="1">
      <c r="A170" s="1" t="s">
        <v>755</v>
      </c>
      <c r="B170" s="22">
        <v>44995</v>
      </c>
      <c r="C170" s="1"/>
      <c r="D170" s="1" t="s">
        <v>81</v>
      </c>
      <c r="E170" s="1" t="s">
        <v>270</v>
      </c>
      <c r="F170" s="1" t="s">
        <v>239</v>
      </c>
      <c r="G170" s="1" t="s">
        <v>756</v>
      </c>
      <c r="H170" s="1" t="s">
        <v>757</v>
      </c>
      <c r="I170" s="1" t="s">
        <v>59</v>
      </c>
      <c r="J170" s="1" t="s">
        <v>77</v>
      </c>
      <c r="K170" s="1">
        <v>5</v>
      </c>
      <c r="L170" s="2">
        <v>4401</v>
      </c>
      <c r="M170" s="2">
        <v>3509</v>
      </c>
      <c r="N170" s="3">
        <v>20.3</v>
      </c>
      <c r="O170" s="2">
        <v>17545</v>
      </c>
      <c r="P170" s="2">
        <v>2337.31</v>
      </c>
      <c r="Q170" s="2">
        <v>877.25</v>
      </c>
      <c r="R170" s="2">
        <v>0</v>
      </c>
      <c r="S170" s="2">
        <v>9432</v>
      </c>
      <c r="T170" s="2">
        <v>227.66</v>
      </c>
      <c r="U170" s="1">
        <v>0</v>
      </c>
      <c r="V170" s="2">
        <v>0</v>
      </c>
      <c r="W170" s="1"/>
      <c r="X170" s="2">
        <v>17545</v>
      </c>
      <c r="Y170" s="4">
        <v>4670.78</v>
      </c>
      <c r="Z170" s="3">
        <v>26.6</v>
      </c>
      <c r="AA170" s="1" t="s">
        <v>60</v>
      </c>
      <c r="AB170" s="1">
        <v>2946</v>
      </c>
      <c r="AC170" s="1">
        <v>39</v>
      </c>
      <c r="AD170" s="3">
        <v>1.32</v>
      </c>
      <c r="AE170" s="1">
        <v>7</v>
      </c>
      <c r="AF170" s="3">
        <v>0.9</v>
      </c>
      <c r="AG170" s="1"/>
      <c r="AH170" s="1" t="s">
        <v>49</v>
      </c>
      <c r="AI170" s="1" t="s">
        <v>105</v>
      </c>
      <c r="AJ170" s="1">
        <v>1</v>
      </c>
      <c r="AK170" s="1">
        <v>115</v>
      </c>
      <c r="AL170" s="1" t="s">
        <v>51</v>
      </c>
    </row>
    <row r="171" spans="1:38" ht="16.05" customHeight="1">
      <c r="A171" s="5" t="s">
        <v>758</v>
      </c>
      <c r="B171" s="23">
        <v>45604</v>
      </c>
      <c r="C171" s="5" t="s">
        <v>759</v>
      </c>
      <c r="D171" s="5" t="s">
        <v>98</v>
      </c>
      <c r="E171" s="5" t="s">
        <v>114</v>
      </c>
      <c r="F171" s="5" t="s">
        <v>197</v>
      </c>
      <c r="G171" s="5" t="s">
        <v>760</v>
      </c>
      <c r="H171" s="5" t="s">
        <v>761</v>
      </c>
      <c r="I171" s="5" t="s">
        <v>46</v>
      </c>
      <c r="J171" s="5" t="s">
        <v>47</v>
      </c>
      <c r="K171" s="5">
        <v>6</v>
      </c>
      <c r="L171" s="6">
        <v>1894</v>
      </c>
      <c r="M171" s="6">
        <v>1399</v>
      </c>
      <c r="N171" s="7">
        <v>26.1</v>
      </c>
      <c r="O171" s="6">
        <v>8394</v>
      </c>
      <c r="P171" s="6">
        <v>795.48</v>
      </c>
      <c r="Q171" s="6">
        <v>0</v>
      </c>
      <c r="R171" s="6">
        <v>109.99</v>
      </c>
      <c r="S171" s="6">
        <v>3527.73</v>
      </c>
      <c r="T171" s="6">
        <v>227.52</v>
      </c>
      <c r="U171" s="5">
        <v>0</v>
      </c>
      <c r="V171" s="6">
        <v>0</v>
      </c>
      <c r="W171" s="5"/>
      <c r="X171" s="6">
        <v>8394</v>
      </c>
      <c r="Y171" s="8">
        <v>3733.28</v>
      </c>
      <c r="Z171" s="7">
        <v>44.5</v>
      </c>
      <c r="AA171" s="5" t="s">
        <v>60</v>
      </c>
      <c r="AB171" s="5">
        <v>6442</v>
      </c>
      <c r="AC171" s="5">
        <v>47</v>
      </c>
      <c r="AD171" s="7">
        <v>0.73</v>
      </c>
      <c r="AE171" s="5">
        <v>3</v>
      </c>
      <c r="AF171" s="7">
        <v>5.4</v>
      </c>
      <c r="AG171" s="5">
        <v>2</v>
      </c>
      <c r="AH171" s="5" t="s">
        <v>49</v>
      </c>
      <c r="AI171" s="5" t="s">
        <v>50</v>
      </c>
      <c r="AJ171" s="5">
        <v>7</v>
      </c>
      <c r="AK171" s="5">
        <v>147</v>
      </c>
      <c r="AL171" s="5" t="s">
        <v>51</v>
      </c>
    </row>
    <row r="172" spans="1:38" ht="16.05" customHeight="1">
      <c r="A172" s="1" t="s">
        <v>762</v>
      </c>
      <c r="B172" s="22">
        <v>45236</v>
      </c>
      <c r="C172" s="1" t="s">
        <v>321</v>
      </c>
      <c r="D172" s="1" t="s">
        <v>54</v>
      </c>
      <c r="E172" s="1" t="s">
        <v>55</v>
      </c>
      <c r="F172" s="1" t="s">
        <v>222</v>
      </c>
      <c r="G172" s="1" t="s">
        <v>763</v>
      </c>
      <c r="H172" s="1" t="s">
        <v>764</v>
      </c>
      <c r="I172" s="1" t="s">
        <v>59</v>
      </c>
      <c r="J172" s="1" t="s">
        <v>47</v>
      </c>
      <c r="K172" s="1">
        <v>9</v>
      </c>
      <c r="L172" s="2">
        <v>907</v>
      </c>
      <c r="M172" s="2">
        <v>665</v>
      </c>
      <c r="N172" s="3">
        <v>26.7</v>
      </c>
      <c r="O172" s="2">
        <v>5985</v>
      </c>
      <c r="P172" s="2">
        <v>855.73</v>
      </c>
      <c r="Q172" s="2">
        <v>299.25</v>
      </c>
      <c r="R172" s="2">
        <v>0</v>
      </c>
      <c r="S172" s="2">
        <v>2256.91</v>
      </c>
      <c r="T172" s="2">
        <v>496.66</v>
      </c>
      <c r="U172" s="1">
        <v>0</v>
      </c>
      <c r="V172" s="2">
        <v>0</v>
      </c>
      <c r="W172" s="1"/>
      <c r="X172" s="2">
        <v>5985</v>
      </c>
      <c r="Y172" s="4">
        <v>2076.4499999999998</v>
      </c>
      <c r="Z172" s="3">
        <v>34.700000000000003</v>
      </c>
      <c r="AA172" s="1" t="s">
        <v>60</v>
      </c>
      <c r="AB172" s="1">
        <v>6550</v>
      </c>
      <c r="AC172" s="1">
        <v>114</v>
      </c>
      <c r="AD172" s="3">
        <v>1.74</v>
      </c>
      <c r="AE172" s="1">
        <v>13</v>
      </c>
      <c r="AF172" s="3">
        <v>5.7</v>
      </c>
      <c r="AG172" s="1">
        <v>1</v>
      </c>
      <c r="AH172" s="1" t="s">
        <v>49</v>
      </c>
      <c r="AI172" s="1" t="s">
        <v>105</v>
      </c>
      <c r="AJ172" s="1">
        <v>3</v>
      </c>
      <c r="AK172" s="1">
        <v>155</v>
      </c>
      <c r="AL172" s="1" t="s">
        <v>51</v>
      </c>
    </row>
    <row r="173" spans="1:38" ht="16.05" customHeight="1">
      <c r="A173" s="5" t="s">
        <v>765</v>
      </c>
      <c r="B173" s="23">
        <v>45284</v>
      </c>
      <c r="C173" s="5" t="s">
        <v>766</v>
      </c>
      <c r="D173" s="5" t="s">
        <v>81</v>
      </c>
      <c r="E173" s="5" t="s">
        <v>279</v>
      </c>
      <c r="F173" s="5" t="s">
        <v>256</v>
      </c>
      <c r="G173" s="5" t="s">
        <v>767</v>
      </c>
      <c r="H173" s="5" t="s">
        <v>768</v>
      </c>
      <c r="I173" s="5" t="s">
        <v>59</v>
      </c>
      <c r="J173" s="5" t="s">
        <v>47</v>
      </c>
      <c r="K173" s="5">
        <v>6</v>
      </c>
      <c r="L173" s="6">
        <v>2227</v>
      </c>
      <c r="M173" s="6">
        <v>1856</v>
      </c>
      <c r="N173" s="7">
        <v>16.7</v>
      </c>
      <c r="O173" s="6">
        <v>11136</v>
      </c>
      <c r="P173" s="6">
        <v>1343.42</v>
      </c>
      <c r="Q173" s="6">
        <v>556.79999999999995</v>
      </c>
      <c r="R173" s="6">
        <v>0</v>
      </c>
      <c r="S173" s="6">
        <v>4251.2700000000004</v>
      </c>
      <c r="T173" s="6">
        <v>226.04</v>
      </c>
      <c r="U173" s="5">
        <v>0</v>
      </c>
      <c r="V173" s="6">
        <v>0</v>
      </c>
      <c r="W173" s="5"/>
      <c r="X173" s="6">
        <v>11136</v>
      </c>
      <c r="Y173" s="8">
        <v>4758.47</v>
      </c>
      <c r="Z173" s="7">
        <v>42.7</v>
      </c>
      <c r="AA173" s="5" t="s">
        <v>60</v>
      </c>
      <c r="AB173" s="5">
        <v>2883</v>
      </c>
      <c r="AC173" s="5">
        <v>144</v>
      </c>
      <c r="AD173" s="7">
        <v>4.99</v>
      </c>
      <c r="AE173" s="5">
        <v>25</v>
      </c>
      <c r="AF173" s="7">
        <v>0.5</v>
      </c>
      <c r="AG173" s="5">
        <v>1</v>
      </c>
      <c r="AH173" s="5" t="s">
        <v>49</v>
      </c>
      <c r="AI173" s="5" t="s">
        <v>297</v>
      </c>
      <c r="AJ173" s="5">
        <v>1</v>
      </c>
      <c r="AK173" s="5">
        <v>38</v>
      </c>
      <c r="AL173" s="5" t="s">
        <v>51</v>
      </c>
    </row>
    <row r="174" spans="1:38" ht="16.05" customHeight="1">
      <c r="A174" s="1" t="s">
        <v>769</v>
      </c>
      <c r="B174" s="22">
        <v>45044</v>
      </c>
      <c r="C174" s="1"/>
      <c r="D174" s="1" t="s">
        <v>54</v>
      </c>
      <c r="E174" s="1" t="s">
        <v>670</v>
      </c>
      <c r="F174" s="1" t="s">
        <v>115</v>
      </c>
      <c r="G174" s="1" t="s">
        <v>770</v>
      </c>
      <c r="H174" s="1" t="s">
        <v>771</v>
      </c>
      <c r="I174" s="1" t="s">
        <v>46</v>
      </c>
      <c r="J174" s="1" t="s">
        <v>136</v>
      </c>
      <c r="K174" s="1">
        <v>2</v>
      </c>
      <c r="L174" s="2">
        <v>4207</v>
      </c>
      <c r="M174" s="2">
        <v>3659</v>
      </c>
      <c r="N174" s="3">
        <v>13</v>
      </c>
      <c r="O174" s="2">
        <v>7318</v>
      </c>
      <c r="P174" s="2">
        <v>1298.9000000000001</v>
      </c>
      <c r="Q174" s="2">
        <v>0</v>
      </c>
      <c r="R174" s="2">
        <v>37.36</v>
      </c>
      <c r="S174" s="2">
        <v>3824.8</v>
      </c>
      <c r="T174" s="2">
        <v>0</v>
      </c>
      <c r="U174" s="1">
        <v>0</v>
      </c>
      <c r="V174" s="2">
        <v>0</v>
      </c>
      <c r="W174" s="1"/>
      <c r="X174" s="2">
        <v>7318</v>
      </c>
      <c r="Y174" s="4">
        <v>2156.94</v>
      </c>
      <c r="Z174" s="3">
        <v>29.5</v>
      </c>
      <c r="AA174" s="1" t="s">
        <v>60</v>
      </c>
      <c r="AB174" s="1">
        <v>0</v>
      </c>
      <c r="AC174" s="1">
        <v>0</v>
      </c>
      <c r="AD174" s="3">
        <v>0</v>
      </c>
      <c r="AE174" s="1">
        <v>0</v>
      </c>
      <c r="AF174" s="3">
        <v>0</v>
      </c>
      <c r="AG174" s="1"/>
      <c r="AH174" s="1" t="s">
        <v>49</v>
      </c>
      <c r="AI174" s="1" t="s">
        <v>176</v>
      </c>
      <c r="AJ174" s="1">
        <v>4</v>
      </c>
      <c r="AK174" s="1">
        <v>44</v>
      </c>
      <c r="AL174" s="1" t="s">
        <v>51</v>
      </c>
    </row>
    <row r="175" spans="1:38" ht="16.05" customHeight="1">
      <c r="A175" s="5" t="s">
        <v>772</v>
      </c>
      <c r="B175" s="23">
        <v>45047</v>
      </c>
      <c r="C175" s="5" t="s">
        <v>773</v>
      </c>
      <c r="D175" s="5" t="s">
        <v>65</v>
      </c>
      <c r="E175" s="5" t="s">
        <v>73</v>
      </c>
      <c r="F175" s="5" t="s">
        <v>74</v>
      </c>
      <c r="G175" s="5" t="s">
        <v>774</v>
      </c>
      <c r="H175" s="5" t="s">
        <v>775</v>
      </c>
      <c r="I175" s="5" t="s">
        <v>46</v>
      </c>
      <c r="J175" s="5" t="s">
        <v>47</v>
      </c>
      <c r="K175" s="5">
        <v>10</v>
      </c>
      <c r="L175" s="6">
        <v>1243</v>
      </c>
      <c r="M175" s="6">
        <v>1026</v>
      </c>
      <c r="N175" s="7">
        <v>17.5</v>
      </c>
      <c r="O175" s="6">
        <v>10260</v>
      </c>
      <c r="P175" s="6">
        <v>1035.98</v>
      </c>
      <c r="Q175" s="6">
        <v>0</v>
      </c>
      <c r="R175" s="6">
        <v>64.86</v>
      </c>
      <c r="S175" s="6">
        <v>5251.85</v>
      </c>
      <c r="T175" s="6">
        <v>141.22999999999999</v>
      </c>
      <c r="U175" s="5">
        <v>0</v>
      </c>
      <c r="V175" s="6">
        <v>0</v>
      </c>
      <c r="W175" s="5"/>
      <c r="X175" s="6">
        <v>10260</v>
      </c>
      <c r="Y175" s="8">
        <v>3766.08</v>
      </c>
      <c r="Z175" s="7">
        <v>36.700000000000003</v>
      </c>
      <c r="AA175" s="5" t="s">
        <v>78</v>
      </c>
      <c r="AB175" s="5">
        <v>14070</v>
      </c>
      <c r="AC175" s="5">
        <v>608</v>
      </c>
      <c r="AD175" s="7">
        <v>4.32</v>
      </c>
      <c r="AE175" s="5">
        <v>69</v>
      </c>
      <c r="AF175" s="7">
        <v>0.2</v>
      </c>
      <c r="AG175" s="5">
        <v>4</v>
      </c>
      <c r="AH175" s="5" t="s">
        <v>61</v>
      </c>
      <c r="AI175" s="5" t="s">
        <v>308</v>
      </c>
      <c r="AJ175" s="5">
        <v>4</v>
      </c>
      <c r="AK175" s="5">
        <v>183</v>
      </c>
      <c r="AL175" s="5" t="s">
        <v>51</v>
      </c>
    </row>
    <row r="176" spans="1:38" ht="16.05" customHeight="1">
      <c r="A176" s="1" t="s">
        <v>776</v>
      </c>
      <c r="B176" s="22">
        <v>45473</v>
      </c>
      <c r="C176" s="1" t="s">
        <v>777</v>
      </c>
      <c r="D176" s="1" t="s">
        <v>41</v>
      </c>
      <c r="E176" s="1" t="s">
        <v>42</v>
      </c>
      <c r="F176" s="1" t="s">
        <v>56</v>
      </c>
      <c r="G176" s="1" t="s">
        <v>778</v>
      </c>
      <c r="H176" s="1" t="s">
        <v>779</v>
      </c>
      <c r="I176" s="1" t="s">
        <v>59</v>
      </c>
      <c r="J176" s="1" t="s">
        <v>47</v>
      </c>
      <c r="K176" s="1">
        <v>10</v>
      </c>
      <c r="L176" s="2">
        <v>3116</v>
      </c>
      <c r="M176" s="2">
        <v>2241</v>
      </c>
      <c r="N176" s="3">
        <v>28.1</v>
      </c>
      <c r="O176" s="2">
        <v>22410</v>
      </c>
      <c r="P176" s="2">
        <v>3778.96</v>
      </c>
      <c r="Q176" s="2">
        <v>1120.5</v>
      </c>
      <c r="R176" s="2">
        <v>0</v>
      </c>
      <c r="S176" s="2">
        <v>7443.8</v>
      </c>
      <c r="T176" s="2">
        <v>104.96</v>
      </c>
      <c r="U176" s="1">
        <v>0</v>
      </c>
      <c r="V176" s="2">
        <v>0</v>
      </c>
      <c r="W176" s="1"/>
      <c r="X176" s="2">
        <v>22410</v>
      </c>
      <c r="Y176" s="4">
        <v>9961.7800000000007</v>
      </c>
      <c r="Z176" s="3">
        <v>44.5</v>
      </c>
      <c r="AA176" s="1" t="s">
        <v>94</v>
      </c>
      <c r="AB176" s="1">
        <v>3766</v>
      </c>
      <c r="AC176" s="1">
        <v>293</v>
      </c>
      <c r="AD176" s="3">
        <v>7.78</v>
      </c>
      <c r="AE176" s="1">
        <v>25</v>
      </c>
      <c r="AF176" s="3">
        <v>0.2</v>
      </c>
      <c r="AG176" s="1">
        <v>4</v>
      </c>
      <c r="AH176" s="1" t="s">
        <v>61</v>
      </c>
      <c r="AI176" s="1" t="s">
        <v>70</v>
      </c>
      <c r="AJ176" s="1">
        <v>1</v>
      </c>
      <c r="AK176" s="1">
        <v>7</v>
      </c>
      <c r="AL176" s="9" t="s">
        <v>71</v>
      </c>
    </row>
    <row r="177" spans="1:38" ht="16.05" customHeight="1">
      <c r="A177" s="5" t="s">
        <v>780</v>
      </c>
      <c r="B177" s="23">
        <v>45154</v>
      </c>
      <c r="C177" s="5"/>
      <c r="D177" s="5" t="s">
        <v>41</v>
      </c>
      <c r="E177" s="5" t="s">
        <v>160</v>
      </c>
      <c r="F177" s="5" t="s">
        <v>329</v>
      </c>
      <c r="G177" s="5" t="s">
        <v>781</v>
      </c>
      <c r="H177" s="5" t="s">
        <v>782</v>
      </c>
      <c r="I177" s="5" t="s">
        <v>59</v>
      </c>
      <c r="J177" s="5" t="s">
        <v>85</v>
      </c>
      <c r="K177" s="5">
        <v>7</v>
      </c>
      <c r="L177" s="6">
        <v>1631</v>
      </c>
      <c r="M177" s="6">
        <v>1476</v>
      </c>
      <c r="N177" s="7">
        <v>9.5</v>
      </c>
      <c r="O177" s="6">
        <v>10332</v>
      </c>
      <c r="P177" s="6">
        <v>1240.01</v>
      </c>
      <c r="Q177" s="6">
        <v>516.6</v>
      </c>
      <c r="R177" s="6">
        <v>0</v>
      </c>
      <c r="S177" s="6">
        <v>3959.48</v>
      </c>
      <c r="T177" s="6">
        <v>438.34</v>
      </c>
      <c r="U177" s="5">
        <v>0</v>
      </c>
      <c r="V177" s="6">
        <v>0</v>
      </c>
      <c r="W177" s="5"/>
      <c r="X177" s="6">
        <v>10332</v>
      </c>
      <c r="Y177" s="8">
        <v>4177.57</v>
      </c>
      <c r="Z177" s="7">
        <v>40.4</v>
      </c>
      <c r="AA177" s="5" t="s">
        <v>60</v>
      </c>
      <c r="AB177" s="5">
        <v>11146</v>
      </c>
      <c r="AC177" s="5">
        <v>195</v>
      </c>
      <c r="AD177" s="7">
        <v>1.75</v>
      </c>
      <c r="AE177" s="5">
        <v>22</v>
      </c>
      <c r="AF177" s="7">
        <v>1.3</v>
      </c>
      <c r="AG177" s="5"/>
      <c r="AH177" s="5" t="s">
        <v>49</v>
      </c>
      <c r="AI177" s="5" t="s">
        <v>86</v>
      </c>
      <c r="AJ177" s="5">
        <v>1</v>
      </c>
      <c r="AK177" s="5">
        <v>93</v>
      </c>
      <c r="AL177" s="5" t="s">
        <v>51</v>
      </c>
    </row>
    <row r="178" spans="1:38" ht="16.05" customHeight="1">
      <c r="A178" s="1" t="s">
        <v>783</v>
      </c>
      <c r="B178" s="22">
        <v>45311</v>
      </c>
      <c r="C178" s="1"/>
      <c r="D178" s="1" t="s">
        <v>54</v>
      </c>
      <c r="E178" s="1" t="s">
        <v>150</v>
      </c>
      <c r="F178" s="1" t="s">
        <v>239</v>
      </c>
      <c r="G178" s="1" t="s">
        <v>784</v>
      </c>
      <c r="H178" s="1" t="s">
        <v>785</v>
      </c>
      <c r="I178" s="1" t="s">
        <v>46</v>
      </c>
      <c r="J178" s="1" t="s">
        <v>77</v>
      </c>
      <c r="K178" s="1">
        <v>1</v>
      </c>
      <c r="L178" s="2">
        <v>846</v>
      </c>
      <c r="M178" s="2">
        <v>654</v>
      </c>
      <c r="N178" s="3">
        <v>22.7</v>
      </c>
      <c r="O178" s="2">
        <v>654</v>
      </c>
      <c r="P178" s="2">
        <v>111.66</v>
      </c>
      <c r="Q178" s="2">
        <v>0</v>
      </c>
      <c r="R178" s="2">
        <v>85.19</v>
      </c>
      <c r="S178" s="2">
        <v>310.13</v>
      </c>
      <c r="T178" s="2">
        <v>358.46</v>
      </c>
      <c r="U178" s="1">
        <v>0</v>
      </c>
      <c r="V178" s="2">
        <v>0</v>
      </c>
      <c r="W178" s="1"/>
      <c r="X178" s="2">
        <v>654</v>
      </c>
      <c r="Y178" s="10">
        <v>-211.44</v>
      </c>
      <c r="Z178" s="3">
        <v>-32.299999999999997</v>
      </c>
      <c r="AA178" s="1" t="s">
        <v>94</v>
      </c>
      <c r="AB178" s="1">
        <v>13433</v>
      </c>
      <c r="AC178" s="1">
        <v>973</v>
      </c>
      <c r="AD178" s="3">
        <v>7.24</v>
      </c>
      <c r="AE178" s="1">
        <v>71</v>
      </c>
      <c r="AF178" s="3">
        <v>0.8</v>
      </c>
      <c r="AG178" s="1"/>
      <c r="AH178" s="1" t="s">
        <v>49</v>
      </c>
      <c r="AI178" s="1" t="s">
        <v>70</v>
      </c>
      <c r="AJ178" s="1">
        <v>4</v>
      </c>
      <c r="AK178" s="1">
        <v>156</v>
      </c>
      <c r="AL178" s="1" t="s">
        <v>51</v>
      </c>
    </row>
    <row r="179" spans="1:38" ht="16.05" customHeight="1">
      <c r="A179" s="5" t="s">
        <v>786</v>
      </c>
      <c r="B179" s="23">
        <v>45460</v>
      </c>
      <c r="C179" s="5"/>
      <c r="D179" s="5" t="s">
        <v>81</v>
      </c>
      <c r="E179" s="5" t="s">
        <v>284</v>
      </c>
      <c r="F179" s="5" t="s">
        <v>197</v>
      </c>
      <c r="G179" s="5" t="s">
        <v>788</v>
      </c>
      <c r="H179" s="5" t="s">
        <v>789</v>
      </c>
      <c r="I179" s="5" t="s">
        <v>46</v>
      </c>
      <c r="J179" s="5" t="s">
        <v>77</v>
      </c>
      <c r="K179" s="5">
        <v>4</v>
      </c>
      <c r="L179" s="6">
        <v>3031</v>
      </c>
      <c r="M179" s="6">
        <v>2419</v>
      </c>
      <c r="N179" s="7">
        <v>20.2</v>
      </c>
      <c r="O179" s="6">
        <v>9676</v>
      </c>
      <c r="P179" s="6">
        <v>1342.52</v>
      </c>
      <c r="Q179" s="6">
        <v>0</v>
      </c>
      <c r="R179" s="6">
        <v>70.47</v>
      </c>
      <c r="S179" s="6">
        <v>4442.12</v>
      </c>
      <c r="T179" s="6">
        <v>172.29</v>
      </c>
      <c r="U179" s="5">
        <v>0</v>
      </c>
      <c r="V179" s="6">
        <v>0</v>
      </c>
      <c r="W179" s="5"/>
      <c r="X179" s="6">
        <v>9676</v>
      </c>
      <c r="Y179" s="8">
        <v>3648.6</v>
      </c>
      <c r="Z179" s="7">
        <v>37.700000000000003</v>
      </c>
      <c r="AA179" s="5" t="s">
        <v>78</v>
      </c>
      <c r="AB179" s="5">
        <v>12697</v>
      </c>
      <c r="AC179" s="5">
        <v>31</v>
      </c>
      <c r="AD179" s="7">
        <v>0.24</v>
      </c>
      <c r="AE179" s="5">
        <v>6</v>
      </c>
      <c r="AF179" s="7">
        <v>1.2</v>
      </c>
      <c r="AG179" s="5"/>
      <c r="AH179" s="5" t="s">
        <v>49</v>
      </c>
      <c r="AI179" s="5" t="s">
        <v>95</v>
      </c>
      <c r="AJ179" s="5">
        <v>6</v>
      </c>
      <c r="AK179" s="5">
        <v>18</v>
      </c>
      <c r="AL179" s="12" t="s">
        <v>71</v>
      </c>
    </row>
    <row r="180" spans="1:38" ht="16.05" customHeight="1">
      <c r="A180" s="1" t="s">
        <v>790</v>
      </c>
      <c r="B180" s="22">
        <v>45213</v>
      </c>
      <c r="C180" s="1" t="s">
        <v>791</v>
      </c>
      <c r="D180" s="1" t="s">
        <v>144</v>
      </c>
      <c r="E180" s="1" t="s">
        <v>317</v>
      </c>
      <c r="F180" s="1" t="s">
        <v>209</v>
      </c>
      <c r="G180" s="1" t="s">
        <v>792</v>
      </c>
      <c r="H180" s="1" t="s">
        <v>793</v>
      </c>
      <c r="I180" s="1" t="s">
        <v>59</v>
      </c>
      <c r="J180" s="1" t="s">
        <v>47</v>
      </c>
      <c r="K180" s="1">
        <v>4</v>
      </c>
      <c r="L180" s="2">
        <v>284</v>
      </c>
      <c r="M180" s="2">
        <v>262</v>
      </c>
      <c r="N180" s="3">
        <v>7.7</v>
      </c>
      <c r="O180" s="2">
        <v>1048</v>
      </c>
      <c r="P180" s="2">
        <v>162</v>
      </c>
      <c r="Q180" s="2">
        <v>52.4</v>
      </c>
      <c r="R180" s="2">
        <v>0</v>
      </c>
      <c r="S180" s="2">
        <v>570.67999999999995</v>
      </c>
      <c r="T180" s="2">
        <v>466.38</v>
      </c>
      <c r="U180" s="1">
        <v>0</v>
      </c>
      <c r="V180" s="2">
        <v>0</v>
      </c>
      <c r="W180" s="1"/>
      <c r="X180" s="2">
        <v>1048</v>
      </c>
      <c r="Y180" s="10">
        <v>-203.46</v>
      </c>
      <c r="Z180" s="3">
        <v>-19.399999999999999</v>
      </c>
      <c r="AA180" s="1" t="s">
        <v>60</v>
      </c>
      <c r="AB180" s="1">
        <v>967</v>
      </c>
      <c r="AC180" s="1">
        <v>20</v>
      </c>
      <c r="AD180" s="3">
        <v>2.0699999999999998</v>
      </c>
      <c r="AE180" s="1">
        <v>2</v>
      </c>
      <c r="AF180" s="3">
        <v>89</v>
      </c>
      <c r="AG180" s="1">
        <v>3</v>
      </c>
      <c r="AH180" s="1" t="s">
        <v>49</v>
      </c>
      <c r="AI180" s="1" t="s">
        <v>297</v>
      </c>
      <c r="AJ180" s="1">
        <v>1</v>
      </c>
      <c r="AK180" s="1">
        <v>83</v>
      </c>
      <c r="AL180" s="1" t="s">
        <v>51</v>
      </c>
    </row>
    <row r="181" spans="1:38" ht="16.05" customHeight="1">
      <c r="A181" s="5" t="s">
        <v>794</v>
      </c>
      <c r="B181" s="23">
        <v>45550</v>
      </c>
      <c r="C181" s="5" t="s">
        <v>741</v>
      </c>
      <c r="D181" s="5" t="s">
        <v>54</v>
      </c>
      <c r="E181" s="5" t="s">
        <v>589</v>
      </c>
      <c r="F181" s="5" t="s">
        <v>256</v>
      </c>
      <c r="G181" s="5" t="s">
        <v>795</v>
      </c>
      <c r="H181" s="5" t="s">
        <v>796</v>
      </c>
      <c r="I181" s="5" t="s">
        <v>59</v>
      </c>
      <c r="J181" s="5" t="s">
        <v>47</v>
      </c>
      <c r="K181" s="5">
        <v>8</v>
      </c>
      <c r="L181" s="6">
        <v>2979</v>
      </c>
      <c r="M181" s="6">
        <v>2237</v>
      </c>
      <c r="N181" s="7">
        <v>24.9</v>
      </c>
      <c r="O181" s="6">
        <v>17896</v>
      </c>
      <c r="P181" s="6">
        <v>1881.74</v>
      </c>
      <c r="Q181" s="6">
        <v>894.8</v>
      </c>
      <c r="R181" s="6">
        <v>0</v>
      </c>
      <c r="S181" s="6">
        <v>8308.6</v>
      </c>
      <c r="T181" s="6">
        <v>0</v>
      </c>
      <c r="U181" s="5">
        <v>0</v>
      </c>
      <c r="V181" s="6">
        <v>0</v>
      </c>
      <c r="W181" s="5"/>
      <c r="X181" s="6">
        <v>17896</v>
      </c>
      <c r="Y181" s="8">
        <v>6810.86</v>
      </c>
      <c r="Z181" s="7">
        <v>38.1</v>
      </c>
      <c r="AA181" s="5" t="s">
        <v>60</v>
      </c>
      <c r="AB181" s="5">
        <v>0</v>
      </c>
      <c r="AC181" s="5">
        <v>0</v>
      </c>
      <c r="AD181" s="7">
        <v>0</v>
      </c>
      <c r="AE181" s="5">
        <v>0</v>
      </c>
      <c r="AF181" s="7">
        <v>0</v>
      </c>
      <c r="AG181" s="5">
        <v>4</v>
      </c>
      <c r="AH181" s="5" t="s">
        <v>49</v>
      </c>
      <c r="AI181" s="5" t="s">
        <v>86</v>
      </c>
      <c r="AJ181" s="5">
        <v>1</v>
      </c>
      <c r="AK181" s="5">
        <v>184</v>
      </c>
      <c r="AL181" s="5" t="s">
        <v>51</v>
      </c>
    </row>
    <row r="182" spans="1:38" ht="16.05" customHeight="1">
      <c r="A182" s="1" t="s">
        <v>797</v>
      </c>
      <c r="B182" s="22">
        <v>45588</v>
      </c>
      <c r="C182" s="1" t="s">
        <v>798</v>
      </c>
      <c r="D182" s="1" t="s">
        <v>98</v>
      </c>
      <c r="E182" s="1" t="s">
        <v>482</v>
      </c>
      <c r="F182" s="1" t="s">
        <v>197</v>
      </c>
      <c r="G182" s="1" t="s">
        <v>799</v>
      </c>
      <c r="H182" s="1" t="s">
        <v>800</v>
      </c>
      <c r="I182" s="1" t="s">
        <v>46</v>
      </c>
      <c r="J182" s="1" t="s">
        <v>47</v>
      </c>
      <c r="K182" s="1">
        <v>5</v>
      </c>
      <c r="L182" s="2">
        <v>2731</v>
      </c>
      <c r="M182" s="2">
        <v>2324</v>
      </c>
      <c r="N182" s="3">
        <v>14.9</v>
      </c>
      <c r="O182" s="2">
        <v>11620</v>
      </c>
      <c r="P182" s="2">
        <v>1167.68</v>
      </c>
      <c r="Q182" s="2">
        <v>0</v>
      </c>
      <c r="R182" s="2">
        <v>51.85</v>
      </c>
      <c r="S182" s="2">
        <v>6338.54</v>
      </c>
      <c r="T182" s="2">
        <v>0</v>
      </c>
      <c r="U182" s="1">
        <v>0</v>
      </c>
      <c r="V182" s="2">
        <v>0</v>
      </c>
      <c r="W182" s="1"/>
      <c r="X182" s="2">
        <v>11620</v>
      </c>
      <c r="Y182" s="4">
        <v>4061.93</v>
      </c>
      <c r="Z182" s="3">
        <v>35</v>
      </c>
      <c r="AA182" s="1" t="s">
        <v>60</v>
      </c>
      <c r="AB182" s="1">
        <v>0</v>
      </c>
      <c r="AC182" s="1">
        <v>0</v>
      </c>
      <c r="AD182" s="3">
        <v>0</v>
      </c>
      <c r="AE182" s="1">
        <v>0</v>
      </c>
      <c r="AF182" s="3">
        <v>0</v>
      </c>
      <c r="AG182" s="1">
        <v>5</v>
      </c>
      <c r="AH182" s="1" t="s">
        <v>61</v>
      </c>
      <c r="AI182" s="1" t="s">
        <v>308</v>
      </c>
      <c r="AJ182" s="1">
        <v>5</v>
      </c>
      <c r="AK182" s="1">
        <v>199</v>
      </c>
      <c r="AL182" s="1" t="s">
        <v>51</v>
      </c>
    </row>
    <row r="183" spans="1:38" ht="16.05" customHeight="1">
      <c r="A183" s="5" t="s">
        <v>801</v>
      </c>
      <c r="B183" s="23">
        <v>45437</v>
      </c>
      <c r="C183" s="5"/>
      <c r="D183" s="5" t="s">
        <v>41</v>
      </c>
      <c r="E183" s="5" t="s">
        <v>335</v>
      </c>
      <c r="F183" s="5" t="s">
        <v>239</v>
      </c>
      <c r="G183" s="5" t="s">
        <v>802</v>
      </c>
      <c r="H183" s="5" t="s">
        <v>803</v>
      </c>
      <c r="I183" s="5" t="s">
        <v>59</v>
      </c>
      <c r="J183" s="5" t="s">
        <v>77</v>
      </c>
      <c r="K183" s="5">
        <v>1</v>
      </c>
      <c r="L183" s="6">
        <v>4084</v>
      </c>
      <c r="M183" s="6">
        <v>3142</v>
      </c>
      <c r="N183" s="7">
        <v>23.1</v>
      </c>
      <c r="O183" s="6">
        <v>3142</v>
      </c>
      <c r="P183" s="6">
        <v>327.05</v>
      </c>
      <c r="Q183" s="6">
        <v>157.1</v>
      </c>
      <c r="R183" s="6">
        <v>0</v>
      </c>
      <c r="S183" s="6">
        <v>1076.48</v>
      </c>
      <c r="T183" s="6">
        <v>0</v>
      </c>
      <c r="U183" s="5">
        <v>0</v>
      </c>
      <c r="V183" s="6">
        <v>0</v>
      </c>
      <c r="W183" s="5"/>
      <c r="X183" s="6">
        <v>3142</v>
      </c>
      <c r="Y183" s="8">
        <v>1581.37</v>
      </c>
      <c r="Z183" s="7">
        <v>50.3</v>
      </c>
      <c r="AA183" s="5" t="s">
        <v>60</v>
      </c>
      <c r="AB183" s="5">
        <v>0</v>
      </c>
      <c r="AC183" s="5">
        <v>0</v>
      </c>
      <c r="AD183" s="7">
        <v>0</v>
      </c>
      <c r="AE183" s="5">
        <v>0</v>
      </c>
      <c r="AF183" s="7">
        <v>0</v>
      </c>
      <c r="AG183" s="5"/>
      <c r="AH183" s="5" t="s">
        <v>49</v>
      </c>
      <c r="AI183" s="5" t="s">
        <v>86</v>
      </c>
      <c r="AJ183" s="5">
        <v>3</v>
      </c>
      <c r="AK183" s="5">
        <v>98</v>
      </c>
      <c r="AL183" s="5" t="s">
        <v>51</v>
      </c>
    </row>
    <row r="184" spans="1:38" ht="16.05" customHeight="1">
      <c r="A184" s="1" t="s">
        <v>804</v>
      </c>
      <c r="B184" s="22">
        <v>45509</v>
      </c>
      <c r="C184" s="1" t="s">
        <v>805</v>
      </c>
      <c r="D184" s="1" t="s">
        <v>41</v>
      </c>
      <c r="E184" s="1" t="s">
        <v>323</v>
      </c>
      <c r="F184" s="1" t="s">
        <v>209</v>
      </c>
      <c r="G184" s="1" t="s">
        <v>806</v>
      </c>
      <c r="H184" s="1" t="s">
        <v>807</v>
      </c>
      <c r="I184" s="1" t="s">
        <v>46</v>
      </c>
      <c r="J184" s="1" t="s">
        <v>47</v>
      </c>
      <c r="K184" s="1">
        <v>8</v>
      </c>
      <c r="L184" s="2">
        <v>4355</v>
      </c>
      <c r="M184" s="2">
        <v>4061</v>
      </c>
      <c r="N184" s="3">
        <v>6.8</v>
      </c>
      <c r="O184" s="2">
        <v>32488</v>
      </c>
      <c r="P184" s="2">
        <v>4277.7700000000004</v>
      </c>
      <c r="Q184" s="2">
        <v>0</v>
      </c>
      <c r="R184" s="2">
        <v>34.28</v>
      </c>
      <c r="S184" s="2">
        <v>16100.27</v>
      </c>
      <c r="T184" s="2">
        <v>75.05</v>
      </c>
      <c r="U184" s="1">
        <v>0</v>
      </c>
      <c r="V184" s="2">
        <v>0</v>
      </c>
      <c r="W184" s="1"/>
      <c r="X184" s="2">
        <v>32488</v>
      </c>
      <c r="Y184" s="4">
        <v>12000.63</v>
      </c>
      <c r="Z184" s="3">
        <v>36.9</v>
      </c>
      <c r="AA184" s="1" t="s">
        <v>60</v>
      </c>
      <c r="AB184" s="1">
        <v>9038</v>
      </c>
      <c r="AC184" s="1">
        <v>114</v>
      </c>
      <c r="AD184" s="3">
        <v>1.26</v>
      </c>
      <c r="AE184" s="1">
        <v>6</v>
      </c>
      <c r="AF184" s="3">
        <v>0.3</v>
      </c>
      <c r="AG184" s="1">
        <v>5</v>
      </c>
      <c r="AH184" s="1" t="s">
        <v>49</v>
      </c>
      <c r="AI184" s="1" t="s">
        <v>95</v>
      </c>
      <c r="AJ184" s="1">
        <v>5</v>
      </c>
      <c r="AK184" s="1">
        <v>79</v>
      </c>
      <c r="AL184" s="1" t="s">
        <v>51</v>
      </c>
    </row>
    <row r="185" spans="1:38" ht="16.05" customHeight="1">
      <c r="A185" s="5" t="s">
        <v>808</v>
      </c>
      <c r="B185" s="23">
        <v>45563</v>
      </c>
      <c r="C185" s="5" t="s">
        <v>809</v>
      </c>
      <c r="D185" s="5" t="s">
        <v>65</v>
      </c>
      <c r="E185" s="5" t="s">
        <v>108</v>
      </c>
      <c r="F185" s="5" t="s">
        <v>125</v>
      </c>
      <c r="G185" s="5" t="s">
        <v>810</v>
      </c>
      <c r="H185" s="5" t="s">
        <v>811</v>
      </c>
      <c r="I185" s="5" t="s">
        <v>59</v>
      </c>
      <c r="J185" s="5" t="s">
        <v>47</v>
      </c>
      <c r="K185" s="5">
        <v>4</v>
      </c>
      <c r="L185" s="6">
        <v>2953</v>
      </c>
      <c r="M185" s="6">
        <v>2296</v>
      </c>
      <c r="N185" s="7">
        <v>22.2</v>
      </c>
      <c r="O185" s="6">
        <v>9184</v>
      </c>
      <c r="P185" s="6">
        <v>1556.57</v>
      </c>
      <c r="Q185" s="6">
        <v>459.2</v>
      </c>
      <c r="R185" s="6">
        <v>0</v>
      </c>
      <c r="S185" s="6">
        <v>3536.36</v>
      </c>
      <c r="T185" s="6">
        <v>258.22000000000003</v>
      </c>
      <c r="U185" s="5">
        <v>0</v>
      </c>
      <c r="V185" s="6">
        <v>0</v>
      </c>
      <c r="W185" s="5"/>
      <c r="X185" s="6">
        <v>9184</v>
      </c>
      <c r="Y185" s="8">
        <v>3373.65</v>
      </c>
      <c r="Z185" s="7">
        <v>36.700000000000003</v>
      </c>
      <c r="AA185" s="5" t="s">
        <v>48</v>
      </c>
      <c r="AB185" s="5">
        <v>1130</v>
      </c>
      <c r="AC185" s="5">
        <v>83</v>
      </c>
      <c r="AD185" s="7">
        <v>7.35</v>
      </c>
      <c r="AE185" s="5">
        <v>13</v>
      </c>
      <c r="AF185" s="7">
        <v>0.9</v>
      </c>
      <c r="AG185" s="5">
        <v>3</v>
      </c>
      <c r="AH185" s="5" t="s">
        <v>61</v>
      </c>
      <c r="AI185" s="5" t="s">
        <v>118</v>
      </c>
      <c r="AJ185" s="5">
        <v>2</v>
      </c>
      <c r="AK185" s="5">
        <v>186</v>
      </c>
      <c r="AL185" s="5" t="s">
        <v>51</v>
      </c>
    </row>
    <row r="186" spans="1:38" ht="16.05" customHeight="1">
      <c r="A186" s="1" t="s">
        <v>812</v>
      </c>
      <c r="B186" s="22">
        <v>45063</v>
      </c>
      <c r="C186" s="1" t="s">
        <v>705</v>
      </c>
      <c r="D186" s="1" t="s">
        <v>65</v>
      </c>
      <c r="E186" s="1" t="s">
        <v>525</v>
      </c>
      <c r="F186" s="1" t="s">
        <v>256</v>
      </c>
      <c r="G186" s="1" t="s">
        <v>813</v>
      </c>
      <c r="H186" s="1" t="s">
        <v>814</v>
      </c>
      <c r="I186" s="1" t="s">
        <v>46</v>
      </c>
      <c r="J186" s="1" t="s">
        <v>47</v>
      </c>
      <c r="K186" s="1">
        <v>5</v>
      </c>
      <c r="L186" s="2">
        <v>1842</v>
      </c>
      <c r="M186" s="2">
        <v>1401</v>
      </c>
      <c r="N186" s="3">
        <v>23.9</v>
      </c>
      <c r="O186" s="2">
        <v>7005</v>
      </c>
      <c r="P186" s="2">
        <v>950.7</v>
      </c>
      <c r="Q186" s="2">
        <v>0</v>
      </c>
      <c r="R186" s="2">
        <v>101.96</v>
      </c>
      <c r="S186" s="2">
        <v>2690.96</v>
      </c>
      <c r="T186" s="2">
        <v>312.12</v>
      </c>
      <c r="U186" s="1">
        <v>0</v>
      </c>
      <c r="V186" s="2">
        <v>0</v>
      </c>
      <c r="W186" s="1"/>
      <c r="X186" s="2">
        <v>7005</v>
      </c>
      <c r="Y186" s="4">
        <v>2949.26</v>
      </c>
      <c r="Z186" s="3">
        <v>42.1</v>
      </c>
      <c r="AA186" s="1" t="s">
        <v>78</v>
      </c>
      <c r="AB186" s="1">
        <v>6744</v>
      </c>
      <c r="AC186" s="1">
        <v>235</v>
      </c>
      <c r="AD186" s="3">
        <v>3.48</v>
      </c>
      <c r="AE186" s="1">
        <v>41</v>
      </c>
      <c r="AF186" s="3">
        <v>0.5</v>
      </c>
      <c r="AG186" s="1">
        <v>1</v>
      </c>
      <c r="AH186" s="1" t="s">
        <v>61</v>
      </c>
      <c r="AI186" s="1" t="s">
        <v>79</v>
      </c>
      <c r="AJ186" s="1">
        <v>6</v>
      </c>
      <c r="AK186" s="1">
        <v>134</v>
      </c>
      <c r="AL186" s="1" t="s">
        <v>51</v>
      </c>
    </row>
    <row r="187" spans="1:38" ht="16.05" customHeight="1">
      <c r="A187" s="5" t="s">
        <v>815</v>
      </c>
      <c r="B187" s="23">
        <v>45104</v>
      </c>
      <c r="C187" s="5"/>
      <c r="D187" s="5" t="s">
        <v>54</v>
      </c>
      <c r="E187" s="5" t="s">
        <v>300</v>
      </c>
      <c r="F187" s="5" t="s">
        <v>239</v>
      </c>
      <c r="G187" s="5" t="s">
        <v>816</v>
      </c>
      <c r="H187" s="5" t="s">
        <v>817</v>
      </c>
      <c r="I187" s="5" t="s">
        <v>46</v>
      </c>
      <c r="J187" s="5" t="s">
        <v>85</v>
      </c>
      <c r="K187" s="5">
        <v>3</v>
      </c>
      <c r="L187" s="6">
        <v>2151</v>
      </c>
      <c r="M187" s="6">
        <v>1651</v>
      </c>
      <c r="N187" s="7">
        <v>23.2</v>
      </c>
      <c r="O187" s="6">
        <v>4953</v>
      </c>
      <c r="P187" s="6">
        <v>848.17</v>
      </c>
      <c r="Q187" s="6">
        <v>0</v>
      </c>
      <c r="R187" s="6">
        <v>78.900000000000006</v>
      </c>
      <c r="S187" s="6">
        <v>1488.26</v>
      </c>
      <c r="T187" s="6">
        <v>140.72999999999999</v>
      </c>
      <c r="U187" s="5">
        <v>0</v>
      </c>
      <c r="V187" s="6">
        <v>0</v>
      </c>
      <c r="W187" s="5"/>
      <c r="X187" s="6">
        <v>4953</v>
      </c>
      <c r="Y187" s="8">
        <v>2396.94</v>
      </c>
      <c r="Z187" s="7">
        <v>48.4</v>
      </c>
      <c r="AA187" s="5" t="s">
        <v>48</v>
      </c>
      <c r="AB187" s="5">
        <v>7285</v>
      </c>
      <c r="AC187" s="5">
        <v>124</v>
      </c>
      <c r="AD187" s="7">
        <v>1.7</v>
      </c>
      <c r="AE187" s="5">
        <v>18</v>
      </c>
      <c r="AF187" s="7">
        <v>0.5</v>
      </c>
      <c r="AG187" s="5"/>
      <c r="AH187" s="5" t="s">
        <v>49</v>
      </c>
      <c r="AI187" s="5" t="s">
        <v>86</v>
      </c>
      <c r="AJ187" s="5">
        <v>4</v>
      </c>
      <c r="AK187" s="5">
        <v>179</v>
      </c>
      <c r="AL187" s="5" t="s">
        <v>51</v>
      </c>
    </row>
    <row r="188" spans="1:38" ht="16.05" customHeight="1">
      <c r="A188" s="1" t="s">
        <v>818</v>
      </c>
      <c r="B188" s="22">
        <v>45140</v>
      </c>
      <c r="C188" s="1" t="s">
        <v>819</v>
      </c>
      <c r="D188" s="1" t="s">
        <v>54</v>
      </c>
      <c r="E188" s="1" t="s">
        <v>150</v>
      </c>
      <c r="F188" s="1" t="s">
        <v>100</v>
      </c>
      <c r="G188" s="1" t="s">
        <v>820</v>
      </c>
      <c r="H188" s="1" t="s">
        <v>821</v>
      </c>
      <c r="I188" s="1" t="s">
        <v>59</v>
      </c>
      <c r="J188" s="1" t="s">
        <v>47</v>
      </c>
      <c r="K188" s="1">
        <v>10</v>
      </c>
      <c r="L188" s="2">
        <v>1679</v>
      </c>
      <c r="M188" s="2">
        <v>1239</v>
      </c>
      <c r="N188" s="3">
        <v>26.2</v>
      </c>
      <c r="O188" s="2">
        <v>12390</v>
      </c>
      <c r="P188" s="2">
        <v>1975.61</v>
      </c>
      <c r="Q188" s="2">
        <v>619.5</v>
      </c>
      <c r="R188" s="2">
        <v>0</v>
      </c>
      <c r="S188" s="2">
        <v>5161.04</v>
      </c>
      <c r="T188" s="2">
        <v>0</v>
      </c>
      <c r="U188" s="1">
        <v>0</v>
      </c>
      <c r="V188" s="2">
        <v>0</v>
      </c>
      <c r="W188" s="1"/>
      <c r="X188" s="2">
        <v>12390</v>
      </c>
      <c r="Y188" s="4">
        <v>4633.8500000000004</v>
      </c>
      <c r="Z188" s="3">
        <v>37.4</v>
      </c>
      <c r="AA188" s="1" t="s">
        <v>60</v>
      </c>
      <c r="AB188" s="1">
        <v>0</v>
      </c>
      <c r="AC188" s="1">
        <v>0</v>
      </c>
      <c r="AD188" s="3">
        <v>0</v>
      </c>
      <c r="AE188" s="1">
        <v>0</v>
      </c>
      <c r="AF188" s="3">
        <v>0</v>
      </c>
      <c r="AG188" s="1">
        <v>3</v>
      </c>
      <c r="AH188" s="1" t="s">
        <v>49</v>
      </c>
      <c r="AI188" s="1" t="s">
        <v>105</v>
      </c>
      <c r="AJ188" s="1">
        <v>2</v>
      </c>
      <c r="AK188" s="1">
        <v>129</v>
      </c>
      <c r="AL188" s="1" t="s">
        <v>51</v>
      </c>
    </row>
    <row r="189" spans="1:38" ht="16.05" customHeight="1">
      <c r="A189" s="5" t="s">
        <v>822</v>
      </c>
      <c r="B189" s="23">
        <v>45182</v>
      </c>
      <c r="C189" s="5"/>
      <c r="D189" s="5" t="s">
        <v>81</v>
      </c>
      <c r="E189" s="5" t="s">
        <v>284</v>
      </c>
      <c r="F189" s="5" t="s">
        <v>67</v>
      </c>
      <c r="G189" s="5" t="s">
        <v>823</v>
      </c>
      <c r="H189" s="5" t="s">
        <v>824</v>
      </c>
      <c r="I189" s="5" t="s">
        <v>46</v>
      </c>
      <c r="J189" s="5" t="s">
        <v>85</v>
      </c>
      <c r="K189" s="5">
        <v>4</v>
      </c>
      <c r="L189" s="6">
        <v>299</v>
      </c>
      <c r="M189" s="6">
        <v>221</v>
      </c>
      <c r="N189" s="7">
        <v>26.1</v>
      </c>
      <c r="O189" s="6">
        <v>884</v>
      </c>
      <c r="P189" s="6">
        <v>86.28</v>
      </c>
      <c r="Q189" s="6">
        <v>0</v>
      </c>
      <c r="R189" s="6">
        <v>72.5</v>
      </c>
      <c r="S189" s="6">
        <v>351.95</v>
      </c>
      <c r="T189" s="6">
        <v>287.74</v>
      </c>
      <c r="U189" s="5">
        <v>0</v>
      </c>
      <c r="V189" s="6">
        <v>0</v>
      </c>
      <c r="W189" s="5"/>
      <c r="X189" s="6">
        <v>884</v>
      </c>
      <c r="Y189" s="8">
        <v>85.53</v>
      </c>
      <c r="Z189" s="7">
        <v>9.6999999999999993</v>
      </c>
      <c r="AA189" s="5" t="s">
        <v>48</v>
      </c>
      <c r="AB189" s="5">
        <v>8350</v>
      </c>
      <c r="AC189" s="5">
        <v>329</v>
      </c>
      <c r="AD189" s="7">
        <v>3.94</v>
      </c>
      <c r="AE189" s="5">
        <v>50</v>
      </c>
      <c r="AF189" s="7">
        <v>2.6</v>
      </c>
      <c r="AG189" s="5"/>
      <c r="AH189" s="5" t="s">
        <v>49</v>
      </c>
      <c r="AI189" s="5" t="s">
        <v>95</v>
      </c>
      <c r="AJ189" s="5">
        <v>4</v>
      </c>
      <c r="AK189" s="5">
        <v>73</v>
      </c>
      <c r="AL189" s="5" t="s">
        <v>51</v>
      </c>
    </row>
    <row r="190" spans="1:38" ht="16.05" customHeight="1">
      <c r="A190" s="1" t="s">
        <v>825</v>
      </c>
      <c r="B190" s="22">
        <v>45102</v>
      </c>
      <c r="C190" s="1"/>
      <c r="D190" s="1" t="s">
        <v>81</v>
      </c>
      <c r="E190" s="1" t="s">
        <v>196</v>
      </c>
      <c r="F190" s="1" t="s">
        <v>115</v>
      </c>
      <c r="G190" s="1" t="s">
        <v>826</v>
      </c>
      <c r="H190" s="1" t="s">
        <v>827</v>
      </c>
      <c r="I190" s="1" t="s">
        <v>59</v>
      </c>
      <c r="J190" s="1" t="s">
        <v>136</v>
      </c>
      <c r="K190" s="1">
        <v>2</v>
      </c>
      <c r="L190" s="2">
        <v>3569</v>
      </c>
      <c r="M190" s="2">
        <v>2893</v>
      </c>
      <c r="N190" s="3">
        <v>18.899999999999999</v>
      </c>
      <c r="O190" s="2">
        <v>5786</v>
      </c>
      <c r="P190" s="2">
        <v>726.23</v>
      </c>
      <c r="Q190" s="2">
        <v>289.3</v>
      </c>
      <c r="R190" s="2">
        <v>0</v>
      </c>
      <c r="S190" s="2">
        <v>1779.98</v>
      </c>
      <c r="T190" s="2">
        <v>43.11</v>
      </c>
      <c r="U190" s="1">
        <v>0</v>
      </c>
      <c r="V190" s="2">
        <v>0</v>
      </c>
      <c r="W190" s="1"/>
      <c r="X190" s="2">
        <v>5786</v>
      </c>
      <c r="Y190" s="4">
        <v>2947.38</v>
      </c>
      <c r="Z190" s="3">
        <v>50.9</v>
      </c>
      <c r="AA190" s="1" t="s">
        <v>94</v>
      </c>
      <c r="AB190" s="1">
        <v>9628</v>
      </c>
      <c r="AC190" s="1">
        <v>10</v>
      </c>
      <c r="AD190" s="3">
        <v>0.1</v>
      </c>
      <c r="AE190" s="1">
        <v>1</v>
      </c>
      <c r="AF190" s="3">
        <v>1.5</v>
      </c>
      <c r="AG190" s="1"/>
      <c r="AH190" s="1" t="s">
        <v>49</v>
      </c>
      <c r="AI190" s="1" t="s">
        <v>86</v>
      </c>
      <c r="AJ190" s="1">
        <v>2</v>
      </c>
      <c r="AK190" s="1">
        <v>100</v>
      </c>
      <c r="AL190" s="1" t="s">
        <v>51</v>
      </c>
    </row>
    <row r="191" spans="1:38" ht="16.05" customHeight="1">
      <c r="A191" s="5" t="s">
        <v>828</v>
      </c>
      <c r="B191" s="23">
        <v>45495</v>
      </c>
      <c r="C191" s="5" t="s">
        <v>416</v>
      </c>
      <c r="D191" s="5" t="s">
        <v>65</v>
      </c>
      <c r="E191" s="5" t="s">
        <v>525</v>
      </c>
      <c r="F191" s="5" t="s">
        <v>209</v>
      </c>
      <c r="G191" s="5" t="s">
        <v>829</v>
      </c>
      <c r="H191" s="5" t="s">
        <v>830</v>
      </c>
      <c r="I191" s="5" t="s">
        <v>59</v>
      </c>
      <c r="J191" s="5" t="s">
        <v>47</v>
      </c>
      <c r="K191" s="5">
        <v>10</v>
      </c>
      <c r="L191" s="6">
        <v>2722</v>
      </c>
      <c r="M191" s="6">
        <v>1962</v>
      </c>
      <c r="N191" s="7">
        <v>27.9</v>
      </c>
      <c r="O191" s="6">
        <v>19620</v>
      </c>
      <c r="P191" s="6">
        <v>2451.5700000000002</v>
      </c>
      <c r="Q191" s="6">
        <v>981</v>
      </c>
      <c r="R191" s="6">
        <v>0</v>
      </c>
      <c r="S191" s="6">
        <v>6569.9</v>
      </c>
      <c r="T191" s="6">
        <v>0</v>
      </c>
      <c r="U191" s="5">
        <v>0</v>
      </c>
      <c r="V191" s="6">
        <v>0</v>
      </c>
      <c r="W191" s="5"/>
      <c r="X191" s="6">
        <v>19620</v>
      </c>
      <c r="Y191" s="8">
        <v>9617.5300000000007</v>
      </c>
      <c r="Z191" s="7">
        <v>49</v>
      </c>
      <c r="AA191" s="5" t="s">
        <v>60</v>
      </c>
      <c r="AB191" s="5">
        <v>0</v>
      </c>
      <c r="AC191" s="5">
        <v>0</v>
      </c>
      <c r="AD191" s="7">
        <v>0</v>
      </c>
      <c r="AE191" s="5">
        <v>0</v>
      </c>
      <c r="AF191" s="7">
        <v>0</v>
      </c>
      <c r="AG191" s="5">
        <v>4</v>
      </c>
      <c r="AH191" s="5" t="s">
        <v>61</v>
      </c>
      <c r="AI191" s="5" t="s">
        <v>86</v>
      </c>
      <c r="AJ191" s="5">
        <v>2</v>
      </c>
      <c r="AK191" s="5">
        <v>41</v>
      </c>
      <c r="AL191" s="5" t="s">
        <v>51</v>
      </c>
    </row>
    <row r="192" spans="1:38" ht="16.05" customHeight="1">
      <c r="A192" s="1" t="s">
        <v>831</v>
      </c>
      <c r="B192" s="22">
        <v>45053</v>
      </c>
      <c r="C192" s="1" t="s">
        <v>832</v>
      </c>
      <c r="D192" s="1" t="s">
        <v>81</v>
      </c>
      <c r="E192" s="1" t="s">
        <v>90</v>
      </c>
      <c r="F192" s="1" t="s">
        <v>125</v>
      </c>
      <c r="G192" s="1" t="s">
        <v>833</v>
      </c>
      <c r="H192" s="1" t="s">
        <v>834</v>
      </c>
      <c r="I192" s="1" t="s">
        <v>59</v>
      </c>
      <c r="J192" s="1" t="s">
        <v>47</v>
      </c>
      <c r="K192" s="1">
        <v>2</v>
      </c>
      <c r="L192" s="2">
        <v>1148</v>
      </c>
      <c r="M192" s="2">
        <v>920</v>
      </c>
      <c r="N192" s="3">
        <v>19.899999999999999</v>
      </c>
      <c r="O192" s="2">
        <v>1840</v>
      </c>
      <c r="P192" s="2">
        <v>194.86</v>
      </c>
      <c r="Q192" s="2">
        <v>92</v>
      </c>
      <c r="R192" s="2">
        <v>0</v>
      </c>
      <c r="S192" s="2">
        <v>635.34</v>
      </c>
      <c r="T192" s="2">
        <v>411.99</v>
      </c>
      <c r="U192" s="1">
        <v>0</v>
      </c>
      <c r="V192" s="2">
        <v>0</v>
      </c>
      <c r="W192" s="1"/>
      <c r="X192" s="2">
        <v>1840</v>
      </c>
      <c r="Y192" s="4">
        <v>505.81</v>
      </c>
      <c r="Z192" s="3">
        <v>27.5</v>
      </c>
      <c r="AA192" s="1" t="s">
        <v>60</v>
      </c>
      <c r="AB192" s="1">
        <v>12036</v>
      </c>
      <c r="AC192" s="1">
        <v>188</v>
      </c>
      <c r="AD192" s="3">
        <v>1.56</v>
      </c>
      <c r="AE192" s="1">
        <v>15</v>
      </c>
      <c r="AF192" s="3">
        <v>3</v>
      </c>
      <c r="AG192" s="1">
        <v>5</v>
      </c>
      <c r="AH192" s="1" t="s">
        <v>49</v>
      </c>
      <c r="AI192" s="1" t="s">
        <v>86</v>
      </c>
      <c r="AJ192" s="1">
        <v>3</v>
      </c>
      <c r="AK192" s="1">
        <v>165</v>
      </c>
      <c r="AL192" s="1" t="s">
        <v>51</v>
      </c>
    </row>
    <row r="193" spans="1:38" ht="16.05" customHeight="1">
      <c r="A193" s="5" t="s">
        <v>835</v>
      </c>
      <c r="B193" s="23">
        <v>45457</v>
      </c>
      <c r="C193" s="5" t="s">
        <v>787</v>
      </c>
      <c r="D193" s="5" t="s">
        <v>54</v>
      </c>
      <c r="E193" s="5" t="s">
        <v>670</v>
      </c>
      <c r="F193" s="5" t="s">
        <v>227</v>
      </c>
      <c r="G193" s="5" t="s">
        <v>836</v>
      </c>
      <c r="H193" s="5" t="s">
        <v>837</v>
      </c>
      <c r="I193" s="5" t="s">
        <v>59</v>
      </c>
      <c r="J193" s="5" t="s">
        <v>47</v>
      </c>
      <c r="K193" s="5">
        <v>7</v>
      </c>
      <c r="L193" s="6">
        <v>4590</v>
      </c>
      <c r="M193" s="6">
        <v>4013</v>
      </c>
      <c r="N193" s="7">
        <v>12.6</v>
      </c>
      <c r="O193" s="6">
        <v>28091</v>
      </c>
      <c r="P193" s="6">
        <v>3978.6</v>
      </c>
      <c r="Q193" s="6">
        <v>1404.55</v>
      </c>
      <c r="R193" s="6">
        <v>0</v>
      </c>
      <c r="S193" s="6">
        <v>9052.94</v>
      </c>
      <c r="T193" s="6">
        <v>399.57</v>
      </c>
      <c r="U193" s="5">
        <v>0</v>
      </c>
      <c r="V193" s="6">
        <v>0</v>
      </c>
      <c r="W193" s="5"/>
      <c r="X193" s="6">
        <v>28091</v>
      </c>
      <c r="Y193" s="8">
        <v>13255.34</v>
      </c>
      <c r="Z193" s="7">
        <v>47.2</v>
      </c>
      <c r="AA193" s="5" t="s">
        <v>48</v>
      </c>
      <c r="AB193" s="5">
        <v>12812</v>
      </c>
      <c r="AC193" s="5">
        <v>85</v>
      </c>
      <c r="AD193" s="7">
        <v>0.66</v>
      </c>
      <c r="AE193" s="5">
        <v>15</v>
      </c>
      <c r="AF193" s="7">
        <v>0.7</v>
      </c>
      <c r="AG193" s="5">
        <v>4</v>
      </c>
      <c r="AH193" s="5" t="s">
        <v>49</v>
      </c>
      <c r="AI193" s="5" t="s">
        <v>153</v>
      </c>
      <c r="AJ193" s="5">
        <v>3</v>
      </c>
      <c r="AK193" s="5">
        <v>170</v>
      </c>
      <c r="AL193" s="5" t="s">
        <v>51</v>
      </c>
    </row>
    <row r="194" spans="1:38" ht="16.05" customHeight="1">
      <c r="A194" s="1" t="s">
        <v>838</v>
      </c>
      <c r="B194" s="22">
        <v>44983</v>
      </c>
      <c r="C194" s="1"/>
      <c r="D194" s="1" t="s">
        <v>144</v>
      </c>
      <c r="E194" s="1" t="s">
        <v>456</v>
      </c>
      <c r="F194" s="1" t="s">
        <v>100</v>
      </c>
      <c r="G194" s="1" t="s">
        <v>839</v>
      </c>
      <c r="H194" s="1" t="s">
        <v>840</v>
      </c>
      <c r="I194" s="1" t="s">
        <v>59</v>
      </c>
      <c r="J194" s="1" t="s">
        <v>136</v>
      </c>
      <c r="K194" s="1">
        <v>8</v>
      </c>
      <c r="L194" s="2">
        <v>327</v>
      </c>
      <c r="M194" s="2">
        <v>230</v>
      </c>
      <c r="N194" s="3">
        <v>29.7</v>
      </c>
      <c r="O194" s="2">
        <v>1840</v>
      </c>
      <c r="P194" s="2">
        <v>248.98</v>
      </c>
      <c r="Q194" s="2">
        <v>92</v>
      </c>
      <c r="R194" s="2">
        <v>0</v>
      </c>
      <c r="S194" s="2">
        <v>767.87</v>
      </c>
      <c r="T194" s="2">
        <v>405.04</v>
      </c>
      <c r="U194" s="1">
        <v>0</v>
      </c>
      <c r="V194" s="2">
        <v>0</v>
      </c>
      <c r="W194" s="1"/>
      <c r="X194" s="2">
        <v>1840</v>
      </c>
      <c r="Y194" s="4">
        <v>326.11</v>
      </c>
      <c r="Z194" s="3">
        <v>17.7</v>
      </c>
      <c r="AA194" s="1" t="s">
        <v>60</v>
      </c>
      <c r="AB194" s="1">
        <v>5111</v>
      </c>
      <c r="AC194" s="1">
        <v>290</v>
      </c>
      <c r="AD194" s="3">
        <v>5.67</v>
      </c>
      <c r="AE194" s="1">
        <v>56</v>
      </c>
      <c r="AF194" s="3">
        <v>3.1</v>
      </c>
      <c r="AG194" s="1"/>
      <c r="AH194" s="1" t="s">
        <v>49</v>
      </c>
      <c r="AI194" s="1" t="s">
        <v>112</v>
      </c>
      <c r="AJ194" s="1">
        <v>3</v>
      </c>
      <c r="AK194" s="1">
        <v>5</v>
      </c>
      <c r="AL194" s="9" t="s">
        <v>71</v>
      </c>
    </row>
    <row r="195" spans="1:38" ht="16.05" customHeight="1">
      <c r="A195" s="5" t="s">
        <v>841</v>
      </c>
      <c r="B195" s="23">
        <v>44957</v>
      </c>
      <c r="C195" s="5"/>
      <c r="D195" s="5" t="s">
        <v>41</v>
      </c>
      <c r="E195" s="5" t="s">
        <v>213</v>
      </c>
      <c r="F195" s="5" t="s">
        <v>100</v>
      </c>
      <c r="G195" s="5" t="s">
        <v>843</v>
      </c>
      <c r="H195" s="5" t="s">
        <v>844</v>
      </c>
      <c r="I195" s="5" t="s">
        <v>59</v>
      </c>
      <c r="J195" s="5" t="s">
        <v>85</v>
      </c>
      <c r="K195" s="5">
        <v>2</v>
      </c>
      <c r="L195" s="6">
        <v>239</v>
      </c>
      <c r="M195" s="6">
        <v>208</v>
      </c>
      <c r="N195" s="7">
        <v>13</v>
      </c>
      <c r="O195" s="6">
        <v>416</v>
      </c>
      <c r="P195" s="6">
        <v>74</v>
      </c>
      <c r="Q195" s="6">
        <v>20.8</v>
      </c>
      <c r="R195" s="6">
        <v>0</v>
      </c>
      <c r="S195" s="6">
        <v>228.68</v>
      </c>
      <c r="T195" s="6">
        <v>251.19</v>
      </c>
      <c r="U195" s="5">
        <v>0</v>
      </c>
      <c r="V195" s="6">
        <v>0</v>
      </c>
      <c r="W195" s="5"/>
      <c r="X195" s="6">
        <v>416</v>
      </c>
      <c r="Y195" s="11">
        <v>-158.66999999999999</v>
      </c>
      <c r="Z195" s="7">
        <v>-38.1</v>
      </c>
      <c r="AA195" s="5" t="s">
        <v>94</v>
      </c>
      <c r="AB195" s="5">
        <v>11159</v>
      </c>
      <c r="AC195" s="5">
        <v>366</v>
      </c>
      <c r="AD195" s="7">
        <v>3.28</v>
      </c>
      <c r="AE195" s="5">
        <v>8</v>
      </c>
      <c r="AF195" s="7">
        <v>15.1</v>
      </c>
      <c r="AG195" s="5"/>
      <c r="AH195" s="5" t="s">
        <v>49</v>
      </c>
      <c r="AI195" s="5" t="s">
        <v>153</v>
      </c>
      <c r="AJ195" s="5">
        <v>2</v>
      </c>
      <c r="AK195" s="5">
        <v>106</v>
      </c>
      <c r="AL195" s="5" t="s">
        <v>51</v>
      </c>
    </row>
    <row r="196" spans="1:38" ht="16.05" customHeight="1">
      <c r="A196" s="1" t="s">
        <v>845</v>
      </c>
      <c r="B196" s="22">
        <v>45639</v>
      </c>
      <c r="C196" s="1" t="s">
        <v>846</v>
      </c>
      <c r="D196" s="1" t="s">
        <v>98</v>
      </c>
      <c r="E196" s="1" t="s">
        <v>434</v>
      </c>
      <c r="F196" s="1" t="s">
        <v>197</v>
      </c>
      <c r="G196" s="1" t="s">
        <v>847</v>
      </c>
      <c r="H196" s="1" t="s">
        <v>848</v>
      </c>
      <c r="I196" s="1" t="s">
        <v>59</v>
      </c>
      <c r="J196" s="1" t="s">
        <v>103</v>
      </c>
      <c r="K196" s="1">
        <v>10</v>
      </c>
      <c r="L196" s="2">
        <v>1277</v>
      </c>
      <c r="M196" s="2">
        <v>1051</v>
      </c>
      <c r="N196" s="3">
        <v>17.7</v>
      </c>
      <c r="O196" s="2">
        <v>10510</v>
      </c>
      <c r="P196" s="2">
        <v>1118.26</v>
      </c>
      <c r="Q196" s="2">
        <v>525.5</v>
      </c>
      <c r="R196" s="2">
        <v>0</v>
      </c>
      <c r="S196" s="2">
        <v>5303.04</v>
      </c>
      <c r="T196" s="2">
        <v>395.27</v>
      </c>
      <c r="U196" s="1">
        <v>6</v>
      </c>
      <c r="V196" s="2">
        <v>6306</v>
      </c>
      <c r="W196" s="1" t="s">
        <v>332</v>
      </c>
      <c r="X196" s="2">
        <v>4204</v>
      </c>
      <c r="Y196" s="10">
        <v>-3138.07</v>
      </c>
      <c r="Z196" s="3">
        <v>-74.599999999999994</v>
      </c>
      <c r="AA196" s="1" t="s">
        <v>78</v>
      </c>
      <c r="AB196" s="1">
        <v>7132</v>
      </c>
      <c r="AC196" s="1">
        <v>314</v>
      </c>
      <c r="AD196" s="3">
        <v>4.4000000000000004</v>
      </c>
      <c r="AE196" s="1">
        <v>31</v>
      </c>
      <c r="AF196" s="3">
        <v>1.2</v>
      </c>
      <c r="AG196" s="1"/>
      <c r="AH196" s="1" t="s">
        <v>49</v>
      </c>
      <c r="AI196" s="1" t="s">
        <v>50</v>
      </c>
      <c r="AJ196" s="1">
        <v>3</v>
      </c>
      <c r="AK196" s="1">
        <v>1</v>
      </c>
      <c r="AL196" s="9" t="s">
        <v>71</v>
      </c>
    </row>
    <row r="197" spans="1:38" ht="16.05" customHeight="1">
      <c r="A197" s="5" t="s">
        <v>849</v>
      </c>
      <c r="B197" s="23">
        <v>45465</v>
      </c>
      <c r="C197" s="5" t="s">
        <v>850</v>
      </c>
      <c r="D197" s="5" t="s">
        <v>81</v>
      </c>
      <c r="E197" s="5" t="s">
        <v>279</v>
      </c>
      <c r="F197" s="5" t="s">
        <v>222</v>
      </c>
      <c r="G197" s="5" t="s">
        <v>851</v>
      </c>
      <c r="H197" s="5" t="s">
        <v>852</v>
      </c>
      <c r="I197" s="5" t="s">
        <v>59</v>
      </c>
      <c r="J197" s="5" t="s">
        <v>47</v>
      </c>
      <c r="K197" s="5">
        <v>9</v>
      </c>
      <c r="L197" s="6">
        <v>4775</v>
      </c>
      <c r="M197" s="6">
        <v>3982</v>
      </c>
      <c r="N197" s="7">
        <v>16.600000000000001</v>
      </c>
      <c r="O197" s="6">
        <v>35838</v>
      </c>
      <c r="P197" s="6">
        <v>5960.95</v>
      </c>
      <c r="Q197" s="6">
        <v>1791.9</v>
      </c>
      <c r="R197" s="6">
        <v>0</v>
      </c>
      <c r="S197" s="6">
        <v>15008.42</v>
      </c>
      <c r="T197" s="6">
        <v>229.24</v>
      </c>
      <c r="U197" s="5">
        <v>0</v>
      </c>
      <c r="V197" s="6">
        <v>0</v>
      </c>
      <c r="W197" s="5"/>
      <c r="X197" s="6">
        <v>35838</v>
      </c>
      <c r="Y197" s="8">
        <v>12847.49</v>
      </c>
      <c r="Z197" s="7">
        <v>35.799999999999997</v>
      </c>
      <c r="AA197" s="5" t="s">
        <v>60</v>
      </c>
      <c r="AB197" s="5">
        <v>2415</v>
      </c>
      <c r="AC197" s="5">
        <v>132</v>
      </c>
      <c r="AD197" s="7">
        <v>5.47</v>
      </c>
      <c r="AE197" s="5">
        <v>26</v>
      </c>
      <c r="AF197" s="7">
        <v>0.2</v>
      </c>
      <c r="AG197" s="5">
        <v>3</v>
      </c>
      <c r="AH197" s="5" t="s">
        <v>49</v>
      </c>
      <c r="AI197" s="5" t="s">
        <v>62</v>
      </c>
      <c r="AJ197" s="5">
        <v>3</v>
      </c>
      <c r="AK197" s="5">
        <v>131</v>
      </c>
      <c r="AL197" s="5" t="s">
        <v>51</v>
      </c>
    </row>
    <row r="198" spans="1:38" ht="16.05" customHeight="1">
      <c r="A198" s="1" t="s">
        <v>853</v>
      </c>
      <c r="B198" s="22">
        <v>45072</v>
      </c>
      <c r="C198" s="1" t="s">
        <v>854</v>
      </c>
      <c r="D198" s="1" t="s">
        <v>41</v>
      </c>
      <c r="E198" s="1" t="s">
        <v>335</v>
      </c>
      <c r="F198" s="1" t="s">
        <v>125</v>
      </c>
      <c r="G198" s="1" t="s">
        <v>855</v>
      </c>
      <c r="H198" s="1" t="s">
        <v>856</v>
      </c>
      <c r="I198" s="1" t="s">
        <v>46</v>
      </c>
      <c r="J198" s="1" t="s">
        <v>47</v>
      </c>
      <c r="K198" s="1">
        <v>8</v>
      </c>
      <c r="L198" s="2">
        <v>1216</v>
      </c>
      <c r="M198" s="2">
        <v>1068</v>
      </c>
      <c r="N198" s="3">
        <v>12.2</v>
      </c>
      <c r="O198" s="2">
        <v>8544</v>
      </c>
      <c r="P198" s="2">
        <v>1157.71</v>
      </c>
      <c r="Q198" s="2">
        <v>0</v>
      </c>
      <c r="R198" s="2">
        <v>110.35</v>
      </c>
      <c r="S198" s="2">
        <v>3383.04</v>
      </c>
      <c r="T198" s="2">
        <v>0</v>
      </c>
      <c r="U198" s="1">
        <v>0</v>
      </c>
      <c r="V198" s="2">
        <v>0</v>
      </c>
      <c r="W198" s="1"/>
      <c r="X198" s="2">
        <v>8544</v>
      </c>
      <c r="Y198" s="4">
        <v>3892.9</v>
      </c>
      <c r="Z198" s="3">
        <v>45.6</v>
      </c>
      <c r="AA198" s="1" t="s">
        <v>60</v>
      </c>
      <c r="AB198" s="1">
        <v>0</v>
      </c>
      <c r="AC198" s="1">
        <v>0</v>
      </c>
      <c r="AD198" s="3">
        <v>0</v>
      </c>
      <c r="AE198" s="1">
        <v>0</v>
      </c>
      <c r="AF198" s="3">
        <v>0</v>
      </c>
      <c r="AG198" s="1">
        <v>5</v>
      </c>
      <c r="AH198" s="1" t="s">
        <v>49</v>
      </c>
      <c r="AI198" s="1" t="s">
        <v>50</v>
      </c>
      <c r="AJ198" s="1">
        <v>3</v>
      </c>
      <c r="AK198" s="1">
        <v>175</v>
      </c>
      <c r="AL198" s="1" t="s">
        <v>51</v>
      </c>
    </row>
    <row r="199" spans="1:38" ht="16.05" customHeight="1">
      <c r="A199" s="5" t="s">
        <v>857</v>
      </c>
      <c r="B199" s="23">
        <v>45633</v>
      </c>
      <c r="C199" s="5" t="s">
        <v>858</v>
      </c>
      <c r="D199" s="5" t="s">
        <v>144</v>
      </c>
      <c r="E199" s="5" t="s">
        <v>166</v>
      </c>
      <c r="F199" s="5" t="s">
        <v>209</v>
      </c>
      <c r="G199" s="5" t="s">
        <v>859</v>
      </c>
      <c r="H199" s="5" t="s">
        <v>860</v>
      </c>
      <c r="I199" s="5" t="s">
        <v>46</v>
      </c>
      <c r="J199" s="5" t="s">
        <v>47</v>
      </c>
      <c r="K199" s="5">
        <v>4</v>
      </c>
      <c r="L199" s="6">
        <v>2468</v>
      </c>
      <c r="M199" s="6">
        <v>1823</v>
      </c>
      <c r="N199" s="7">
        <v>26.1</v>
      </c>
      <c r="O199" s="6">
        <v>7292</v>
      </c>
      <c r="P199" s="6">
        <v>991.48</v>
      </c>
      <c r="Q199" s="6">
        <v>0</v>
      </c>
      <c r="R199" s="6">
        <v>72</v>
      </c>
      <c r="S199" s="6">
        <v>2219.81</v>
      </c>
      <c r="T199" s="6">
        <v>359.35</v>
      </c>
      <c r="U199" s="5">
        <v>0</v>
      </c>
      <c r="V199" s="6">
        <v>0</v>
      </c>
      <c r="W199" s="5"/>
      <c r="X199" s="6">
        <v>7292</v>
      </c>
      <c r="Y199" s="8">
        <v>3649.36</v>
      </c>
      <c r="Z199" s="7">
        <v>50</v>
      </c>
      <c r="AA199" s="5" t="s">
        <v>60</v>
      </c>
      <c r="AB199" s="5">
        <v>6165</v>
      </c>
      <c r="AC199" s="5">
        <v>270</v>
      </c>
      <c r="AD199" s="7">
        <v>4.38</v>
      </c>
      <c r="AE199" s="5">
        <v>50</v>
      </c>
      <c r="AF199" s="7">
        <v>0.4</v>
      </c>
      <c r="AG199" s="5">
        <v>2</v>
      </c>
      <c r="AH199" s="5" t="s">
        <v>49</v>
      </c>
      <c r="AI199" s="5" t="s">
        <v>50</v>
      </c>
      <c r="AJ199" s="5">
        <v>4</v>
      </c>
      <c r="AK199" s="5">
        <v>189</v>
      </c>
      <c r="AL199" s="5" t="s">
        <v>51</v>
      </c>
    </row>
    <row r="200" spans="1:38" ht="16.05" customHeight="1">
      <c r="A200" s="1" t="s">
        <v>861</v>
      </c>
      <c r="B200" s="22">
        <v>45174</v>
      </c>
      <c r="C200" s="1" t="s">
        <v>862</v>
      </c>
      <c r="D200" s="1" t="s">
        <v>98</v>
      </c>
      <c r="E200" s="1" t="s">
        <v>449</v>
      </c>
      <c r="F200" s="1" t="s">
        <v>203</v>
      </c>
      <c r="G200" s="1" t="s">
        <v>863</v>
      </c>
      <c r="H200" s="1" t="s">
        <v>864</v>
      </c>
      <c r="I200" s="1" t="s">
        <v>59</v>
      </c>
      <c r="J200" s="1" t="s">
        <v>47</v>
      </c>
      <c r="K200" s="1">
        <v>7</v>
      </c>
      <c r="L200" s="2">
        <v>2111</v>
      </c>
      <c r="M200" s="2">
        <v>1741</v>
      </c>
      <c r="N200" s="3">
        <v>17.5</v>
      </c>
      <c r="O200" s="2">
        <v>12187</v>
      </c>
      <c r="P200" s="2">
        <v>2110.8000000000002</v>
      </c>
      <c r="Q200" s="2">
        <v>609.35</v>
      </c>
      <c r="R200" s="2">
        <v>0</v>
      </c>
      <c r="S200" s="2">
        <v>3957.54</v>
      </c>
      <c r="T200" s="2">
        <v>0</v>
      </c>
      <c r="U200" s="1">
        <v>0</v>
      </c>
      <c r="V200" s="2">
        <v>0</v>
      </c>
      <c r="W200" s="1"/>
      <c r="X200" s="2">
        <v>12187</v>
      </c>
      <c r="Y200" s="4">
        <v>5509.31</v>
      </c>
      <c r="Z200" s="3">
        <v>45.2</v>
      </c>
      <c r="AA200" s="1" t="s">
        <v>60</v>
      </c>
      <c r="AB200" s="1">
        <v>0</v>
      </c>
      <c r="AC200" s="1">
        <v>0</v>
      </c>
      <c r="AD200" s="3">
        <v>0</v>
      </c>
      <c r="AE200" s="1">
        <v>0</v>
      </c>
      <c r="AF200" s="3">
        <v>0</v>
      </c>
      <c r="AG200" s="1">
        <v>5</v>
      </c>
      <c r="AH200" s="1" t="s">
        <v>49</v>
      </c>
      <c r="AI200" s="1" t="s">
        <v>297</v>
      </c>
      <c r="AJ200" s="1">
        <v>3</v>
      </c>
      <c r="AK200" s="1">
        <v>115</v>
      </c>
      <c r="AL200" s="1" t="s">
        <v>51</v>
      </c>
    </row>
    <row r="201" spans="1:38" ht="16.05" customHeight="1">
      <c r="A201" s="5" t="s">
        <v>865</v>
      </c>
      <c r="B201" s="23">
        <v>45356</v>
      </c>
      <c r="C201" s="5" t="s">
        <v>183</v>
      </c>
      <c r="D201" s="5" t="s">
        <v>41</v>
      </c>
      <c r="E201" s="5" t="s">
        <v>323</v>
      </c>
      <c r="F201" s="5" t="s">
        <v>100</v>
      </c>
      <c r="G201" s="5" t="s">
        <v>866</v>
      </c>
      <c r="H201" s="5" t="s">
        <v>867</v>
      </c>
      <c r="I201" s="5" t="s">
        <v>59</v>
      </c>
      <c r="J201" s="5" t="s">
        <v>103</v>
      </c>
      <c r="K201" s="5">
        <v>7</v>
      </c>
      <c r="L201" s="6">
        <v>1638</v>
      </c>
      <c r="M201" s="6">
        <v>1360</v>
      </c>
      <c r="N201" s="7">
        <v>17</v>
      </c>
      <c r="O201" s="6">
        <v>9520</v>
      </c>
      <c r="P201" s="6">
        <v>865.15</v>
      </c>
      <c r="Q201" s="6">
        <v>476</v>
      </c>
      <c r="R201" s="6">
        <v>0</v>
      </c>
      <c r="S201" s="6">
        <v>3762.81</v>
      </c>
      <c r="T201" s="6">
        <v>410.19</v>
      </c>
      <c r="U201" s="5">
        <v>4</v>
      </c>
      <c r="V201" s="6">
        <v>5440</v>
      </c>
      <c r="W201" s="5" t="s">
        <v>332</v>
      </c>
      <c r="X201" s="6">
        <v>4080</v>
      </c>
      <c r="Y201" s="11">
        <v>-1434.15</v>
      </c>
      <c r="Z201" s="7">
        <v>-35.200000000000003</v>
      </c>
      <c r="AA201" s="5" t="s">
        <v>60</v>
      </c>
      <c r="AB201" s="5">
        <v>1169</v>
      </c>
      <c r="AC201" s="5">
        <v>65</v>
      </c>
      <c r="AD201" s="7">
        <v>5.56</v>
      </c>
      <c r="AE201" s="5">
        <v>5</v>
      </c>
      <c r="AF201" s="7">
        <v>6</v>
      </c>
      <c r="AG201" s="5"/>
      <c r="AH201" s="5" t="s">
        <v>49</v>
      </c>
      <c r="AI201" s="5" t="s">
        <v>50</v>
      </c>
      <c r="AJ201" s="5">
        <v>1</v>
      </c>
      <c r="AK201" s="5">
        <v>46</v>
      </c>
      <c r="AL201" s="5" t="s">
        <v>51</v>
      </c>
    </row>
    <row r="202" spans="1:38" ht="16.05" customHeight="1">
      <c r="A202" s="1" t="s">
        <v>868</v>
      </c>
      <c r="B202" s="22">
        <v>45357</v>
      </c>
      <c r="C202" s="1"/>
      <c r="D202" s="1" t="s">
        <v>144</v>
      </c>
      <c r="E202" s="1" t="s">
        <v>317</v>
      </c>
      <c r="F202" s="1" t="s">
        <v>256</v>
      </c>
      <c r="G202" s="1" t="s">
        <v>869</v>
      </c>
      <c r="H202" s="1" t="s">
        <v>870</v>
      </c>
      <c r="I202" s="1" t="s">
        <v>59</v>
      </c>
      <c r="J202" s="1" t="s">
        <v>85</v>
      </c>
      <c r="K202" s="1">
        <v>6</v>
      </c>
      <c r="L202" s="2">
        <v>4604</v>
      </c>
      <c r="M202" s="2">
        <v>3423</v>
      </c>
      <c r="N202" s="3">
        <v>25.7</v>
      </c>
      <c r="O202" s="2">
        <v>20538</v>
      </c>
      <c r="P202" s="2">
        <v>2661.02</v>
      </c>
      <c r="Q202" s="2">
        <v>1026.9000000000001</v>
      </c>
      <c r="R202" s="2">
        <v>0</v>
      </c>
      <c r="S202" s="2">
        <v>6464.8</v>
      </c>
      <c r="T202" s="2">
        <v>497.55</v>
      </c>
      <c r="U202" s="1">
        <v>0</v>
      </c>
      <c r="V202" s="2">
        <v>0</v>
      </c>
      <c r="W202" s="1"/>
      <c r="X202" s="2">
        <v>20538</v>
      </c>
      <c r="Y202" s="4">
        <v>9887.73</v>
      </c>
      <c r="Z202" s="3">
        <v>48.1</v>
      </c>
      <c r="AA202" s="1" t="s">
        <v>60</v>
      </c>
      <c r="AB202" s="1">
        <v>12367</v>
      </c>
      <c r="AC202" s="1">
        <v>566</v>
      </c>
      <c r="AD202" s="3">
        <v>4.58</v>
      </c>
      <c r="AE202" s="1">
        <v>21</v>
      </c>
      <c r="AF202" s="3">
        <v>0.7</v>
      </c>
      <c r="AG202" s="1"/>
      <c r="AH202" s="1" t="s">
        <v>49</v>
      </c>
      <c r="AI202" s="1" t="s">
        <v>86</v>
      </c>
      <c r="AJ202" s="1">
        <v>3</v>
      </c>
      <c r="AK202" s="1">
        <v>89</v>
      </c>
      <c r="AL202" s="1" t="s">
        <v>51</v>
      </c>
    </row>
    <row r="203" spans="1:38" ht="16.05" customHeight="1">
      <c r="A203" s="5" t="s">
        <v>871</v>
      </c>
      <c r="B203" s="23">
        <v>45646</v>
      </c>
      <c r="C203" s="5" t="s">
        <v>872</v>
      </c>
      <c r="D203" s="5" t="s">
        <v>98</v>
      </c>
      <c r="E203" s="5" t="s">
        <v>449</v>
      </c>
      <c r="F203" s="5" t="s">
        <v>67</v>
      </c>
      <c r="G203" s="5" t="s">
        <v>873</v>
      </c>
      <c r="H203" s="5" t="s">
        <v>874</v>
      </c>
      <c r="I203" s="5" t="s">
        <v>46</v>
      </c>
      <c r="J203" s="5" t="s">
        <v>103</v>
      </c>
      <c r="K203" s="5">
        <v>6</v>
      </c>
      <c r="L203" s="6">
        <v>3536</v>
      </c>
      <c r="M203" s="6">
        <v>3059</v>
      </c>
      <c r="N203" s="7">
        <v>13.5</v>
      </c>
      <c r="O203" s="6">
        <v>18354</v>
      </c>
      <c r="P203" s="6">
        <v>2675.36</v>
      </c>
      <c r="Q203" s="6">
        <v>0</v>
      </c>
      <c r="R203" s="6">
        <v>88.44</v>
      </c>
      <c r="S203" s="6">
        <v>8162.71</v>
      </c>
      <c r="T203" s="6">
        <v>181.29</v>
      </c>
      <c r="U203" s="5">
        <v>5</v>
      </c>
      <c r="V203" s="6">
        <v>15295</v>
      </c>
      <c r="W203" s="5" t="s">
        <v>104</v>
      </c>
      <c r="X203" s="6">
        <v>3059</v>
      </c>
      <c r="Y203" s="11">
        <v>-8048.8</v>
      </c>
      <c r="Z203" s="7">
        <v>-263.10000000000002</v>
      </c>
      <c r="AA203" s="5" t="s">
        <v>60</v>
      </c>
      <c r="AB203" s="5">
        <v>2643</v>
      </c>
      <c r="AC203" s="5">
        <v>11</v>
      </c>
      <c r="AD203" s="7">
        <v>0.42</v>
      </c>
      <c r="AE203" s="5">
        <v>2</v>
      </c>
      <c r="AF203" s="7">
        <v>3</v>
      </c>
      <c r="AG203" s="5"/>
      <c r="AH203" s="5" t="s">
        <v>49</v>
      </c>
      <c r="AI203" s="5" t="s">
        <v>153</v>
      </c>
      <c r="AJ203" s="5">
        <v>5</v>
      </c>
      <c r="AK203" s="5">
        <v>64</v>
      </c>
      <c r="AL203" s="5" t="s">
        <v>51</v>
      </c>
    </row>
    <row r="204" spans="1:38" ht="16.05" customHeight="1">
      <c r="A204" s="1" t="s">
        <v>875</v>
      </c>
      <c r="B204" s="22">
        <v>45377</v>
      </c>
      <c r="C204" s="1"/>
      <c r="D204" s="1" t="s">
        <v>81</v>
      </c>
      <c r="E204" s="1" t="s">
        <v>185</v>
      </c>
      <c r="F204" s="1" t="s">
        <v>203</v>
      </c>
      <c r="G204" s="1" t="s">
        <v>876</v>
      </c>
      <c r="H204" s="1" t="s">
        <v>877</v>
      </c>
      <c r="I204" s="1" t="s">
        <v>46</v>
      </c>
      <c r="J204" s="1" t="s">
        <v>136</v>
      </c>
      <c r="K204" s="1">
        <v>9</v>
      </c>
      <c r="L204" s="2">
        <v>3233</v>
      </c>
      <c r="M204" s="2">
        <v>2435</v>
      </c>
      <c r="N204" s="3">
        <v>24.7</v>
      </c>
      <c r="O204" s="2">
        <v>21915</v>
      </c>
      <c r="P204" s="2">
        <v>3085.34</v>
      </c>
      <c r="Q204" s="2">
        <v>0</v>
      </c>
      <c r="R204" s="2">
        <v>100.36</v>
      </c>
      <c r="S204" s="2">
        <v>11854.94</v>
      </c>
      <c r="T204" s="2">
        <v>285.54000000000002</v>
      </c>
      <c r="U204" s="1">
        <v>0</v>
      </c>
      <c r="V204" s="2">
        <v>0</v>
      </c>
      <c r="W204" s="1"/>
      <c r="X204" s="2">
        <v>21915</v>
      </c>
      <c r="Y204" s="4">
        <v>6588.82</v>
      </c>
      <c r="Z204" s="3">
        <v>30.1</v>
      </c>
      <c r="AA204" s="1" t="s">
        <v>60</v>
      </c>
      <c r="AB204" s="1">
        <v>11669</v>
      </c>
      <c r="AC204" s="1">
        <v>80</v>
      </c>
      <c r="AD204" s="3">
        <v>0.69</v>
      </c>
      <c r="AE204" s="1">
        <v>1</v>
      </c>
      <c r="AF204" s="3">
        <v>11.7</v>
      </c>
      <c r="AG204" s="1"/>
      <c r="AH204" s="1" t="s">
        <v>49</v>
      </c>
      <c r="AI204" s="1" t="s">
        <v>176</v>
      </c>
      <c r="AJ204" s="1">
        <v>3</v>
      </c>
      <c r="AK204" s="1">
        <v>12</v>
      </c>
      <c r="AL204" s="9" t="s">
        <v>71</v>
      </c>
    </row>
    <row r="205" spans="1:38" ht="16.05" customHeight="1">
      <c r="A205" s="5" t="s">
        <v>878</v>
      </c>
      <c r="B205" s="23">
        <v>45035</v>
      </c>
      <c r="C205" s="5" t="s">
        <v>879</v>
      </c>
      <c r="D205" s="5" t="s">
        <v>41</v>
      </c>
      <c r="E205" s="5" t="s">
        <v>395</v>
      </c>
      <c r="F205" s="5" t="s">
        <v>256</v>
      </c>
      <c r="G205" s="5" t="s">
        <v>880</v>
      </c>
      <c r="H205" s="5" t="s">
        <v>881</v>
      </c>
      <c r="I205" s="5" t="s">
        <v>59</v>
      </c>
      <c r="J205" s="5" t="s">
        <v>47</v>
      </c>
      <c r="K205" s="5">
        <v>3</v>
      </c>
      <c r="L205" s="6">
        <v>4497</v>
      </c>
      <c r="M205" s="6">
        <v>3936</v>
      </c>
      <c r="N205" s="7">
        <v>12.5</v>
      </c>
      <c r="O205" s="6">
        <v>11808</v>
      </c>
      <c r="P205" s="6">
        <v>1640.96</v>
      </c>
      <c r="Q205" s="6">
        <v>590.4</v>
      </c>
      <c r="R205" s="6">
        <v>0</v>
      </c>
      <c r="S205" s="6">
        <v>6453.52</v>
      </c>
      <c r="T205" s="6">
        <v>211.14</v>
      </c>
      <c r="U205" s="5">
        <v>0</v>
      </c>
      <c r="V205" s="6">
        <v>0</v>
      </c>
      <c r="W205" s="5"/>
      <c r="X205" s="6">
        <v>11808</v>
      </c>
      <c r="Y205" s="8">
        <v>2911.98</v>
      </c>
      <c r="Z205" s="7">
        <v>24.7</v>
      </c>
      <c r="AA205" s="5" t="s">
        <v>48</v>
      </c>
      <c r="AB205" s="5">
        <v>13365</v>
      </c>
      <c r="AC205" s="5">
        <v>543</v>
      </c>
      <c r="AD205" s="7">
        <v>4.0599999999999996</v>
      </c>
      <c r="AE205" s="5">
        <v>29</v>
      </c>
      <c r="AF205" s="7">
        <v>0.2</v>
      </c>
      <c r="AG205" s="5">
        <v>3</v>
      </c>
      <c r="AH205" s="5" t="s">
        <v>49</v>
      </c>
      <c r="AI205" s="5" t="s">
        <v>308</v>
      </c>
      <c r="AJ205" s="5">
        <v>1</v>
      </c>
      <c r="AK205" s="5">
        <v>178</v>
      </c>
      <c r="AL205" s="5" t="s">
        <v>51</v>
      </c>
    </row>
    <row r="206" spans="1:38" ht="16.05" customHeight="1">
      <c r="A206" s="1" t="s">
        <v>882</v>
      </c>
      <c r="B206" s="22">
        <v>45459</v>
      </c>
      <c r="C206" s="1"/>
      <c r="D206" s="1" t="s">
        <v>41</v>
      </c>
      <c r="E206" s="1" t="s">
        <v>289</v>
      </c>
      <c r="F206" s="1" t="s">
        <v>256</v>
      </c>
      <c r="G206" s="1" t="s">
        <v>883</v>
      </c>
      <c r="H206" s="1" t="s">
        <v>884</v>
      </c>
      <c r="I206" s="1" t="s">
        <v>59</v>
      </c>
      <c r="J206" s="1" t="s">
        <v>136</v>
      </c>
      <c r="K206" s="1">
        <v>10</v>
      </c>
      <c r="L206" s="2">
        <v>2163</v>
      </c>
      <c r="M206" s="2">
        <v>1695</v>
      </c>
      <c r="N206" s="3">
        <v>21.6</v>
      </c>
      <c r="O206" s="2">
        <v>16950</v>
      </c>
      <c r="P206" s="2">
        <v>2807.7</v>
      </c>
      <c r="Q206" s="2">
        <v>847.5</v>
      </c>
      <c r="R206" s="2">
        <v>0</v>
      </c>
      <c r="S206" s="2">
        <v>7268.27</v>
      </c>
      <c r="T206" s="2">
        <v>0</v>
      </c>
      <c r="U206" s="1">
        <v>0</v>
      </c>
      <c r="V206" s="2">
        <v>0</v>
      </c>
      <c r="W206" s="1"/>
      <c r="X206" s="2">
        <v>16950</v>
      </c>
      <c r="Y206" s="4">
        <v>6026.53</v>
      </c>
      <c r="Z206" s="3">
        <v>35.6</v>
      </c>
      <c r="AA206" s="1" t="s">
        <v>60</v>
      </c>
      <c r="AB206" s="1">
        <v>0</v>
      </c>
      <c r="AC206" s="1">
        <v>0</v>
      </c>
      <c r="AD206" s="3">
        <v>0</v>
      </c>
      <c r="AE206" s="1">
        <v>0</v>
      </c>
      <c r="AF206" s="3">
        <v>0</v>
      </c>
      <c r="AG206" s="1"/>
      <c r="AH206" s="1" t="s">
        <v>49</v>
      </c>
      <c r="AI206" s="1" t="s">
        <v>153</v>
      </c>
      <c r="AJ206" s="1">
        <v>1</v>
      </c>
      <c r="AK206" s="1">
        <v>44</v>
      </c>
      <c r="AL206" s="1" t="s">
        <v>51</v>
      </c>
    </row>
    <row r="207" spans="1:38" ht="16.05" customHeight="1">
      <c r="A207" s="5" t="s">
        <v>885</v>
      </c>
      <c r="B207" s="23">
        <v>45517</v>
      </c>
      <c r="C207" s="5" t="s">
        <v>886</v>
      </c>
      <c r="D207" s="5" t="s">
        <v>54</v>
      </c>
      <c r="E207" s="5" t="s">
        <v>55</v>
      </c>
      <c r="F207" s="5" t="s">
        <v>222</v>
      </c>
      <c r="G207" s="5" t="s">
        <v>887</v>
      </c>
      <c r="H207" s="5" t="s">
        <v>888</v>
      </c>
      <c r="I207" s="5" t="s">
        <v>59</v>
      </c>
      <c r="J207" s="5" t="s">
        <v>47</v>
      </c>
      <c r="K207" s="5">
        <v>4</v>
      </c>
      <c r="L207" s="6">
        <v>944</v>
      </c>
      <c r="M207" s="6">
        <v>798</v>
      </c>
      <c r="N207" s="7">
        <v>15.5</v>
      </c>
      <c r="O207" s="6">
        <v>3192</v>
      </c>
      <c r="P207" s="6">
        <v>574.48</v>
      </c>
      <c r="Q207" s="6">
        <v>159.6</v>
      </c>
      <c r="R207" s="6">
        <v>0</v>
      </c>
      <c r="S207" s="6">
        <v>1454.82</v>
      </c>
      <c r="T207" s="6">
        <v>388.52</v>
      </c>
      <c r="U207" s="5">
        <v>0</v>
      </c>
      <c r="V207" s="6">
        <v>0</v>
      </c>
      <c r="W207" s="5"/>
      <c r="X207" s="6">
        <v>3192</v>
      </c>
      <c r="Y207" s="8">
        <v>614.58000000000004</v>
      </c>
      <c r="Z207" s="7">
        <v>19.3</v>
      </c>
      <c r="AA207" s="5" t="s">
        <v>78</v>
      </c>
      <c r="AB207" s="5">
        <v>4119</v>
      </c>
      <c r="AC207" s="5">
        <v>295</v>
      </c>
      <c r="AD207" s="7">
        <v>7.16</v>
      </c>
      <c r="AE207" s="5">
        <v>48</v>
      </c>
      <c r="AF207" s="7">
        <v>1</v>
      </c>
      <c r="AG207" s="5">
        <v>3</v>
      </c>
      <c r="AH207" s="5" t="s">
        <v>49</v>
      </c>
      <c r="AI207" s="5" t="s">
        <v>62</v>
      </c>
      <c r="AJ207" s="5">
        <v>1</v>
      </c>
      <c r="AK207" s="5">
        <v>101</v>
      </c>
      <c r="AL207" s="5" t="s">
        <v>51</v>
      </c>
    </row>
    <row r="208" spans="1:38" ht="16.05" customHeight="1">
      <c r="A208" s="1" t="s">
        <v>889</v>
      </c>
      <c r="B208" s="22">
        <v>45454</v>
      </c>
      <c r="C208" s="1" t="s">
        <v>691</v>
      </c>
      <c r="D208" s="1" t="s">
        <v>144</v>
      </c>
      <c r="E208" s="1" t="s">
        <v>173</v>
      </c>
      <c r="F208" s="1" t="s">
        <v>222</v>
      </c>
      <c r="G208" s="1" t="s">
        <v>890</v>
      </c>
      <c r="H208" s="1" t="s">
        <v>891</v>
      </c>
      <c r="I208" s="1" t="s">
        <v>59</v>
      </c>
      <c r="J208" s="1" t="s">
        <v>47</v>
      </c>
      <c r="K208" s="1">
        <v>7</v>
      </c>
      <c r="L208" s="2">
        <v>1204</v>
      </c>
      <c r="M208" s="2">
        <v>939</v>
      </c>
      <c r="N208" s="3">
        <v>22</v>
      </c>
      <c r="O208" s="2">
        <v>6573</v>
      </c>
      <c r="P208" s="2">
        <v>1141.07</v>
      </c>
      <c r="Q208" s="2">
        <v>328.65</v>
      </c>
      <c r="R208" s="2">
        <v>0</v>
      </c>
      <c r="S208" s="2">
        <v>3556.24</v>
      </c>
      <c r="T208" s="2">
        <v>214.17</v>
      </c>
      <c r="U208" s="1">
        <v>0</v>
      </c>
      <c r="V208" s="2">
        <v>0</v>
      </c>
      <c r="W208" s="1"/>
      <c r="X208" s="2">
        <v>6573</v>
      </c>
      <c r="Y208" s="4">
        <v>1332.87</v>
      </c>
      <c r="Z208" s="3">
        <v>20.3</v>
      </c>
      <c r="AA208" s="1" t="s">
        <v>60</v>
      </c>
      <c r="AB208" s="1">
        <v>6420</v>
      </c>
      <c r="AC208" s="1">
        <v>185</v>
      </c>
      <c r="AD208" s="3">
        <v>2.88</v>
      </c>
      <c r="AE208" s="1">
        <v>18</v>
      </c>
      <c r="AF208" s="3">
        <v>1.3</v>
      </c>
      <c r="AG208" s="1">
        <v>1</v>
      </c>
      <c r="AH208" s="1" t="s">
        <v>49</v>
      </c>
      <c r="AI208" s="1" t="s">
        <v>308</v>
      </c>
      <c r="AJ208" s="1">
        <v>2</v>
      </c>
      <c r="AK208" s="1">
        <v>149</v>
      </c>
      <c r="AL208" s="1" t="s">
        <v>51</v>
      </c>
    </row>
    <row r="209" spans="1:38" ht="16.05" customHeight="1">
      <c r="A209" s="5" t="s">
        <v>892</v>
      </c>
      <c r="B209" s="23">
        <v>45021</v>
      </c>
      <c r="C209" s="5" t="s">
        <v>189</v>
      </c>
      <c r="D209" s="5" t="s">
        <v>81</v>
      </c>
      <c r="E209" s="5" t="s">
        <v>82</v>
      </c>
      <c r="F209" s="5" t="s">
        <v>239</v>
      </c>
      <c r="G209" s="5" t="s">
        <v>893</v>
      </c>
      <c r="H209" s="5" t="s">
        <v>894</v>
      </c>
      <c r="I209" s="5" t="s">
        <v>59</v>
      </c>
      <c r="J209" s="5" t="s">
        <v>47</v>
      </c>
      <c r="K209" s="5">
        <v>2</v>
      </c>
      <c r="L209" s="6">
        <v>2118</v>
      </c>
      <c r="M209" s="6">
        <v>1532</v>
      </c>
      <c r="N209" s="7">
        <v>27.7</v>
      </c>
      <c r="O209" s="6">
        <v>3064</v>
      </c>
      <c r="P209" s="6">
        <v>441.6</v>
      </c>
      <c r="Q209" s="6">
        <v>153.19999999999999</v>
      </c>
      <c r="R209" s="6">
        <v>0</v>
      </c>
      <c r="S209" s="6">
        <v>1515.88</v>
      </c>
      <c r="T209" s="6">
        <v>31.8</v>
      </c>
      <c r="U209" s="5">
        <v>0</v>
      </c>
      <c r="V209" s="6">
        <v>0</v>
      </c>
      <c r="W209" s="5"/>
      <c r="X209" s="6">
        <v>3064</v>
      </c>
      <c r="Y209" s="8">
        <v>921.52</v>
      </c>
      <c r="Z209" s="7">
        <v>30.1</v>
      </c>
      <c r="AA209" s="5" t="s">
        <v>60</v>
      </c>
      <c r="AB209" s="5">
        <v>14847</v>
      </c>
      <c r="AC209" s="5">
        <v>239</v>
      </c>
      <c r="AD209" s="7">
        <v>1.61</v>
      </c>
      <c r="AE209" s="5">
        <v>45</v>
      </c>
      <c r="AF209" s="7">
        <v>0</v>
      </c>
      <c r="AG209" s="5">
        <v>4</v>
      </c>
      <c r="AH209" s="5" t="s">
        <v>49</v>
      </c>
      <c r="AI209" s="5" t="s">
        <v>176</v>
      </c>
      <c r="AJ209" s="5">
        <v>3</v>
      </c>
      <c r="AK209" s="5">
        <v>105</v>
      </c>
      <c r="AL209" s="5" t="s">
        <v>51</v>
      </c>
    </row>
    <row r="210" spans="1:38" ht="16.05" customHeight="1">
      <c r="A210" s="1" t="s">
        <v>895</v>
      </c>
      <c r="B210" s="22">
        <v>45149</v>
      </c>
      <c r="C210" s="1" t="s">
        <v>896</v>
      </c>
      <c r="D210" s="1" t="s">
        <v>41</v>
      </c>
      <c r="E210" s="1" t="s">
        <v>160</v>
      </c>
      <c r="F210" s="1" t="s">
        <v>91</v>
      </c>
      <c r="G210" s="1" t="s">
        <v>897</v>
      </c>
      <c r="H210" s="1" t="s">
        <v>898</v>
      </c>
      <c r="I210" s="1" t="s">
        <v>59</v>
      </c>
      <c r="J210" s="1" t="s">
        <v>47</v>
      </c>
      <c r="K210" s="1">
        <v>2</v>
      </c>
      <c r="L210" s="2">
        <v>2481</v>
      </c>
      <c r="M210" s="2">
        <v>1936</v>
      </c>
      <c r="N210" s="3">
        <v>22</v>
      </c>
      <c r="O210" s="2">
        <v>3872</v>
      </c>
      <c r="P210" s="2">
        <v>599.76</v>
      </c>
      <c r="Q210" s="2">
        <v>193.6</v>
      </c>
      <c r="R210" s="2">
        <v>0</v>
      </c>
      <c r="S210" s="2">
        <v>1492.01</v>
      </c>
      <c r="T210" s="2">
        <v>210.67</v>
      </c>
      <c r="U210" s="1">
        <v>0</v>
      </c>
      <c r="V210" s="2">
        <v>0</v>
      </c>
      <c r="W210" s="1"/>
      <c r="X210" s="2">
        <v>3872</v>
      </c>
      <c r="Y210" s="4">
        <v>1375.96</v>
      </c>
      <c r="Z210" s="3">
        <v>35.5</v>
      </c>
      <c r="AA210" s="1" t="s">
        <v>48</v>
      </c>
      <c r="AB210" s="1">
        <v>4534</v>
      </c>
      <c r="AC210" s="1">
        <v>203</v>
      </c>
      <c r="AD210" s="3">
        <v>4.4800000000000004</v>
      </c>
      <c r="AE210" s="1">
        <v>23</v>
      </c>
      <c r="AF210" s="3">
        <v>0.5</v>
      </c>
      <c r="AG210" s="1">
        <v>3</v>
      </c>
      <c r="AH210" s="1" t="s">
        <v>61</v>
      </c>
      <c r="AI210" s="1" t="s">
        <v>50</v>
      </c>
      <c r="AJ210" s="1">
        <v>3</v>
      </c>
      <c r="AK210" s="1">
        <v>136</v>
      </c>
      <c r="AL210" s="1" t="s">
        <v>51</v>
      </c>
    </row>
    <row r="211" spans="1:38" ht="16.05" customHeight="1">
      <c r="A211" s="5" t="s">
        <v>899</v>
      </c>
      <c r="B211" s="23">
        <v>45445</v>
      </c>
      <c r="C211" s="5" t="s">
        <v>900</v>
      </c>
      <c r="D211" s="5" t="s">
        <v>98</v>
      </c>
      <c r="E211" s="5" t="s">
        <v>99</v>
      </c>
      <c r="F211" s="5" t="s">
        <v>100</v>
      </c>
      <c r="G211" s="5" t="s">
        <v>901</v>
      </c>
      <c r="H211" s="5" t="s">
        <v>902</v>
      </c>
      <c r="I211" s="5" t="s">
        <v>59</v>
      </c>
      <c r="J211" s="5" t="s">
        <v>47</v>
      </c>
      <c r="K211" s="5">
        <v>6</v>
      </c>
      <c r="L211" s="6">
        <v>636</v>
      </c>
      <c r="M211" s="6">
        <v>466</v>
      </c>
      <c r="N211" s="7">
        <v>26.7</v>
      </c>
      <c r="O211" s="6">
        <v>2796</v>
      </c>
      <c r="P211" s="6">
        <v>461.63</v>
      </c>
      <c r="Q211" s="6">
        <v>139.80000000000001</v>
      </c>
      <c r="R211" s="6">
        <v>0</v>
      </c>
      <c r="S211" s="6">
        <v>1033.6400000000001</v>
      </c>
      <c r="T211" s="6">
        <v>319.49</v>
      </c>
      <c r="U211" s="5">
        <v>0</v>
      </c>
      <c r="V211" s="6">
        <v>0</v>
      </c>
      <c r="W211" s="5"/>
      <c r="X211" s="6">
        <v>2796</v>
      </c>
      <c r="Y211" s="8">
        <v>841.44</v>
      </c>
      <c r="Z211" s="7">
        <v>30.1</v>
      </c>
      <c r="AA211" s="5" t="s">
        <v>48</v>
      </c>
      <c r="AB211" s="5">
        <v>504</v>
      </c>
      <c r="AC211" s="5">
        <v>24</v>
      </c>
      <c r="AD211" s="7">
        <v>4.76</v>
      </c>
      <c r="AE211" s="5">
        <v>3</v>
      </c>
      <c r="AF211" s="7">
        <v>22.9</v>
      </c>
      <c r="AG211" s="5">
        <v>4</v>
      </c>
      <c r="AH211" s="5" t="s">
        <v>49</v>
      </c>
      <c r="AI211" s="5" t="s">
        <v>176</v>
      </c>
      <c r="AJ211" s="5">
        <v>1</v>
      </c>
      <c r="AK211" s="5">
        <v>40</v>
      </c>
      <c r="AL211" s="5" t="s">
        <v>51</v>
      </c>
    </row>
    <row r="212" spans="1:38" ht="16.05" customHeight="1">
      <c r="A212" s="1" t="s">
        <v>903</v>
      </c>
      <c r="B212" s="22">
        <v>45648</v>
      </c>
      <c r="C212" s="1" t="s">
        <v>360</v>
      </c>
      <c r="D212" s="1" t="s">
        <v>144</v>
      </c>
      <c r="E212" s="1" t="s">
        <v>406</v>
      </c>
      <c r="F212" s="1" t="s">
        <v>125</v>
      </c>
      <c r="G212" s="1" t="s">
        <v>904</v>
      </c>
      <c r="H212" s="1" t="s">
        <v>905</v>
      </c>
      <c r="I212" s="1" t="s">
        <v>46</v>
      </c>
      <c r="J212" s="1" t="s">
        <v>103</v>
      </c>
      <c r="K212" s="1">
        <v>3</v>
      </c>
      <c r="L212" s="2">
        <v>277</v>
      </c>
      <c r="M212" s="2">
        <v>257</v>
      </c>
      <c r="N212" s="3">
        <v>7.2</v>
      </c>
      <c r="O212" s="2">
        <v>771</v>
      </c>
      <c r="P212" s="2">
        <v>130.22999999999999</v>
      </c>
      <c r="Q212" s="2">
        <v>0</v>
      </c>
      <c r="R212" s="2">
        <v>108.64</v>
      </c>
      <c r="S212" s="2">
        <v>279.14</v>
      </c>
      <c r="T212" s="2">
        <v>40.61</v>
      </c>
      <c r="U212" s="1">
        <v>0</v>
      </c>
      <c r="V212" s="2">
        <v>0</v>
      </c>
      <c r="W212" s="1" t="s">
        <v>206</v>
      </c>
      <c r="X212" s="2">
        <v>771</v>
      </c>
      <c r="Y212" s="4">
        <v>212.38</v>
      </c>
      <c r="Z212" s="3">
        <v>27.5</v>
      </c>
      <c r="AA212" s="1" t="s">
        <v>94</v>
      </c>
      <c r="AB212" s="1">
        <v>3662</v>
      </c>
      <c r="AC212" s="1">
        <v>19</v>
      </c>
      <c r="AD212" s="3">
        <v>0.52</v>
      </c>
      <c r="AE212" s="1">
        <v>0</v>
      </c>
      <c r="AF212" s="3">
        <v>0</v>
      </c>
      <c r="AG212" s="1"/>
      <c r="AH212" s="1" t="s">
        <v>49</v>
      </c>
      <c r="AI212" s="1" t="s">
        <v>70</v>
      </c>
      <c r="AJ212" s="1">
        <v>4</v>
      </c>
      <c r="AK212" s="1">
        <v>189</v>
      </c>
      <c r="AL212" s="1" t="s">
        <v>51</v>
      </c>
    </row>
    <row r="213" spans="1:38" ht="16.05" customHeight="1">
      <c r="A213" s="5" t="s">
        <v>906</v>
      </c>
      <c r="B213" s="23">
        <v>45098</v>
      </c>
      <c r="C213" s="5"/>
      <c r="D213" s="5" t="s">
        <v>81</v>
      </c>
      <c r="E213" s="5" t="s">
        <v>139</v>
      </c>
      <c r="F213" s="5" t="s">
        <v>43</v>
      </c>
      <c r="G213" s="5" t="s">
        <v>907</v>
      </c>
      <c r="H213" s="5" t="s">
        <v>908</v>
      </c>
      <c r="I213" s="5" t="s">
        <v>46</v>
      </c>
      <c r="J213" s="5" t="s">
        <v>77</v>
      </c>
      <c r="K213" s="5">
        <v>5</v>
      </c>
      <c r="L213" s="6">
        <v>3715</v>
      </c>
      <c r="M213" s="6">
        <v>2959</v>
      </c>
      <c r="N213" s="7">
        <v>20.3</v>
      </c>
      <c r="O213" s="6">
        <v>14795</v>
      </c>
      <c r="P213" s="6">
        <v>2361.4</v>
      </c>
      <c r="Q213" s="6">
        <v>0</v>
      </c>
      <c r="R213" s="6">
        <v>36.46</v>
      </c>
      <c r="S213" s="6">
        <v>4890.3</v>
      </c>
      <c r="T213" s="6">
        <v>1.1399999999999999</v>
      </c>
      <c r="U213" s="5">
        <v>0</v>
      </c>
      <c r="V213" s="6">
        <v>0</v>
      </c>
      <c r="W213" s="5"/>
      <c r="X213" s="6">
        <v>14795</v>
      </c>
      <c r="Y213" s="8">
        <v>7505.7</v>
      </c>
      <c r="Z213" s="7">
        <v>50.7</v>
      </c>
      <c r="AA213" s="5" t="s">
        <v>78</v>
      </c>
      <c r="AB213" s="5">
        <v>6167</v>
      </c>
      <c r="AC213" s="5">
        <v>251</v>
      </c>
      <c r="AD213" s="7">
        <v>4.07</v>
      </c>
      <c r="AE213" s="5">
        <v>47</v>
      </c>
      <c r="AF213" s="7">
        <v>0</v>
      </c>
      <c r="AG213" s="5"/>
      <c r="AH213" s="5" t="s">
        <v>49</v>
      </c>
      <c r="AI213" s="5" t="s">
        <v>153</v>
      </c>
      <c r="AJ213" s="5">
        <v>4</v>
      </c>
      <c r="AK213" s="5">
        <v>57</v>
      </c>
      <c r="AL213" s="5" t="s">
        <v>51</v>
      </c>
    </row>
    <row r="214" spans="1:38" ht="16.05" customHeight="1">
      <c r="A214" s="1" t="s">
        <v>909</v>
      </c>
      <c r="B214" s="22">
        <v>45375</v>
      </c>
      <c r="C214" s="1" t="s">
        <v>299</v>
      </c>
      <c r="D214" s="1" t="s">
        <v>81</v>
      </c>
      <c r="E214" s="1" t="s">
        <v>139</v>
      </c>
      <c r="F214" s="1" t="s">
        <v>74</v>
      </c>
      <c r="G214" s="1" t="s">
        <v>910</v>
      </c>
      <c r="H214" s="1" t="s">
        <v>911</v>
      </c>
      <c r="I214" s="1" t="s">
        <v>59</v>
      </c>
      <c r="J214" s="1" t="s">
        <v>103</v>
      </c>
      <c r="K214" s="1">
        <v>5</v>
      </c>
      <c r="L214" s="2">
        <v>3362</v>
      </c>
      <c r="M214" s="2">
        <v>3105</v>
      </c>
      <c r="N214" s="3">
        <v>7.6</v>
      </c>
      <c r="O214" s="2">
        <v>15525</v>
      </c>
      <c r="P214" s="2">
        <v>1652.71</v>
      </c>
      <c r="Q214" s="2">
        <v>776.25</v>
      </c>
      <c r="R214" s="2">
        <v>0</v>
      </c>
      <c r="S214" s="2">
        <v>4692.8100000000004</v>
      </c>
      <c r="T214" s="2">
        <v>76.83</v>
      </c>
      <c r="U214" s="1">
        <v>3</v>
      </c>
      <c r="V214" s="2">
        <v>9315</v>
      </c>
      <c r="W214" s="1" t="s">
        <v>104</v>
      </c>
      <c r="X214" s="2">
        <v>6210</v>
      </c>
      <c r="Y214" s="10">
        <v>-988.6</v>
      </c>
      <c r="Z214" s="3">
        <v>-15.9</v>
      </c>
      <c r="AA214" s="1" t="s">
        <v>94</v>
      </c>
      <c r="AB214" s="1">
        <v>4259</v>
      </c>
      <c r="AC214" s="1">
        <v>260</v>
      </c>
      <c r="AD214" s="3">
        <v>6.1</v>
      </c>
      <c r="AE214" s="1">
        <v>25</v>
      </c>
      <c r="AF214" s="3">
        <v>0.1</v>
      </c>
      <c r="AG214" s="1"/>
      <c r="AH214" s="1" t="s">
        <v>49</v>
      </c>
      <c r="AI214" s="1" t="s">
        <v>86</v>
      </c>
      <c r="AJ214" s="1">
        <v>1</v>
      </c>
      <c r="AK214" s="1">
        <v>79</v>
      </c>
      <c r="AL214" s="1" t="s">
        <v>51</v>
      </c>
    </row>
    <row r="215" spans="1:38" ht="16.05" customHeight="1">
      <c r="A215" s="5" t="s">
        <v>912</v>
      </c>
      <c r="B215" s="23">
        <v>45159</v>
      </c>
      <c r="C215" s="5"/>
      <c r="D215" s="5" t="s">
        <v>41</v>
      </c>
      <c r="E215" s="5" t="s">
        <v>335</v>
      </c>
      <c r="F215" s="5" t="s">
        <v>67</v>
      </c>
      <c r="G215" s="5" t="s">
        <v>913</v>
      </c>
      <c r="H215" s="5" t="s">
        <v>914</v>
      </c>
      <c r="I215" s="5" t="s">
        <v>59</v>
      </c>
      <c r="J215" s="5" t="s">
        <v>85</v>
      </c>
      <c r="K215" s="5">
        <v>6</v>
      </c>
      <c r="L215" s="6">
        <v>4565</v>
      </c>
      <c r="M215" s="6">
        <v>3395</v>
      </c>
      <c r="N215" s="7">
        <v>25.6</v>
      </c>
      <c r="O215" s="6">
        <v>20370</v>
      </c>
      <c r="P215" s="6">
        <v>2228.21</v>
      </c>
      <c r="Q215" s="6">
        <v>1018.5</v>
      </c>
      <c r="R215" s="6">
        <v>0</v>
      </c>
      <c r="S215" s="6">
        <v>10280.959999999999</v>
      </c>
      <c r="T215" s="6">
        <v>182.21</v>
      </c>
      <c r="U215" s="5">
        <v>0</v>
      </c>
      <c r="V215" s="6">
        <v>0</v>
      </c>
      <c r="W215" s="5"/>
      <c r="X215" s="6">
        <v>20370</v>
      </c>
      <c r="Y215" s="8">
        <v>6660.12</v>
      </c>
      <c r="Z215" s="7">
        <v>32.700000000000003</v>
      </c>
      <c r="AA215" s="5" t="s">
        <v>94</v>
      </c>
      <c r="AB215" s="5">
        <v>13575</v>
      </c>
      <c r="AC215" s="5">
        <v>859</v>
      </c>
      <c r="AD215" s="7">
        <v>6.33</v>
      </c>
      <c r="AE215" s="5">
        <v>146</v>
      </c>
      <c r="AF215" s="7">
        <v>0</v>
      </c>
      <c r="AG215" s="5"/>
      <c r="AH215" s="5" t="s">
        <v>49</v>
      </c>
      <c r="AI215" s="5" t="s">
        <v>176</v>
      </c>
      <c r="AJ215" s="5">
        <v>2</v>
      </c>
      <c r="AK215" s="5">
        <v>52</v>
      </c>
      <c r="AL215" s="5" t="s">
        <v>51</v>
      </c>
    </row>
    <row r="216" spans="1:38" ht="16.05" customHeight="1">
      <c r="A216" s="1" t="s">
        <v>915</v>
      </c>
      <c r="B216" s="22">
        <v>45391</v>
      </c>
      <c r="C216" s="1" t="s">
        <v>264</v>
      </c>
      <c r="D216" s="1" t="s">
        <v>41</v>
      </c>
      <c r="E216" s="1" t="s">
        <v>213</v>
      </c>
      <c r="F216" s="1" t="s">
        <v>115</v>
      </c>
      <c r="G216" s="1" t="s">
        <v>916</v>
      </c>
      <c r="H216" s="1" t="s">
        <v>917</v>
      </c>
      <c r="I216" s="1" t="s">
        <v>59</v>
      </c>
      <c r="J216" s="1" t="s">
        <v>47</v>
      </c>
      <c r="K216" s="1">
        <v>6</v>
      </c>
      <c r="L216" s="2">
        <v>557</v>
      </c>
      <c r="M216" s="2">
        <v>394</v>
      </c>
      <c r="N216" s="3">
        <v>29.3</v>
      </c>
      <c r="O216" s="2">
        <v>2364</v>
      </c>
      <c r="P216" s="2">
        <v>401.99</v>
      </c>
      <c r="Q216" s="2">
        <v>118.2</v>
      </c>
      <c r="R216" s="2">
        <v>0</v>
      </c>
      <c r="S216" s="2">
        <v>713.97</v>
      </c>
      <c r="T216" s="2">
        <v>240.92</v>
      </c>
      <c r="U216" s="1">
        <v>0</v>
      </c>
      <c r="V216" s="2">
        <v>0</v>
      </c>
      <c r="W216" s="1"/>
      <c r="X216" s="2">
        <v>2364</v>
      </c>
      <c r="Y216" s="4">
        <v>888.92</v>
      </c>
      <c r="Z216" s="3">
        <v>37.6</v>
      </c>
      <c r="AA216" s="1" t="s">
        <v>60</v>
      </c>
      <c r="AB216" s="1">
        <v>868</v>
      </c>
      <c r="AC216" s="1">
        <v>43</v>
      </c>
      <c r="AD216" s="3">
        <v>4.95</v>
      </c>
      <c r="AE216" s="1">
        <v>7</v>
      </c>
      <c r="AF216" s="3">
        <v>8.6999999999999993</v>
      </c>
      <c r="AG216" s="1">
        <v>1</v>
      </c>
      <c r="AH216" s="1" t="s">
        <v>49</v>
      </c>
      <c r="AI216" s="1" t="s">
        <v>163</v>
      </c>
      <c r="AJ216" s="1">
        <v>2</v>
      </c>
      <c r="AK216" s="1">
        <v>62</v>
      </c>
      <c r="AL216" s="1" t="s">
        <v>51</v>
      </c>
    </row>
    <row r="217" spans="1:38" ht="16.05" customHeight="1">
      <c r="A217" s="5" t="s">
        <v>918</v>
      </c>
      <c r="B217" s="23">
        <v>45394</v>
      </c>
      <c r="C217" s="5" t="s">
        <v>570</v>
      </c>
      <c r="D217" s="5" t="s">
        <v>81</v>
      </c>
      <c r="E217" s="5" t="s">
        <v>82</v>
      </c>
      <c r="F217" s="5" t="s">
        <v>329</v>
      </c>
      <c r="G217" s="5" t="s">
        <v>919</v>
      </c>
      <c r="H217" s="5" t="s">
        <v>920</v>
      </c>
      <c r="I217" s="5" t="s">
        <v>59</v>
      </c>
      <c r="J217" s="5" t="s">
        <v>47</v>
      </c>
      <c r="K217" s="5">
        <v>3</v>
      </c>
      <c r="L217" s="6">
        <v>441</v>
      </c>
      <c r="M217" s="6">
        <v>338</v>
      </c>
      <c r="N217" s="7">
        <v>23.4</v>
      </c>
      <c r="O217" s="6">
        <v>1014</v>
      </c>
      <c r="P217" s="6">
        <v>105.08</v>
      </c>
      <c r="Q217" s="6">
        <v>50.7</v>
      </c>
      <c r="R217" s="6">
        <v>0</v>
      </c>
      <c r="S217" s="6">
        <v>511.39</v>
      </c>
      <c r="T217" s="6">
        <v>0</v>
      </c>
      <c r="U217" s="5">
        <v>0</v>
      </c>
      <c r="V217" s="6">
        <v>0</v>
      </c>
      <c r="W217" s="5"/>
      <c r="X217" s="6">
        <v>1014</v>
      </c>
      <c r="Y217" s="8">
        <v>346.83</v>
      </c>
      <c r="Z217" s="7">
        <v>34.200000000000003</v>
      </c>
      <c r="AA217" s="5" t="s">
        <v>60</v>
      </c>
      <c r="AB217" s="5">
        <v>0</v>
      </c>
      <c r="AC217" s="5">
        <v>0</v>
      </c>
      <c r="AD217" s="7">
        <v>0</v>
      </c>
      <c r="AE217" s="5">
        <v>0</v>
      </c>
      <c r="AF217" s="7">
        <v>0</v>
      </c>
      <c r="AG217" s="5">
        <v>5</v>
      </c>
      <c r="AH217" s="5" t="s">
        <v>61</v>
      </c>
      <c r="AI217" s="5" t="s">
        <v>105</v>
      </c>
      <c r="AJ217" s="5">
        <v>3</v>
      </c>
      <c r="AK217" s="5">
        <v>120</v>
      </c>
      <c r="AL217" s="5" t="s">
        <v>51</v>
      </c>
    </row>
    <row r="218" spans="1:38" ht="16.05" customHeight="1">
      <c r="A218" s="1" t="s">
        <v>921</v>
      </c>
      <c r="B218" s="22">
        <v>45554</v>
      </c>
      <c r="C218" s="1" t="s">
        <v>922</v>
      </c>
      <c r="D218" s="1" t="s">
        <v>144</v>
      </c>
      <c r="E218" s="1" t="s">
        <v>166</v>
      </c>
      <c r="F218" s="1" t="s">
        <v>329</v>
      </c>
      <c r="G218" s="1" t="s">
        <v>923</v>
      </c>
      <c r="H218" s="1" t="s">
        <v>924</v>
      </c>
      <c r="I218" s="1" t="s">
        <v>46</v>
      </c>
      <c r="J218" s="1" t="s">
        <v>103</v>
      </c>
      <c r="K218" s="1">
        <v>9</v>
      </c>
      <c r="L218" s="2">
        <v>419</v>
      </c>
      <c r="M218" s="2">
        <v>341</v>
      </c>
      <c r="N218" s="3">
        <v>18.600000000000001</v>
      </c>
      <c r="O218" s="2">
        <v>3069</v>
      </c>
      <c r="P218" s="2">
        <v>408.5</v>
      </c>
      <c r="Q218" s="2">
        <v>0</v>
      </c>
      <c r="R218" s="2">
        <v>85.45</v>
      </c>
      <c r="S218" s="2">
        <v>1476.67</v>
      </c>
      <c r="T218" s="2">
        <v>478.62</v>
      </c>
      <c r="U218" s="1">
        <v>6</v>
      </c>
      <c r="V218" s="2">
        <v>2046</v>
      </c>
      <c r="W218" s="1" t="s">
        <v>104</v>
      </c>
      <c r="X218" s="2">
        <v>1023</v>
      </c>
      <c r="Y218" s="10">
        <v>-1426.24</v>
      </c>
      <c r="Z218" s="3">
        <v>-139.4</v>
      </c>
      <c r="AA218" s="1" t="s">
        <v>94</v>
      </c>
      <c r="AB218" s="1">
        <v>9041</v>
      </c>
      <c r="AC218" s="1">
        <v>112</v>
      </c>
      <c r="AD218" s="3">
        <v>1.24</v>
      </c>
      <c r="AE218" s="1">
        <v>9</v>
      </c>
      <c r="AF218" s="3">
        <v>15.6</v>
      </c>
      <c r="AG218" s="1"/>
      <c r="AH218" s="1" t="s">
        <v>49</v>
      </c>
      <c r="AI218" s="1" t="s">
        <v>176</v>
      </c>
      <c r="AJ218" s="1">
        <v>3</v>
      </c>
      <c r="AK218" s="1">
        <v>112</v>
      </c>
      <c r="AL218" s="1" t="s">
        <v>51</v>
      </c>
    </row>
    <row r="219" spans="1:38" ht="16.05" customHeight="1">
      <c r="A219" s="5" t="s">
        <v>925</v>
      </c>
      <c r="B219" s="23">
        <v>45401</v>
      </c>
      <c r="C219" s="5" t="s">
        <v>516</v>
      </c>
      <c r="D219" s="5" t="s">
        <v>98</v>
      </c>
      <c r="E219" s="5" t="s">
        <v>114</v>
      </c>
      <c r="F219" s="5" t="s">
        <v>197</v>
      </c>
      <c r="G219" s="5" t="s">
        <v>926</v>
      </c>
      <c r="H219" s="5" t="s">
        <v>927</v>
      </c>
      <c r="I219" s="5" t="s">
        <v>59</v>
      </c>
      <c r="J219" s="5" t="s">
        <v>47</v>
      </c>
      <c r="K219" s="5">
        <v>10</v>
      </c>
      <c r="L219" s="6">
        <v>2305</v>
      </c>
      <c r="M219" s="6">
        <v>2119</v>
      </c>
      <c r="N219" s="7">
        <v>8.1</v>
      </c>
      <c r="O219" s="6">
        <v>21190</v>
      </c>
      <c r="P219" s="6">
        <v>3770.49</v>
      </c>
      <c r="Q219" s="6">
        <v>1059.5</v>
      </c>
      <c r="R219" s="6">
        <v>0</v>
      </c>
      <c r="S219" s="6">
        <v>6502.32</v>
      </c>
      <c r="T219" s="6">
        <v>182.78</v>
      </c>
      <c r="U219" s="5">
        <v>0</v>
      </c>
      <c r="V219" s="6">
        <v>0</v>
      </c>
      <c r="W219" s="5"/>
      <c r="X219" s="6">
        <v>21190</v>
      </c>
      <c r="Y219" s="8">
        <v>9674.91</v>
      </c>
      <c r="Z219" s="7">
        <v>45.7</v>
      </c>
      <c r="AA219" s="5" t="s">
        <v>94</v>
      </c>
      <c r="AB219" s="5">
        <v>6612</v>
      </c>
      <c r="AC219" s="5">
        <v>152</v>
      </c>
      <c r="AD219" s="7">
        <v>2.2999999999999998</v>
      </c>
      <c r="AE219" s="5">
        <v>17</v>
      </c>
      <c r="AF219" s="7">
        <v>0.5</v>
      </c>
      <c r="AG219" s="5">
        <v>5</v>
      </c>
      <c r="AH219" s="5" t="s">
        <v>61</v>
      </c>
      <c r="AI219" s="5" t="s">
        <v>86</v>
      </c>
      <c r="AJ219" s="5">
        <v>3</v>
      </c>
      <c r="AK219" s="5">
        <v>93</v>
      </c>
      <c r="AL219" s="5" t="s">
        <v>51</v>
      </c>
    </row>
    <row r="220" spans="1:38" ht="16.05" customHeight="1">
      <c r="A220" s="1" t="s">
        <v>928</v>
      </c>
      <c r="B220" s="22">
        <v>45210</v>
      </c>
      <c r="C220" s="1" t="s">
        <v>929</v>
      </c>
      <c r="D220" s="1" t="s">
        <v>81</v>
      </c>
      <c r="E220" s="1" t="s">
        <v>90</v>
      </c>
      <c r="F220" s="1" t="s">
        <v>91</v>
      </c>
      <c r="G220" s="1" t="s">
        <v>930</v>
      </c>
      <c r="H220" s="1" t="s">
        <v>931</v>
      </c>
      <c r="I220" s="1" t="s">
        <v>46</v>
      </c>
      <c r="J220" s="1" t="s">
        <v>47</v>
      </c>
      <c r="K220" s="1">
        <v>10</v>
      </c>
      <c r="L220" s="2">
        <v>2806</v>
      </c>
      <c r="M220" s="2">
        <v>2052</v>
      </c>
      <c r="N220" s="3">
        <v>26.9</v>
      </c>
      <c r="O220" s="2">
        <v>20520</v>
      </c>
      <c r="P220" s="2">
        <v>3323.08</v>
      </c>
      <c r="Q220" s="2">
        <v>0</v>
      </c>
      <c r="R220" s="2">
        <v>82.43</v>
      </c>
      <c r="S220" s="2">
        <v>6540.3</v>
      </c>
      <c r="T220" s="2">
        <v>181.66</v>
      </c>
      <c r="U220" s="1">
        <v>0</v>
      </c>
      <c r="V220" s="2">
        <v>0</v>
      </c>
      <c r="W220" s="1"/>
      <c r="X220" s="2">
        <v>20520</v>
      </c>
      <c r="Y220" s="4">
        <v>10392.530000000001</v>
      </c>
      <c r="Z220" s="3">
        <v>50.6</v>
      </c>
      <c r="AA220" s="1" t="s">
        <v>94</v>
      </c>
      <c r="AB220" s="1">
        <v>6140</v>
      </c>
      <c r="AC220" s="1">
        <v>357</v>
      </c>
      <c r="AD220" s="3">
        <v>5.81</v>
      </c>
      <c r="AE220" s="1">
        <v>16</v>
      </c>
      <c r="AF220" s="3">
        <v>0.6</v>
      </c>
      <c r="AG220" s="1">
        <v>4</v>
      </c>
      <c r="AH220" s="1" t="s">
        <v>61</v>
      </c>
      <c r="AI220" s="1" t="s">
        <v>95</v>
      </c>
      <c r="AJ220" s="1">
        <v>6</v>
      </c>
      <c r="AK220" s="1">
        <v>22</v>
      </c>
      <c r="AL220" s="1" t="s">
        <v>51</v>
      </c>
    </row>
    <row r="221" spans="1:38" ht="16.05" customHeight="1">
      <c r="A221" s="5" t="s">
        <v>932</v>
      </c>
      <c r="B221" s="23">
        <v>45260</v>
      </c>
      <c r="C221" s="5" t="s">
        <v>933</v>
      </c>
      <c r="D221" s="5" t="s">
        <v>81</v>
      </c>
      <c r="E221" s="5" t="s">
        <v>185</v>
      </c>
      <c r="F221" s="5" t="s">
        <v>227</v>
      </c>
      <c r="G221" s="5" t="s">
        <v>934</v>
      </c>
      <c r="H221" s="5" t="s">
        <v>935</v>
      </c>
      <c r="I221" s="5" t="s">
        <v>59</v>
      </c>
      <c r="J221" s="5" t="s">
        <v>47</v>
      </c>
      <c r="K221" s="5">
        <v>7</v>
      </c>
      <c r="L221" s="6">
        <v>615</v>
      </c>
      <c r="M221" s="6">
        <v>527</v>
      </c>
      <c r="N221" s="7">
        <v>14.3</v>
      </c>
      <c r="O221" s="6">
        <v>3689</v>
      </c>
      <c r="P221" s="6">
        <v>516.75</v>
      </c>
      <c r="Q221" s="6">
        <v>184.45</v>
      </c>
      <c r="R221" s="6">
        <v>0</v>
      </c>
      <c r="S221" s="6">
        <v>1704.36</v>
      </c>
      <c r="T221" s="6">
        <v>333.68</v>
      </c>
      <c r="U221" s="5">
        <v>0</v>
      </c>
      <c r="V221" s="6">
        <v>0</v>
      </c>
      <c r="W221" s="5"/>
      <c r="X221" s="6">
        <v>3689</v>
      </c>
      <c r="Y221" s="8">
        <v>949.76</v>
      </c>
      <c r="Z221" s="7">
        <v>25.7</v>
      </c>
      <c r="AA221" s="5" t="s">
        <v>48</v>
      </c>
      <c r="AB221" s="5">
        <v>13242</v>
      </c>
      <c r="AC221" s="5">
        <v>204</v>
      </c>
      <c r="AD221" s="7">
        <v>1.54</v>
      </c>
      <c r="AE221" s="5">
        <v>16</v>
      </c>
      <c r="AF221" s="7">
        <v>4</v>
      </c>
      <c r="AG221" s="5">
        <v>3</v>
      </c>
      <c r="AH221" s="5" t="s">
        <v>49</v>
      </c>
      <c r="AI221" s="5" t="s">
        <v>105</v>
      </c>
      <c r="AJ221" s="5">
        <v>2</v>
      </c>
      <c r="AK221" s="5">
        <v>17</v>
      </c>
      <c r="AL221" s="12" t="s">
        <v>71</v>
      </c>
    </row>
    <row r="222" spans="1:38" ht="16.05" customHeight="1">
      <c r="A222" s="1" t="s">
        <v>936</v>
      </c>
      <c r="B222" s="22">
        <v>45426</v>
      </c>
      <c r="C222" s="1" t="s">
        <v>937</v>
      </c>
      <c r="D222" s="1" t="s">
        <v>54</v>
      </c>
      <c r="E222" s="1" t="s">
        <v>191</v>
      </c>
      <c r="F222" s="1" t="s">
        <v>100</v>
      </c>
      <c r="G222" s="1" t="s">
        <v>938</v>
      </c>
      <c r="H222" s="1" t="s">
        <v>939</v>
      </c>
      <c r="I222" s="1" t="s">
        <v>59</v>
      </c>
      <c r="J222" s="1" t="s">
        <v>103</v>
      </c>
      <c r="K222" s="1">
        <v>7</v>
      </c>
      <c r="L222" s="2">
        <v>4727</v>
      </c>
      <c r="M222" s="2">
        <v>3885</v>
      </c>
      <c r="N222" s="3">
        <v>17.8</v>
      </c>
      <c r="O222" s="2">
        <v>27195</v>
      </c>
      <c r="P222" s="2">
        <v>2848.72</v>
      </c>
      <c r="Q222" s="2">
        <v>1359.75</v>
      </c>
      <c r="R222" s="2">
        <v>0</v>
      </c>
      <c r="S222" s="2">
        <v>14081.33</v>
      </c>
      <c r="T222" s="2">
        <v>98.36</v>
      </c>
      <c r="U222" s="1">
        <v>3</v>
      </c>
      <c r="V222" s="2">
        <v>11655</v>
      </c>
      <c r="W222" s="1" t="s">
        <v>242</v>
      </c>
      <c r="X222" s="2">
        <v>15540</v>
      </c>
      <c r="Y222" s="10">
        <v>-2848.16</v>
      </c>
      <c r="Z222" s="3">
        <v>-18.3</v>
      </c>
      <c r="AA222" s="1" t="s">
        <v>48</v>
      </c>
      <c r="AB222" s="1">
        <v>8524</v>
      </c>
      <c r="AC222" s="1">
        <v>334</v>
      </c>
      <c r="AD222" s="3">
        <v>3.92</v>
      </c>
      <c r="AE222" s="1">
        <v>52</v>
      </c>
      <c r="AF222" s="3">
        <v>0</v>
      </c>
      <c r="AG222" s="1"/>
      <c r="AH222" s="1" t="s">
        <v>49</v>
      </c>
      <c r="AI222" s="1" t="s">
        <v>105</v>
      </c>
      <c r="AJ222" s="1">
        <v>2</v>
      </c>
      <c r="AK222" s="1">
        <v>22</v>
      </c>
      <c r="AL222" s="1" t="s">
        <v>51</v>
      </c>
    </row>
    <row r="223" spans="1:38" ht="16.05" customHeight="1">
      <c r="A223" s="5" t="s">
        <v>940</v>
      </c>
      <c r="B223" s="23">
        <v>45536</v>
      </c>
      <c r="C223" s="5" t="s">
        <v>941</v>
      </c>
      <c r="D223" s="5" t="s">
        <v>144</v>
      </c>
      <c r="E223" s="5" t="s">
        <v>145</v>
      </c>
      <c r="F223" s="5" t="s">
        <v>222</v>
      </c>
      <c r="G223" s="5" t="s">
        <v>942</v>
      </c>
      <c r="H223" s="5" t="s">
        <v>943</v>
      </c>
      <c r="I223" s="5" t="s">
        <v>59</v>
      </c>
      <c r="J223" s="5" t="s">
        <v>47</v>
      </c>
      <c r="K223" s="5">
        <v>7</v>
      </c>
      <c r="L223" s="6">
        <v>3240</v>
      </c>
      <c r="M223" s="6">
        <v>2762</v>
      </c>
      <c r="N223" s="7">
        <v>14.8</v>
      </c>
      <c r="O223" s="6">
        <v>19334</v>
      </c>
      <c r="P223" s="6">
        <v>2307.59</v>
      </c>
      <c r="Q223" s="6">
        <v>966.7</v>
      </c>
      <c r="R223" s="6">
        <v>0</v>
      </c>
      <c r="S223" s="6">
        <v>9764.17</v>
      </c>
      <c r="T223" s="6">
        <v>173.82</v>
      </c>
      <c r="U223" s="5">
        <v>0</v>
      </c>
      <c r="V223" s="6">
        <v>0</v>
      </c>
      <c r="W223" s="5"/>
      <c r="X223" s="6">
        <v>19334</v>
      </c>
      <c r="Y223" s="8">
        <v>6121.72</v>
      </c>
      <c r="Z223" s="7">
        <v>31.7</v>
      </c>
      <c r="AA223" s="5" t="s">
        <v>94</v>
      </c>
      <c r="AB223" s="5">
        <v>4822</v>
      </c>
      <c r="AC223" s="5">
        <v>364</v>
      </c>
      <c r="AD223" s="7">
        <v>7.55</v>
      </c>
      <c r="AE223" s="5">
        <v>72</v>
      </c>
      <c r="AF223" s="7">
        <v>0.1</v>
      </c>
      <c r="AG223" s="5">
        <v>4</v>
      </c>
      <c r="AH223" s="5" t="s">
        <v>61</v>
      </c>
      <c r="AI223" s="5" t="s">
        <v>86</v>
      </c>
      <c r="AJ223" s="5">
        <v>2</v>
      </c>
      <c r="AK223" s="5">
        <v>70</v>
      </c>
      <c r="AL223" s="5" t="s">
        <v>51</v>
      </c>
    </row>
    <row r="224" spans="1:38" ht="16.05" customHeight="1">
      <c r="A224" s="1" t="s">
        <v>944</v>
      </c>
      <c r="B224" s="22">
        <v>45478</v>
      </c>
      <c r="C224" s="1" t="s">
        <v>945</v>
      </c>
      <c r="D224" s="1" t="s">
        <v>81</v>
      </c>
      <c r="E224" s="1" t="s">
        <v>185</v>
      </c>
      <c r="F224" s="1" t="s">
        <v>125</v>
      </c>
      <c r="G224" s="1" t="s">
        <v>946</v>
      </c>
      <c r="H224" s="1" t="s">
        <v>947</v>
      </c>
      <c r="I224" s="1" t="s">
        <v>59</v>
      </c>
      <c r="J224" s="1" t="s">
        <v>47</v>
      </c>
      <c r="K224" s="1">
        <v>2</v>
      </c>
      <c r="L224" s="2">
        <v>2334</v>
      </c>
      <c r="M224" s="2">
        <v>2084</v>
      </c>
      <c r="N224" s="3">
        <v>10.7</v>
      </c>
      <c r="O224" s="2">
        <v>4168</v>
      </c>
      <c r="P224" s="2">
        <v>429.44</v>
      </c>
      <c r="Q224" s="2">
        <v>208.4</v>
      </c>
      <c r="R224" s="2">
        <v>0</v>
      </c>
      <c r="S224" s="2">
        <v>2084.69</v>
      </c>
      <c r="T224" s="2">
        <v>388.91</v>
      </c>
      <c r="U224" s="1">
        <v>0</v>
      </c>
      <c r="V224" s="2">
        <v>0</v>
      </c>
      <c r="W224" s="1"/>
      <c r="X224" s="2">
        <v>4168</v>
      </c>
      <c r="Y224" s="4">
        <v>1056.56</v>
      </c>
      <c r="Z224" s="3">
        <v>25.3</v>
      </c>
      <c r="AA224" s="1" t="s">
        <v>60</v>
      </c>
      <c r="AB224" s="1">
        <v>6213</v>
      </c>
      <c r="AC224" s="1">
        <v>26</v>
      </c>
      <c r="AD224" s="3">
        <v>0.42</v>
      </c>
      <c r="AE224" s="1">
        <v>3</v>
      </c>
      <c r="AF224" s="3">
        <v>6.2</v>
      </c>
      <c r="AG224" s="1">
        <v>1</v>
      </c>
      <c r="AH224" s="1" t="s">
        <v>61</v>
      </c>
      <c r="AI224" s="1" t="s">
        <v>153</v>
      </c>
      <c r="AJ224" s="1">
        <v>2</v>
      </c>
      <c r="AK224" s="1">
        <v>138</v>
      </c>
      <c r="AL224" s="1" t="s">
        <v>51</v>
      </c>
    </row>
    <row r="225" spans="1:38" ht="16.05" customHeight="1">
      <c r="A225" s="5" t="s">
        <v>948</v>
      </c>
      <c r="B225" s="23">
        <v>45183</v>
      </c>
      <c r="C225" s="5" t="s">
        <v>609</v>
      </c>
      <c r="D225" s="5" t="s">
        <v>41</v>
      </c>
      <c r="E225" s="5" t="s">
        <v>213</v>
      </c>
      <c r="F225" s="5" t="s">
        <v>256</v>
      </c>
      <c r="G225" s="5" t="s">
        <v>949</v>
      </c>
      <c r="H225" s="5" t="s">
        <v>950</v>
      </c>
      <c r="I225" s="5" t="s">
        <v>59</v>
      </c>
      <c r="J225" s="5" t="s">
        <v>47</v>
      </c>
      <c r="K225" s="5">
        <v>9</v>
      </c>
      <c r="L225" s="6">
        <v>1515</v>
      </c>
      <c r="M225" s="6">
        <v>1175</v>
      </c>
      <c r="N225" s="7">
        <v>22.4</v>
      </c>
      <c r="O225" s="6">
        <v>10575</v>
      </c>
      <c r="P225" s="6">
        <v>1712.17</v>
      </c>
      <c r="Q225" s="6">
        <v>528.75</v>
      </c>
      <c r="R225" s="6">
        <v>0</v>
      </c>
      <c r="S225" s="6">
        <v>4927.07</v>
      </c>
      <c r="T225" s="6">
        <v>0</v>
      </c>
      <c r="U225" s="5">
        <v>0</v>
      </c>
      <c r="V225" s="6">
        <v>0</v>
      </c>
      <c r="W225" s="5"/>
      <c r="X225" s="6">
        <v>10575</v>
      </c>
      <c r="Y225" s="8">
        <v>3407.01</v>
      </c>
      <c r="Z225" s="7">
        <v>32.200000000000003</v>
      </c>
      <c r="AA225" s="5" t="s">
        <v>60</v>
      </c>
      <c r="AB225" s="5">
        <v>0</v>
      </c>
      <c r="AC225" s="5">
        <v>0</v>
      </c>
      <c r="AD225" s="7">
        <v>0</v>
      </c>
      <c r="AE225" s="5">
        <v>0</v>
      </c>
      <c r="AF225" s="7">
        <v>0</v>
      </c>
      <c r="AG225" s="5">
        <v>3</v>
      </c>
      <c r="AH225" s="5" t="s">
        <v>49</v>
      </c>
      <c r="AI225" s="5" t="s">
        <v>105</v>
      </c>
      <c r="AJ225" s="5">
        <v>3</v>
      </c>
      <c r="AK225" s="5">
        <v>112</v>
      </c>
      <c r="AL225" s="5" t="s">
        <v>51</v>
      </c>
    </row>
    <row r="226" spans="1:38" ht="16.05" customHeight="1">
      <c r="A226" s="1" t="s">
        <v>951</v>
      </c>
      <c r="B226" s="22">
        <v>44956</v>
      </c>
      <c r="C226" s="1" t="s">
        <v>842</v>
      </c>
      <c r="D226" s="1" t="s">
        <v>98</v>
      </c>
      <c r="E226" s="1" t="s">
        <v>482</v>
      </c>
      <c r="F226" s="1" t="s">
        <v>100</v>
      </c>
      <c r="G226" s="1" t="s">
        <v>952</v>
      </c>
      <c r="H226" s="1" t="s">
        <v>953</v>
      </c>
      <c r="I226" s="1" t="s">
        <v>59</v>
      </c>
      <c r="J226" s="1" t="s">
        <v>103</v>
      </c>
      <c r="K226" s="1">
        <v>5</v>
      </c>
      <c r="L226" s="2">
        <v>1069</v>
      </c>
      <c r="M226" s="2">
        <v>868</v>
      </c>
      <c r="N226" s="3">
        <v>18.8</v>
      </c>
      <c r="O226" s="2">
        <v>4340</v>
      </c>
      <c r="P226" s="2">
        <v>546.04999999999995</v>
      </c>
      <c r="Q226" s="2">
        <v>217</v>
      </c>
      <c r="R226" s="2">
        <v>0</v>
      </c>
      <c r="S226" s="2">
        <v>1510.77</v>
      </c>
      <c r="T226" s="2">
        <v>109.82</v>
      </c>
      <c r="U226" s="1">
        <v>1</v>
      </c>
      <c r="V226" s="2">
        <v>868</v>
      </c>
      <c r="W226" s="1" t="s">
        <v>242</v>
      </c>
      <c r="X226" s="2">
        <v>3472</v>
      </c>
      <c r="Y226" s="4">
        <v>1088.3599999999999</v>
      </c>
      <c r="Z226" s="3">
        <v>31.3</v>
      </c>
      <c r="AA226" s="1" t="s">
        <v>48</v>
      </c>
      <c r="AB226" s="1">
        <v>12946</v>
      </c>
      <c r="AC226" s="1">
        <v>975</v>
      </c>
      <c r="AD226" s="3">
        <v>7.53</v>
      </c>
      <c r="AE226" s="1">
        <v>64</v>
      </c>
      <c r="AF226" s="3">
        <v>0.2</v>
      </c>
      <c r="AG226" s="1"/>
      <c r="AH226" s="1" t="s">
        <v>49</v>
      </c>
      <c r="AI226" s="1" t="s">
        <v>62</v>
      </c>
      <c r="AJ226" s="1">
        <v>1</v>
      </c>
      <c r="AK226" s="1">
        <v>80</v>
      </c>
      <c r="AL226" s="1" t="s">
        <v>51</v>
      </c>
    </row>
    <row r="227" spans="1:38" ht="16.05" customHeight="1">
      <c r="A227" s="5" t="s">
        <v>954</v>
      </c>
      <c r="B227" s="23">
        <v>45139</v>
      </c>
      <c r="C227" s="5" t="s">
        <v>955</v>
      </c>
      <c r="D227" s="5" t="s">
        <v>41</v>
      </c>
      <c r="E227" s="5" t="s">
        <v>202</v>
      </c>
      <c r="F227" s="5" t="s">
        <v>197</v>
      </c>
      <c r="G227" s="5" t="s">
        <v>956</v>
      </c>
      <c r="H227" s="5" t="s">
        <v>957</v>
      </c>
      <c r="I227" s="5" t="s">
        <v>46</v>
      </c>
      <c r="J227" s="5" t="s">
        <v>47</v>
      </c>
      <c r="K227" s="5">
        <v>4</v>
      </c>
      <c r="L227" s="6">
        <v>4722</v>
      </c>
      <c r="M227" s="6">
        <v>3796</v>
      </c>
      <c r="N227" s="7">
        <v>19.600000000000001</v>
      </c>
      <c r="O227" s="6">
        <v>15184</v>
      </c>
      <c r="P227" s="6">
        <v>2402.9299999999998</v>
      </c>
      <c r="Q227" s="6">
        <v>0</v>
      </c>
      <c r="R227" s="6">
        <v>99.74</v>
      </c>
      <c r="S227" s="6">
        <v>5379.48</v>
      </c>
      <c r="T227" s="6">
        <v>470.37</v>
      </c>
      <c r="U227" s="5">
        <v>0</v>
      </c>
      <c r="V227" s="6">
        <v>0</v>
      </c>
      <c r="W227" s="5"/>
      <c r="X227" s="6">
        <v>15184</v>
      </c>
      <c r="Y227" s="8">
        <v>6831.48</v>
      </c>
      <c r="Z227" s="7">
        <v>45</v>
      </c>
      <c r="AA227" s="5" t="s">
        <v>60</v>
      </c>
      <c r="AB227" s="5">
        <v>4986</v>
      </c>
      <c r="AC227" s="5">
        <v>360</v>
      </c>
      <c r="AD227" s="7">
        <v>7.22</v>
      </c>
      <c r="AE227" s="5">
        <v>44</v>
      </c>
      <c r="AF227" s="7">
        <v>0.3</v>
      </c>
      <c r="AG227" s="5">
        <v>5</v>
      </c>
      <c r="AH227" s="5" t="s">
        <v>49</v>
      </c>
      <c r="AI227" s="5" t="s">
        <v>153</v>
      </c>
      <c r="AJ227" s="5">
        <v>6</v>
      </c>
      <c r="AK227" s="5">
        <v>86</v>
      </c>
      <c r="AL227" s="5" t="s">
        <v>51</v>
      </c>
    </row>
    <row r="228" spans="1:38" ht="16.05" customHeight="1">
      <c r="A228" s="1" t="s">
        <v>958</v>
      </c>
      <c r="B228" s="22">
        <v>45493</v>
      </c>
      <c r="C228" s="1" t="s">
        <v>959</v>
      </c>
      <c r="D228" s="1" t="s">
        <v>41</v>
      </c>
      <c r="E228" s="1" t="s">
        <v>335</v>
      </c>
      <c r="F228" s="1" t="s">
        <v>197</v>
      </c>
      <c r="G228" s="1" t="s">
        <v>960</v>
      </c>
      <c r="H228" s="1" t="s">
        <v>961</v>
      </c>
      <c r="I228" s="1" t="s">
        <v>59</v>
      </c>
      <c r="J228" s="1" t="s">
        <v>47</v>
      </c>
      <c r="K228" s="1">
        <v>5</v>
      </c>
      <c r="L228" s="2">
        <v>3292</v>
      </c>
      <c r="M228" s="2">
        <v>2707</v>
      </c>
      <c r="N228" s="3">
        <v>17.8</v>
      </c>
      <c r="O228" s="2">
        <v>13535</v>
      </c>
      <c r="P228" s="2">
        <v>1571.93</v>
      </c>
      <c r="Q228" s="2">
        <v>676.75</v>
      </c>
      <c r="R228" s="2">
        <v>0</v>
      </c>
      <c r="S228" s="2">
        <v>4452.28</v>
      </c>
      <c r="T228" s="2">
        <v>331.26</v>
      </c>
      <c r="U228" s="1">
        <v>0</v>
      </c>
      <c r="V228" s="2">
        <v>0</v>
      </c>
      <c r="W228" s="1"/>
      <c r="X228" s="2">
        <v>13535</v>
      </c>
      <c r="Y228" s="4">
        <v>6502.78</v>
      </c>
      <c r="Z228" s="3">
        <v>48</v>
      </c>
      <c r="AA228" s="1" t="s">
        <v>60</v>
      </c>
      <c r="AB228" s="1">
        <v>10367</v>
      </c>
      <c r="AC228" s="1">
        <v>370</v>
      </c>
      <c r="AD228" s="3">
        <v>3.57</v>
      </c>
      <c r="AE228" s="1">
        <v>68</v>
      </c>
      <c r="AF228" s="3">
        <v>0.2</v>
      </c>
      <c r="AG228" s="1">
        <v>2</v>
      </c>
      <c r="AH228" s="1" t="s">
        <v>61</v>
      </c>
      <c r="AI228" s="1" t="s">
        <v>105</v>
      </c>
      <c r="AJ228" s="1">
        <v>1</v>
      </c>
      <c r="AK228" s="1">
        <v>177</v>
      </c>
      <c r="AL228" s="1" t="s">
        <v>51</v>
      </c>
    </row>
    <row r="229" spans="1:38" ht="16.05" customHeight="1">
      <c r="A229" s="5" t="s">
        <v>962</v>
      </c>
      <c r="B229" s="23">
        <v>45366</v>
      </c>
      <c r="C229" s="5"/>
      <c r="D229" s="5" t="s">
        <v>144</v>
      </c>
      <c r="E229" s="5" t="s">
        <v>317</v>
      </c>
      <c r="F229" s="5" t="s">
        <v>67</v>
      </c>
      <c r="G229" s="5" t="s">
        <v>963</v>
      </c>
      <c r="H229" s="5" t="s">
        <v>964</v>
      </c>
      <c r="I229" s="5" t="s">
        <v>59</v>
      </c>
      <c r="J229" s="5" t="s">
        <v>136</v>
      </c>
      <c r="K229" s="5">
        <v>9</v>
      </c>
      <c r="L229" s="6">
        <v>3327</v>
      </c>
      <c r="M229" s="6">
        <v>2561</v>
      </c>
      <c r="N229" s="7">
        <v>23</v>
      </c>
      <c r="O229" s="6">
        <v>23049</v>
      </c>
      <c r="P229" s="6">
        <v>2965.61</v>
      </c>
      <c r="Q229" s="6">
        <v>1152.45</v>
      </c>
      <c r="R229" s="6">
        <v>0</v>
      </c>
      <c r="S229" s="6">
        <v>12376.75</v>
      </c>
      <c r="T229" s="6">
        <v>63.55</v>
      </c>
      <c r="U229" s="5">
        <v>0</v>
      </c>
      <c r="V229" s="6">
        <v>0</v>
      </c>
      <c r="W229" s="5"/>
      <c r="X229" s="6">
        <v>23049</v>
      </c>
      <c r="Y229" s="8">
        <v>6490.64</v>
      </c>
      <c r="Z229" s="7">
        <v>28.2</v>
      </c>
      <c r="AA229" s="5" t="s">
        <v>94</v>
      </c>
      <c r="AB229" s="5">
        <v>4387</v>
      </c>
      <c r="AC229" s="5">
        <v>118</v>
      </c>
      <c r="AD229" s="7">
        <v>2.69</v>
      </c>
      <c r="AE229" s="5">
        <v>8</v>
      </c>
      <c r="AF229" s="7">
        <v>0.3</v>
      </c>
      <c r="AG229" s="5"/>
      <c r="AH229" s="5" t="s">
        <v>49</v>
      </c>
      <c r="AI229" s="5" t="s">
        <v>297</v>
      </c>
      <c r="AJ229" s="5">
        <v>1</v>
      </c>
      <c r="AK229" s="5">
        <v>15</v>
      </c>
      <c r="AL229" s="12" t="s">
        <v>71</v>
      </c>
    </row>
    <row r="230" spans="1:38" ht="16.05" customHeight="1">
      <c r="A230" s="1" t="s">
        <v>965</v>
      </c>
      <c r="B230" s="22">
        <v>45173</v>
      </c>
      <c r="C230" s="1"/>
      <c r="D230" s="1" t="s">
        <v>65</v>
      </c>
      <c r="E230" s="1" t="s">
        <v>305</v>
      </c>
      <c r="F230" s="1" t="s">
        <v>203</v>
      </c>
      <c r="G230" s="1" t="s">
        <v>966</v>
      </c>
      <c r="H230" s="1" t="s">
        <v>967</v>
      </c>
      <c r="I230" s="1" t="s">
        <v>59</v>
      </c>
      <c r="J230" s="1" t="s">
        <v>77</v>
      </c>
      <c r="K230" s="1">
        <v>10</v>
      </c>
      <c r="L230" s="2">
        <v>4629</v>
      </c>
      <c r="M230" s="2">
        <v>3897</v>
      </c>
      <c r="N230" s="3">
        <v>15.8</v>
      </c>
      <c r="O230" s="2">
        <v>38970</v>
      </c>
      <c r="P230" s="2">
        <v>6852.4</v>
      </c>
      <c r="Q230" s="2">
        <v>1948.5</v>
      </c>
      <c r="R230" s="2">
        <v>0</v>
      </c>
      <c r="S230" s="2">
        <v>16273.99</v>
      </c>
      <c r="T230" s="2">
        <v>194.85</v>
      </c>
      <c r="U230" s="1">
        <v>0</v>
      </c>
      <c r="V230" s="2">
        <v>0</v>
      </c>
      <c r="W230" s="1"/>
      <c r="X230" s="2">
        <v>38970</v>
      </c>
      <c r="Y230" s="4">
        <v>13700.26</v>
      </c>
      <c r="Z230" s="3">
        <v>35.200000000000003</v>
      </c>
      <c r="AA230" s="1" t="s">
        <v>94</v>
      </c>
      <c r="AB230" s="1">
        <v>8003</v>
      </c>
      <c r="AC230" s="1">
        <v>556</v>
      </c>
      <c r="AD230" s="3">
        <v>6.95</v>
      </c>
      <c r="AE230" s="1">
        <v>74</v>
      </c>
      <c r="AF230" s="3">
        <v>0.1</v>
      </c>
      <c r="AG230" s="1"/>
      <c r="AH230" s="1" t="s">
        <v>49</v>
      </c>
      <c r="AI230" s="1" t="s">
        <v>70</v>
      </c>
      <c r="AJ230" s="1">
        <v>2</v>
      </c>
      <c r="AK230" s="1">
        <v>12</v>
      </c>
      <c r="AL230" s="9" t="s">
        <v>71</v>
      </c>
    </row>
    <row r="231" spans="1:38" ht="16.05" customHeight="1">
      <c r="A231" s="5" t="s">
        <v>968</v>
      </c>
      <c r="B231" s="23">
        <v>45655</v>
      </c>
      <c r="C231" s="5"/>
      <c r="D231" s="5" t="s">
        <v>65</v>
      </c>
      <c r="E231" s="5" t="s">
        <v>525</v>
      </c>
      <c r="F231" s="5" t="s">
        <v>227</v>
      </c>
      <c r="G231" s="5" t="s">
        <v>969</v>
      </c>
      <c r="H231" s="5" t="s">
        <v>970</v>
      </c>
      <c r="I231" s="5" t="s">
        <v>59</v>
      </c>
      <c r="J231" s="5" t="s">
        <v>85</v>
      </c>
      <c r="K231" s="5">
        <v>5</v>
      </c>
      <c r="L231" s="6">
        <v>2770</v>
      </c>
      <c r="M231" s="6">
        <v>2178</v>
      </c>
      <c r="N231" s="7">
        <v>21.4</v>
      </c>
      <c r="O231" s="6">
        <v>10890</v>
      </c>
      <c r="P231" s="6">
        <v>1488.23</v>
      </c>
      <c r="Q231" s="6">
        <v>544.5</v>
      </c>
      <c r="R231" s="6">
        <v>0</v>
      </c>
      <c r="S231" s="6">
        <v>3493.84</v>
      </c>
      <c r="T231" s="6">
        <v>470.31</v>
      </c>
      <c r="U231" s="5">
        <v>0</v>
      </c>
      <c r="V231" s="6">
        <v>0</v>
      </c>
      <c r="W231" s="5"/>
      <c r="X231" s="6">
        <v>10890</v>
      </c>
      <c r="Y231" s="8">
        <v>4893.12</v>
      </c>
      <c r="Z231" s="7">
        <v>44.9</v>
      </c>
      <c r="AA231" s="5" t="s">
        <v>60</v>
      </c>
      <c r="AB231" s="5">
        <v>13230</v>
      </c>
      <c r="AC231" s="5">
        <v>673</v>
      </c>
      <c r="AD231" s="7">
        <v>5.09</v>
      </c>
      <c r="AE231" s="5">
        <v>122</v>
      </c>
      <c r="AF231" s="7">
        <v>0.2</v>
      </c>
      <c r="AG231" s="5"/>
      <c r="AH231" s="5" t="s">
        <v>49</v>
      </c>
      <c r="AI231" s="5" t="s">
        <v>70</v>
      </c>
      <c r="AJ231" s="5">
        <v>2</v>
      </c>
      <c r="AK231" s="5">
        <v>176</v>
      </c>
      <c r="AL231" s="5" t="s">
        <v>51</v>
      </c>
    </row>
    <row r="232" spans="1:38" ht="16.05" customHeight="1">
      <c r="A232" s="1" t="s">
        <v>971</v>
      </c>
      <c r="B232" s="22">
        <v>45047</v>
      </c>
      <c r="C232" s="1"/>
      <c r="D232" s="1" t="s">
        <v>54</v>
      </c>
      <c r="E232" s="1" t="s">
        <v>300</v>
      </c>
      <c r="F232" s="1" t="s">
        <v>125</v>
      </c>
      <c r="G232" s="1" t="s">
        <v>972</v>
      </c>
      <c r="H232" s="1" t="s">
        <v>973</v>
      </c>
      <c r="I232" s="1" t="s">
        <v>46</v>
      </c>
      <c r="J232" s="1" t="s">
        <v>85</v>
      </c>
      <c r="K232" s="1">
        <v>8</v>
      </c>
      <c r="L232" s="2">
        <v>3293</v>
      </c>
      <c r="M232" s="2">
        <v>2705</v>
      </c>
      <c r="N232" s="3">
        <v>17.899999999999999</v>
      </c>
      <c r="O232" s="2">
        <v>21640</v>
      </c>
      <c r="P232" s="2">
        <v>2762.82</v>
      </c>
      <c r="Q232" s="2">
        <v>0</v>
      </c>
      <c r="R232" s="2">
        <v>45.36</v>
      </c>
      <c r="S232" s="2">
        <v>9138.15</v>
      </c>
      <c r="T232" s="2">
        <v>371.89</v>
      </c>
      <c r="U232" s="1">
        <v>0</v>
      </c>
      <c r="V232" s="2">
        <v>0</v>
      </c>
      <c r="W232" s="1"/>
      <c r="X232" s="2">
        <v>21640</v>
      </c>
      <c r="Y232" s="4">
        <v>9321.7800000000007</v>
      </c>
      <c r="Z232" s="3">
        <v>43.1</v>
      </c>
      <c r="AA232" s="1" t="s">
        <v>94</v>
      </c>
      <c r="AB232" s="1">
        <v>6183</v>
      </c>
      <c r="AC232" s="1">
        <v>319</v>
      </c>
      <c r="AD232" s="3">
        <v>5.16</v>
      </c>
      <c r="AE232" s="1">
        <v>7</v>
      </c>
      <c r="AF232" s="3">
        <v>2</v>
      </c>
      <c r="AG232" s="1"/>
      <c r="AH232" s="1" t="s">
        <v>49</v>
      </c>
      <c r="AI232" s="1" t="s">
        <v>86</v>
      </c>
      <c r="AJ232" s="1">
        <v>6</v>
      </c>
      <c r="AK232" s="1">
        <v>197</v>
      </c>
      <c r="AL232" s="1" t="s">
        <v>51</v>
      </c>
    </row>
    <row r="233" spans="1:38" ht="16.05" customHeight="1">
      <c r="A233" s="5" t="s">
        <v>974</v>
      </c>
      <c r="B233" s="23">
        <v>45336</v>
      </c>
      <c r="C233" s="5" t="s">
        <v>976</v>
      </c>
      <c r="D233" s="5" t="s">
        <v>98</v>
      </c>
      <c r="E233" s="5" t="s">
        <v>559</v>
      </c>
      <c r="F233" s="5" t="s">
        <v>197</v>
      </c>
      <c r="G233" s="5" t="s">
        <v>977</v>
      </c>
      <c r="H233" s="5" t="s">
        <v>978</v>
      </c>
      <c r="I233" s="5" t="s">
        <v>46</v>
      </c>
      <c r="J233" s="5" t="s">
        <v>103</v>
      </c>
      <c r="K233" s="5">
        <v>8</v>
      </c>
      <c r="L233" s="6">
        <v>4984</v>
      </c>
      <c r="M233" s="6">
        <v>4668</v>
      </c>
      <c r="N233" s="7">
        <v>6.3</v>
      </c>
      <c r="O233" s="6">
        <v>37344</v>
      </c>
      <c r="P233" s="6">
        <v>4304.99</v>
      </c>
      <c r="Q233" s="6">
        <v>0</v>
      </c>
      <c r="R233" s="6">
        <v>35.19</v>
      </c>
      <c r="S233" s="6">
        <v>13454.54</v>
      </c>
      <c r="T233" s="6">
        <v>62.38</v>
      </c>
      <c r="U233" s="5">
        <v>4</v>
      </c>
      <c r="V233" s="6">
        <v>18672</v>
      </c>
      <c r="W233" s="5" t="s">
        <v>332</v>
      </c>
      <c r="X233" s="6">
        <v>18672</v>
      </c>
      <c r="Y233" s="8">
        <v>814.9</v>
      </c>
      <c r="Z233" s="7">
        <v>4.4000000000000004</v>
      </c>
      <c r="AA233" s="5" t="s">
        <v>94</v>
      </c>
      <c r="AB233" s="5">
        <v>3849</v>
      </c>
      <c r="AC233" s="5">
        <v>36</v>
      </c>
      <c r="AD233" s="7">
        <v>0.94</v>
      </c>
      <c r="AE233" s="5">
        <v>7</v>
      </c>
      <c r="AF233" s="7">
        <v>0.2</v>
      </c>
      <c r="AG233" s="5"/>
      <c r="AH233" s="5" t="s">
        <v>49</v>
      </c>
      <c r="AI233" s="5" t="s">
        <v>79</v>
      </c>
      <c r="AJ233" s="5">
        <v>3</v>
      </c>
      <c r="AK233" s="5">
        <v>80</v>
      </c>
      <c r="AL233" s="5" t="s">
        <v>51</v>
      </c>
    </row>
    <row r="234" spans="1:38" ht="16.05" customHeight="1">
      <c r="A234" s="1" t="s">
        <v>979</v>
      </c>
      <c r="B234" s="22">
        <v>45519</v>
      </c>
      <c r="C234" s="1" t="s">
        <v>980</v>
      </c>
      <c r="D234" s="1" t="s">
        <v>98</v>
      </c>
      <c r="E234" s="1" t="s">
        <v>155</v>
      </c>
      <c r="F234" s="1" t="s">
        <v>115</v>
      </c>
      <c r="G234" s="1" t="s">
        <v>981</v>
      </c>
      <c r="H234" s="1" t="s">
        <v>982</v>
      </c>
      <c r="I234" s="1" t="s">
        <v>59</v>
      </c>
      <c r="J234" s="1" t="s">
        <v>47</v>
      </c>
      <c r="K234" s="1">
        <v>10</v>
      </c>
      <c r="L234" s="2">
        <v>637</v>
      </c>
      <c r="M234" s="2">
        <v>572</v>
      </c>
      <c r="N234" s="3">
        <v>10.199999999999999</v>
      </c>
      <c r="O234" s="2">
        <v>5720</v>
      </c>
      <c r="P234" s="2">
        <v>498.58</v>
      </c>
      <c r="Q234" s="2">
        <v>286</v>
      </c>
      <c r="R234" s="2">
        <v>0</v>
      </c>
      <c r="S234" s="2">
        <v>2258.9299999999998</v>
      </c>
      <c r="T234" s="2">
        <v>300.77999999999997</v>
      </c>
      <c r="U234" s="1">
        <v>0</v>
      </c>
      <c r="V234" s="2">
        <v>0</v>
      </c>
      <c r="W234" s="1"/>
      <c r="X234" s="2">
        <v>5720</v>
      </c>
      <c r="Y234" s="4">
        <v>2375.71</v>
      </c>
      <c r="Z234" s="3">
        <v>41.5</v>
      </c>
      <c r="AA234" s="1" t="s">
        <v>60</v>
      </c>
      <c r="AB234" s="1">
        <v>9779</v>
      </c>
      <c r="AC234" s="1">
        <v>729</v>
      </c>
      <c r="AD234" s="3">
        <v>7.45</v>
      </c>
      <c r="AE234" s="1">
        <v>112</v>
      </c>
      <c r="AF234" s="3">
        <v>0.5</v>
      </c>
      <c r="AG234" s="1">
        <v>3</v>
      </c>
      <c r="AH234" s="1" t="s">
        <v>61</v>
      </c>
      <c r="AI234" s="1" t="s">
        <v>176</v>
      </c>
      <c r="AJ234" s="1">
        <v>2</v>
      </c>
      <c r="AK234" s="1">
        <v>71</v>
      </c>
      <c r="AL234" s="1" t="s">
        <v>51</v>
      </c>
    </row>
    <row r="235" spans="1:38" ht="16.05" customHeight="1">
      <c r="A235" s="5" t="s">
        <v>983</v>
      </c>
      <c r="B235" s="23">
        <v>45618</v>
      </c>
      <c r="C235" s="5" t="s">
        <v>984</v>
      </c>
      <c r="D235" s="5" t="s">
        <v>81</v>
      </c>
      <c r="E235" s="5" t="s">
        <v>82</v>
      </c>
      <c r="F235" s="5" t="s">
        <v>43</v>
      </c>
      <c r="G235" s="5" t="s">
        <v>985</v>
      </c>
      <c r="H235" s="5" t="s">
        <v>986</v>
      </c>
      <c r="I235" s="5" t="s">
        <v>59</v>
      </c>
      <c r="J235" s="5" t="s">
        <v>47</v>
      </c>
      <c r="K235" s="5">
        <v>4</v>
      </c>
      <c r="L235" s="6">
        <v>3689</v>
      </c>
      <c r="M235" s="6">
        <v>3077</v>
      </c>
      <c r="N235" s="7">
        <v>16.600000000000001</v>
      </c>
      <c r="O235" s="6">
        <v>12308</v>
      </c>
      <c r="P235" s="6">
        <v>2008.39</v>
      </c>
      <c r="Q235" s="6">
        <v>615.4</v>
      </c>
      <c r="R235" s="6">
        <v>0</v>
      </c>
      <c r="S235" s="6">
        <v>5349.56</v>
      </c>
      <c r="T235" s="6">
        <v>169.24</v>
      </c>
      <c r="U235" s="5">
        <v>0</v>
      </c>
      <c r="V235" s="6">
        <v>0</v>
      </c>
      <c r="W235" s="5"/>
      <c r="X235" s="6">
        <v>12308</v>
      </c>
      <c r="Y235" s="8">
        <v>4165.41</v>
      </c>
      <c r="Z235" s="7">
        <v>33.799999999999997</v>
      </c>
      <c r="AA235" s="5" t="s">
        <v>60</v>
      </c>
      <c r="AB235" s="5">
        <v>2679</v>
      </c>
      <c r="AC235" s="5">
        <v>190</v>
      </c>
      <c r="AD235" s="7">
        <v>7.09</v>
      </c>
      <c r="AE235" s="5">
        <v>12</v>
      </c>
      <c r="AF235" s="7">
        <v>0.5</v>
      </c>
      <c r="AG235" s="5">
        <v>5</v>
      </c>
      <c r="AH235" s="5" t="s">
        <v>61</v>
      </c>
      <c r="AI235" s="5" t="s">
        <v>118</v>
      </c>
      <c r="AJ235" s="5">
        <v>1</v>
      </c>
      <c r="AK235" s="5">
        <v>113</v>
      </c>
      <c r="AL235" s="5" t="s">
        <v>51</v>
      </c>
    </row>
    <row r="236" spans="1:38" ht="16.05" customHeight="1">
      <c r="A236" s="1" t="s">
        <v>987</v>
      </c>
      <c r="B236" s="22">
        <v>45040</v>
      </c>
      <c r="C236" s="1" t="s">
        <v>988</v>
      </c>
      <c r="D236" s="1" t="s">
        <v>54</v>
      </c>
      <c r="E236" s="1" t="s">
        <v>191</v>
      </c>
      <c r="F236" s="1" t="s">
        <v>43</v>
      </c>
      <c r="G236" s="1" t="s">
        <v>989</v>
      </c>
      <c r="H236" s="1" t="s">
        <v>990</v>
      </c>
      <c r="I236" s="1" t="s">
        <v>59</v>
      </c>
      <c r="J236" s="1" t="s">
        <v>103</v>
      </c>
      <c r="K236" s="1">
        <v>8</v>
      </c>
      <c r="L236" s="2">
        <v>481</v>
      </c>
      <c r="M236" s="2">
        <v>364</v>
      </c>
      <c r="N236" s="3">
        <v>24.3</v>
      </c>
      <c r="O236" s="2">
        <v>2912</v>
      </c>
      <c r="P236" s="2">
        <v>389.89</v>
      </c>
      <c r="Q236" s="2">
        <v>145.6</v>
      </c>
      <c r="R236" s="2">
        <v>0</v>
      </c>
      <c r="S236" s="2">
        <v>1599.31</v>
      </c>
      <c r="T236" s="2">
        <v>76.44</v>
      </c>
      <c r="U236" s="1">
        <v>1</v>
      </c>
      <c r="V236" s="2">
        <v>364</v>
      </c>
      <c r="W236" s="1" t="s">
        <v>332</v>
      </c>
      <c r="X236" s="2">
        <v>2548</v>
      </c>
      <c r="Y236" s="4">
        <v>336.76</v>
      </c>
      <c r="Z236" s="3">
        <v>13.2</v>
      </c>
      <c r="AA236" s="1" t="s">
        <v>48</v>
      </c>
      <c r="AB236" s="1">
        <v>7222</v>
      </c>
      <c r="AC236" s="1">
        <v>567</v>
      </c>
      <c r="AD236" s="3">
        <v>7.85</v>
      </c>
      <c r="AE236" s="1">
        <v>49</v>
      </c>
      <c r="AF236" s="3">
        <v>0.4</v>
      </c>
      <c r="AG236" s="1"/>
      <c r="AH236" s="1" t="s">
        <v>49</v>
      </c>
      <c r="AI236" s="1" t="s">
        <v>112</v>
      </c>
      <c r="AJ236" s="1">
        <v>3</v>
      </c>
      <c r="AK236" s="1">
        <v>4</v>
      </c>
      <c r="AL236" s="9" t="s">
        <v>71</v>
      </c>
    </row>
    <row r="237" spans="1:38" ht="16.05" customHeight="1">
      <c r="A237" s="5" t="s">
        <v>991</v>
      </c>
      <c r="B237" s="23">
        <v>45325</v>
      </c>
      <c r="C237" s="5" t="s">
        <v>992</v>
      </c>
      <c r="D237" s="5" t="s">
        <v>81</v>
      </c>
      <c r="E237" s="5" t="s">
        <v>90</v>
      </c>
      <c r="F237" s="5" t="s">
        <v>222</v>
      </c>
      <c r="G237" s="5" t="s">
        <v>993</v>
      </c>
      <c r="H237" s="5" t="s">
        <v>994</v>
      </c>
      <c r="I237" s="5" t="s">
        <v>46</v>
      </c>
      <c r="J237" s="5" t="s">
        <v>47</v>
      </c>
      <c r="K237" s="5">
        <v>5</v>
      </c>
      <c r="L237" s="6">
        <v>2864</v>
      </c>
      <c r="M237" s="6">
        <v>2155</v>
      </c>
      <c r="N237" s="7">
        <v>24.8</v>
      </c>
      <c r="O237" s="6">
        <v>10775</v>
      </c>
      <c r="P237" s="6">
        <v>930.35</v>
      </c>
      <c r="Q237" s="6">
        <v>0</v>
      </c>
      <c r="R237" s="6">
        <v>80.42</v>
      </c>
      <c r="S237" s="6">
        <v>3951.57</v>
      </c>
      <c r="T237" s="6">
        <v>365.68</v>
      </c>
      <c r="U237" s="5">
        <v>0</v>
      </c>
      <c r="V237" s="6">
        <v>0</v>
      </c>
      <c r="W237" s="5"/>
      <c r="X237" s="6">
        <v>10775</v>
      </c>
      <c r="Y237" s="8">
        <v>5446.98</v>
      </c>
      <c r="Z237" s="7">
        <v>50.6</v>
      </c>
      <c r="AA237" s="5" t="s">
        <v>48</v>
      </c>
      <c r="AB237" s="5">
        <v>11063</v>
      </c>
      <c r="AC237" s="5">
        <v>584</v>
      </c>
      <c r="AD237" s="7">
        <v>5.28</v>
      </c>
      <c r="AE237" s="5">
        <v>78</v>
      </c>
      <c r="AF237" s="7">
        <v>0.2</v>
      </c>
      <c r="AG237" s="5">
        <v>3</v>
      </c>
      <c r="AH237" s="5" t="s">
        <v>49</v>
      </c>
      <c r="AI237" s="5" t="s">
        <v>163</v>
      </c>
      <c r="AJ237" s="5">
        <v>4</v>
      </c>
      <c r="AK237" s="5">
        <v>86</v>
      </c>
      <c r="AL237" s="5" t="s">
        <v>51</v>
      </c>
    </row>
    <row r="238" spans="1:38" ht="16.05" customHeight="1">
      <c r="A238" s="1" t="s">
        <v>995</v>
      </c>
      <c r="B238" s="22">
        <v>45627</v>
      </c>
      <c r="C238" s="1" t="s">
        <v>996</v>
      </c>
      <c r="D238" s="1" t="s">
        <v>144</v>
      </c>
      <c r="E238" s="1" t="s">
        <v>317</v>
      </c>
      <c r="F238" s="1" t="s">
        <v>227</v>
      </c>
      <c r="G238" s="1" t="s">
        <v>997</v>
      </c>
      <c r="H238" s="1" t="s">
        <v>998</v>
      </c>
      <c r="I238" s="1" t="s">
        <v>59</v>
      </c>
      <c r="J238" s="1" t="s">
        <v>47</v>
      </c>
      <c r="K238" s="1">
        <v>8</v>
      </c>
      <c r="L238" s="2">
        <v>929</v>
      </c>
      <c r="M238" s="2">
        <v>714</v>
      </c>
      <c r="N238" s="3">
        <v>23.1</v>
      </c>
      <c r="O238" s="2">
        <v>5712</v>
      </c>
      <c r="P238" s="2">
        <v>903.75</v>
      </c>
      <c r="Q238" s="2">
        <v>285.60000000000002</v>
      </c>
      <c r="R238" s="2">
        <v>0</v>
      </c>
      <c r="S238" s="2">
        <v>1814.99</v>
      </c>
      <c r="T238" s="2">
        <v>0</v>
      </c>
      <c r="U238" s="1">
        <v>0</v>
      </c>
      <c r="V238" s="2">
        <v>0</v>
      </c>
      <c r="W238" s="1"/>
      <c r="X238" s="2">
        <v>5712</v>
      </c>
      <c r="Y238" s="4">
        <v>2707.66</v>
      </c>
      <c r="Z238" s="3">
        <v>47.4</v>
      </c>
      <c r="AA238" s="1" t="s">
        <v>60</v>
      </c>
      <c r="AB238" s="1">
        <v>0</v>
      </c>
      <c r="AC238" s="1">
        <v>0</v>
      </c>
      <c r="AD238" s="3">
        <v>0</v>
      </c>
      <c r="AE238" s="1">
        <v>0</v>
      </c>
      <c r="AF238" s="3">
        <v>0</v>
      </c>
      <c r="AG238" s="1">
        <v>5</v>
      </c>
      <c r="AH238" s="1" t="s">
        <v>61</v>
      </c>
      <c r="AI238" s="1" t="s">
        <v>105</v>
      </c>
      <c r="AJ238" s="1">
        <v>1</v>
      </c>
      <c r="AK238" s="1">
        <v>20</v>
      </c>
      <c r="AL238" s="1" t="s">
        <v>51</v>
      </c>
    </row>
    <row r="239" spans="1:38" ht="16.05" customHeight="1">
      <c r="A239" s="5" t="s">
        <v>999</v>
      </c>
      <c r="B239" s="23">
        <v>45280</v>
      </c>
      <c r="C239" s="5" t="s">
        <v>468</v>
      </c>
      <c r="D239" s="5" t="s">
        <v>81</v>
      </c>
      <c r="E239" s="5" t="s">
        <v>284</v>
      </c>
      <c r="F239" s="5" t="s">
        <v>256</v>
      </c>
      <c r="G239" s="5" t="s">
        <v>1000</v>
      </c>
      <c r="H239" s="5" t="s">
        <v>1001</v>
      </c>
      <c r="I239" s="5" t="s">
        <v>46</v>
      </c>
      <c r="J239" s="5" t="s">
        <v>47</v>
      </c>
      <c r="K239" s="5">
        <v>6</v>
      </c>
      <c r="L239" s="6">
        <v>3220</v>
      </c>
      <c r="M239" s="6">
        <v>2581</v>
      </c>
      <c r="N239" s="7">
        <v>19.8</v>
      </c>
      <c r="O239" s="6">
        <v>15486</v>
      </c>
      <c r="P239" s="6">
        <v>1783.21</v>
      </c>
      <c r="Q239" s="6">
        <v>0</v>
      </c>
      <c r="R239" s="6">
        <v>41.81</v>
      </c>
      <c r="S239" s="6">
        <v>4745.8500000000004</v>
      </c>
      <c r="T239" s="6">
        <v>0</v>
      </c>
      <c r="U239" s="5">
        <v>0</v>
      </c>
      <c r="V239" s="6">
        <v>0</v>
      </c>
      <c r="W239" s="5"/>
      <c r="X239" s="6">
        <v>15486</v>
      </c>
      <c r="Y239" s="8">
        <v>8915.1299999999992</v>
      </c>
      <c r="Z239" s="7">
        <v>57.6</v>
      </c>
      <c r="AA239" s="5" t="s">
        <v>60</v>
      </c>
      <c r="AB239" s="5">
        <v>0</v>
      </c>
      <c r="AC239" s="5">
        <v>0</v>
      </c>
      <c r="AD239" s="7">
        <v>0</v>
      </c>
      <c r="AE239" s="5">
        <v>0</v>
      </c>
      <c r="AF239" s="7">
        <v>0</v>
      </c>
      <c r="AG239" s="5">
        <v>2</v>
      </c>
      <c r="AH239" s="5" t="s">
        <v>61</v>
      </c>
      <c r="AI239" s="5" t="s">
        <v>153</v>
      </c>
      <c r="AJ239" s="5">
        <v>3</v>
      </c>
      <c r="AK239" s="5">
        <v>172</v>
      </c>
      <c r="AL239" s="5" t="s">
        <v>51</v>
      </c>
    </row>
    <row r="240" spans="1:38" ht="16.05" customHeight="1">
      <c r="A240" s="1" t="s">
        <v>1002</v>
      </c>
      <c r="B240" s="22">
        <v>45561</v>
      </c>
      <c r="C240" s="1" t="s">
        <v>1003</v>
      </c>
      <c r="D240" s="1" t="s">
        <v>144</v>
      </c>
      <c r="E240" s="1" t="s">
        <v>166</v>
      </c>
      <c r="F240" s="1" t="s">
        <v>91</v>
      </c>
      <c r="G240" s="1" t="s">
        <v>1004</v>
      </c>
      <c r="H240" s="1" t="s">
        <v>1005</v>
      </c>
      <c r="I240" s="1" t="s">
        <v>46</v>
      </c>
      <c r="J240" s="1" t="s">
        <v>47</v>
      </c>
      <c r="K240" s="1">
        <v>9</v>
      </c>
      <c r="L240" s="2">
        <v>1956</v>
      </c>
      <c r="M240" s="2">
        <v>1607</v>
      </c>
      <c r="N240" s="3">
        <v>17.8</v>
      </c>
      <c r="O240" s="2">
        <v>14463</v>
      </c>
      <c r="P240" s="2">
        <v>2058.0700000000002</v>
      </c>
      <c r="Q240" s="2">
        <v>0</v>
      </c>
      <c r="R240" s="2">
        <v>38.14</v>
      </c>
      <c r="S240" s="2">
        <v>4539.54</v>
      </c>
      <c r="T240" s="2">
        <v>7.07</v>
      </c>
      <c r="U240" s="1">
        <v>0</v>
      </c>
      <c r="V240" s="2">
        <v>0</v>
      </c>
      <c r="W240" s="1"/>
      <c r="X240" s="2">
        <v>14463</v>
      </c>
      <c r="Y240" s="4">
        <v>7820.18</v>
      </c>
      <c r="Z240" s="3">
        <v>54.1</v>
      </c>
      <c r="AA240" s="1" t="s">
        <v>48</v>
      </c>
      <c r="AB240" s="1">
        <v>9306</v>
      </c>
      <c r="AC240" s="1">
        <v>197</v>
      </c>
      <c r="AD240" s="3">
        <v>2.12</v>
      </c>
      <c r="AE240" s="1">
        <v>0</v>
      </c>
      <c r="AF240" s="3">
        <v>0</v>
      </c>
      <c r="AG240" s="1">
        <v>5</v>
      </c>
      <c r="AH240" s="1" t="s">
        <v>61</v>
      </c>
      <c r="AI240" s="1" t="s">
        <v>163</v>
      </c>
      <c r="AJ240" s="1">
        <v>5</v>
      </c>
      <c r="AK240" s="1">
        <v>175</v>
      </c>
      <c r="AL240" s="1" t="s">
        <v>51</v>
      </c>
    </row>
    <row r="241" spans="1:38" ht="16.05" customHeight="1">
      <c r="A241" s="5" t="s">
        <v>1006</v>
      </c>
      <c r="B241" s="23">
        <v>45409</v>
      </c>
      <c r="C241" s="5"/>
      <c r="D241" s="5" t="s">
        <v>65</v>
      </c>
      <c r="E241" s="5" t="s">
        <v>66</v>
      </c>
      <c r="F241" s="5" t="s">
        <v>227</v>
      </c>
      <c r="G241" s="5" t="s">
        <v>1007</v>
      </c>
      <c r="H241" s="5" t="s">
        <v>1008</v>
      </c>
      <c r="I241" s="5" t="s">
        <v>59</v>
      </c>
      <c r="J241" s="5" t="s">
        <v>77</v>
      </c>
      <c r="K241" s="5">
        <v>6</v>
      </c>
      <c r="L241" s="6">
        <v>2430</v>
      </c>
      <c r="M241" s="6">
        <v>2164</v>
      </c>
      <c r="N241" s="7">
        <v>10.9</v>
      </c>
      <c r="O241" s="6">
        <v>12984</v>
      </c>
      <c r="P241" s="6">
        <v>2292.12</v>
      </c>
      <c r="Q241" s="6">
        <v>649.20000000000005</v>
      </c>
      <c r="R241" s="6">
        <v>0</v>
      </c>
      <c r="S241" s="6">
        <v>5404.98</v>
      </c>
      <c r="T241" s="6">
        <v>0</v>
      </c>
      <c r="U241" s="5">
        <v>0</v>
      </c>
      <c r="V241" s="6">
        <v>0</v>
      </c>
      <c r="W241" s="5"/>
      <c r="X241" s="6">
        <v>12984</v>
      </c>
      <c r="Y241" s="8">
        <v>4637.7</v>
      </c>
      <c r="Z241" s="7">
        <v>35.700000000000003</v>
      </c>
      <c r="AA241" s="5" t="s">
        <v>60</v>
      </c>
      <c r="AB241" s="5">
        <v>0</v>
      </c>
      <c r="AC241" s="5">
        <v>0</v>
      </c>
      <c r="AD241" s="7">
        <v>0</v>
      </c>
      <c r="AE241" s="5">
        <v>0</v>
      </c>
      <c r="AF241" s="7">
        <v>0</v>
      </c>
      <c r="AG241" s="5"/>
      <c r="AH241" s="5" t="s">
        <v>49</v>
      </c>
      <c r="AI241" s="5" t="s">
        <v>105</v>
      </c>
      <c r="AJ241" s="5">
        <v>1</v>
      </c>
      <c r="AK241" s="5">
        <v>76</v>
      </c>
      <c r="AL241" s="5" t="s">
        <v>51</v>
      </c>
    </row>
    <row r="242" spans="1:38" ht="16.05" customHeight="1">
      <c r="A242" s="1" t="s">
        <v>1009</v>
      </c>
      <c r="B242" s="22">
        <v>45413</v>
      </c>
      <c r="C242" s="1" t="s">
        <v>1010</v>
      </c>
      <c r="D242" s="1" t="s">
        <v>144</v>
      </c>
      <c r="E242" s="1" t="s">
        <v>456</v>
      </c>
      <c r="F242" s="1" t="s">
        <v>209</v>
      </c>
      <c r="G242" s="1" t="s">
        <v>1011</v>
      </c>
      <c r="H242" s="1" t="s">
        <v>1012</v>
      </c>
      <c r="I242" s="1" t="s">
        <v>59</v>
      </c>
      <c r="J242" s="1" t="s">
        <v>47</v>
      </c>
      <c r="K242" s="1">
        <v>5</v>
      </c>
      <c r="L242" s="2">
        <v>2962</v>
      </c>
      <c r="M242" s="2">
        <v>2549</v>
      </c>
      <c r="N242" s="3">
        <v>13.9</v>
      </c>
      <c r="O242" s="2">
        <v>12745</v>
      </c>
      <c r="P242" s="2">
        <v>2075.7399999999998</v>
      </c>
      <c r="Q242" s="2">
        <v>637.25</v>
      </c>
      <c r="R242" s="2">
        <v>0</v>
      </c>
      <c r="S242" s="2">
        <v>4541.33</v>
      </c>
      <c r="T242" s="2">
        <v>0</v>
      </c>
      <c r="U242" s="1">
        <v>0</v>
      </c>
      <c r="V242" s="2">
        <v>0</v>
      </c>
      <c r="W242" s="1"/>
      <c r="X242" s="2">
        <v>12745</v>
      </c>
      <c r="Y242" s="4">
        <v>5490.68</v>
      </c>
      <c r="Z242" s="3">
        <v>43.1</v>
      </c>
      <c r="AA242" s="1" t="s">
        <v>60</v>
      </c>
      <c r="AB242" s="1">
        <v>0</v>
      </c>
      <c r="AC242" s="1">
        <v>0</v>
      </c>
      <c r="AD242" s="3">
        <v>0</v>
      </c>
      <c r="AE242" s="1">
        <v>0</v>
      </c>
      <c r="AF242" s="3">
        <v>0</v>
      </c>
      <c r="AG242" s="1">
        <v>5</v>
      </c>
      <c r="AH242" s="1" t="s">
        <v>49</v>
      </c>
      <c r="AI242" s="1" t="s">
        <v>118</v>
      </c>
      <c r="AJ242" s="1">
        <v>3</v>
      </c>
      <c r="AK242" s="1">
        <v>196</v>
      </c>
      <c r="AL242" s="1" t="s">
        <v>51</v>
      </c>
    </row>
    <row r="243" spans="1:38" ht="16.05" customHeight="1">
      <c r="A243" s="5" t="s">
        <v>1013</v>
      </c>
      <c r="B243" s="23">
        <v>45161</v>
      </c>
      <c r="C243" s="5" t="s">
        <v>1014</v>
      </c>
      <c r="D243" s="5" t="s">
        <v>41</v>
      </c>
      <c r="E243" s="5" t="s">
        <v>335</v>
      </c>
      <c r="F243" s="5" t="s">
        <v>197</v>
      </c>
      <c r="G243" s="5" t="s">
        <v>1015</v>
      </c>
      <c r="H243" s="5" t="s">
        <v>1016</v>
      </c>
      <c r="I243" s="5" t="s">
        <v>59</v>
      </c>
      <c r="J243" s="5" t="s">
        <v>103</v>
      </c>
      <c r="K243" s="5">
        <v>10</v>
      </c>
      <c r="L243" s="6">
        <v>1170</v>
      </c>
      <c r="M243" s="6">
        <v>1087</v>
      </c>
      <c r="N243" s="7">
        <v>7.1</v>
      </c>
      <c r="O243" s="6">
        <v>10870</v>
      </c>
      <c r="P243" s="6">
        <v>1912.8</v>
      </c>
      <c r="Q243" s="6">
        <v>543.5</v>
      </c>
      <c r="R243" s="6">
        <v>0</v>
      </c>
      <c r="S243" s="6">
        <v>4744.9799999999996</v>
      </c>
      <c r="T243" s="6">
        <v>405.35</v>
      </c>
      <c r="U243" s="5">
        <v>0</v>
      </c>
      <c r="V243" s="6">
        <v>0</v>
      </c>
      <c r="W243" s="5" t="s">
        <v>206</v>
      </c>
      <c r="X243" s="6">
        <v>10870</v>
      </c>
      <c r="Y243" s="8">
        <v>3263.37</v>
      </c>
      <c r="Z243" s="7">
        <v>30</v>
      </c>
      <c r="AA243" s="5" t="s">
        <v>48</v>
      </c>
      <c r="AB243" s="5">
        <v>10209</v>
      </c>
      <c r="AC243" s="5">
        <v>151</v>
      </c>
      <c r="AD243" s="7">
        <v>1.48</v>
      </c>
      <c r="AE243" s="5">
        <v>0</v>
      </c>
      <c r="AF243" s="7">
        <v>0</v>
      </c>
      <c r="AG243" s="5"/>
      <c r="AH243" s="5" t="s">
        <v>49</v>
      </c>
      <c r="AI243" s="5" t="s">
        <v>70</v>
      </c>
      <c r="AJ243" s="5">
        <v>1</v>
      </c>
      <c r="AK243" s="5">
        <v>4</v>
      </c>
      <c r="AL243" s="12" t="s">
        <v>71</v>
      </c>
    </row>
    <row r="244" spans="1:38" ht="16.05" customHeight="1">
      <c r="A244" s="1" t="s">
        <v>1017</v>
      </c>
      <c r="B244" s="22">
        <v>45292</v>
      </c>
      <c r="C244" s="1"/>
      <c r="D244" s="1" t="s">
        <v>81</v>
      </c>
      <c r="E244" s="1" t="s">
        <v>185</v>
      </c>
      <c r="F244" s="1" t="s">
        <v>74</v>
      </c>
      <c r="G244" s="1" t="s">
        <v>1018</v>
      </c>
      <c r="H244" s="1" t="s">
        <v>1019</v>
      </c>
      <c r="I244" s="1" t="s">
        <v>59</v>
      </c>
      <c r="J244" s="1" t="s">
        <v>85</v>
      </c>
      <c r="K244" s="1">
        <v>9</v>
      </c>
      <c r="L244" s="2">
        <v>2657</v>
      </c>
      <c r="M244" s="2">
        <v>2435</v>
      </c>
      <c r="N244" s="3">
        <v>8.4</v>
      </c>
      <c r="O244" s="2">
        <v>21915</v>
      </c>
      <c r="P244" s="2">
        <v>2752</v>
      </c>
      <c r="Q244" s="2">
        <v>1095.75</v>
      </c>
      <c r="R244" s="2">
        <v>0</v>
      </c>
      <c r="S244" s="2">
        <v>8066.59</v>
      </c>
      <c r="T244" s="2">
        <v>253.7</v>
      </c>
      <c r="U244" s="1">
        <v>0</v>
      </c>
      <c r="V244" s="2">
        <v>0</v>
      </c>
      <c r="W244" s="1"/>
      <c r="X244" s="2">
        <v>21915</v>
      </c>
      <c r="Y244" s="4">
        <v>9746.9599999999991</v>
      </c>
      <c r="Z244" s="3">
        <v>44.5</v>
      </c>
      <c r="AA244" s="1" t="s">
        <v>78</v>
      </c>
      <c r="AB244" s="1">
        <v>4987</v>
      </c>
      <c r="AC244" s="1">
        <v>227</v>
      </c>
      <c r="AD244" s="3">
        <v>4.55</v>
      </c>
      <c r="AE244" s="1">
        <v>32</v>
      </c>
      <c r="AF244" s="3">
        <v>0.3</v>
      </c>
      <c r="AG244" s="1"/>
      <c r="AH244" s="1" t="s">
        <v>49</v>
      </c>
      <c r="AI244" s="1" t="s">
        <v>153</v>
      </c>
      <c r="AJ244" s="1">
        <v>2</v>
      </c>
      <c r="AK244" s="1">
        <v>10</v>
      </c>
      <c r="AL244" s="9" t="s">
        <v>71</v>
      </c>
    </row>
    <row r="245" spans="1:38" ht="16.05" customHeight="1">
      <c r="A245" s="5" t="s">
        <v>1020</v>
      </c>
      <c r="B245" s="23">
        <v>45415</v>
      </c>
      <c r="C245" s="5"/>
      <c r="D245" s="5" t="s">
        <v>65</v>
      </c>
      <c r="E245" s="5" t="s">
        <v>108</v>
      </c>
      <c r="F245" s="5" t="s">
        <v>43</v>
      </c>
      <c r="G245" s="5" t="s">
        <v>1021</v>
      </c>
      <c r="H245" s="5" t="s">
        <v>1022</v>
      </c>
      <c r="I245" s="5" t="s">
        <v>46</v>
      </c>
      <c r="J245" s="5" t="s">
        <v>136</v>
      </c>
      <c r="K245" s="5">
        <v>8</v>
      </c>
      <c r="L245" s="6">
        <v>1632</v>
      </c>
      <c r="M245" s="6">
        <v>1203</v>
      </c>
      <c r="N245" s="7">
        <v>26.3</v>
      </c>
      <c r="O245" s="6">
        <v>9624</v>
      </c>
      <c r="P245" s="6">
        <v>1692.48</v>
      </c>
      <c r="Q245" s="6">
        <v>0</v>
      </c>
      <c r="R245" s="6">
        <v>48.87</v>
      </c>
      <c r="S245" s="6">
        <v>4374.6099999999997</v>
      </c>
      <c r="T245" s="6">
        <v>481.47</v>
      </c>
      <c r="U245" s="5">
        <v>0</v>
      </c>
      <c r="V245" s="6">
        <v>0</v>
      </c>
      <c r="W245" s="5"/>
      <c r="X245" s="6">
        <v>9624</v>
      </c>
      <c r="Y245" s="8">
        <v>3026.57</v>
      </c>
      <c r="Z245" s="7">
        <v>31.4</v>
      </c>
      <c r="AA245" s="5" t="s">
        <v>48</v>
      </c>
      <c r="AB245" s="5">
        <v>6774</v>
      </c>
      <c r="AC245" s="5">
        <v>440</v>
      </c>
      <c r="AD245" s="7">
        <v>6.5</v>
      </c>
      <c r="AE245" s="5">
        <v>61</v>
      </c>
      <c r="AF245" s="7">
        <v>0.7</v>
      </c>
      <c r="AG245" s="5"/>
      <c r="AH245" s="5" t="s">
        <v>49</v>
      </c>
      <c r="AI245" s="5" t="s">
        <v>153</v>
      </c>
      <c r="AJ245" s="5">
        <v>3</v>
      </c>
      <c r="AK245" s="5">
        <v>55</v>
      </c>
      <c r="AL245" s="5" t="s">
        <v>51</v>
      </c>
    </row>
    <row r="246" spans="1:38" ht="16.05" customHeight="1">
      <c r="A246" s="1" t="s">
        <v>1023</v>
      </c>
      <c r="B246" s="22">
        <v>45556</v>
      </c>
      <c r="C246" s="1" t="s">
        <v>532</v>
      </c>
      <c r="D246" s="1" t="s">
        <v>41</v>
      </c>
      <c r="E246" s="1" t="s">
        <v>335</v>
      </c>
      <c r="F246" s="1" t="s">
        <v>197</v>
      </c>
      <c r="G246" s="1" t="s">
        <v>1024</v>
      </c>
      <c r="H246" s="1" t="s">
        <v>1025</v>
      </c>
      <c r="I246" s="1" t="s">
        <v>59</v>
      </c>
      <c r="J246" s="1" t="s">
        <v>47</v>
      </c>
      <c r="K246" s="1">
        <v>4</v>
      </c>
      <c r="L246" s="2">
        <v>1502</v>
      </c>
      <c r="M246" s="2">
        <v>1081</v>
      </c>
      <c r="N246" s="3">
        <v>28</v>
      </c>
      <c r="O246" s="2">
        <v>4324</v>
      </c>
      <c r="P246" s="2">
        <v>346.28</v>
      </c>
      <c r="Q246" s="2">
        <v>216.2</v>
      </c>
      <c r="R246" s="2">
        <v>0</v>
      </c>
      <c r="S246" s="2">
        <v>1886.4</v>
      </c>
      <c r="T246" s="2">
        <v>259.87</v>
      </c>
      <c r="U246" s="1">
        <v>0</v>
      </c>
      <c r="V246" s="2">
        <v>0</v>
      </c>
      <c r="W246" s="1"/>
      <c r="X246" s="2">
        <v>4324</v>
      </c>
      <c r="Y246" s="4">
        <v>1615.25</v>
      </c>
      <c r="Z246" s="3">
        <v>37.4</v>
      </c>
      <c r="AA246" s="1" t="s">
        <v>94</v>
      </c>
      <c r="AB246" s="1">
        <v>2524</v>
      </c>
      <c r="AC246" s="1">
        <v>51</v>
      </c>
      <c r="AD246" s="3">
        <v>2.02</v>
      </c>
      <c r="AE246" s="1">
        <v>2</v>
      </c>
      <c r="AF246" s="3">
        <v>12</v>
      </c>
      <c r="AG246" s="1">
        <v>5</v>
      </c>
      <c r="AH246" s="1" t="s">
        <v>61</v>
      </c>
      <c r="AI246" s="1" t="s">
        <v>176</v>
      </c>
      <c r="AJ246" s="1">
        <v>3</v>
      </c>
      <c r="AK246" s="1">
        <v>193</v>
      </c>
      <c r="AL246" s="1" t="s">
        <v>51</v>
      </c>
    </row>
    <row r="247" spans="1:38" ht="16.05" customHeight="1">
      <c r="A247" s="5" t="s">
        <v>1026</v>
      </c>
      <c r="B247" s="23">
        <v>45088</v>
      </c>
      <c r="C247" s="5" t="s">
        <v>1027</v>
      </c>
      <c r="D247" s="5" t="s">
        <v>41</v>
      </c>
      <c r="E247" s="5" t="s">
        <v>335</v>
      </c>
      <c r="F247" s="5" t="s">
        <v>74</v>
      </c>
      <c r="G247" s="5" t="s">
        <v>1028</v>
      </c>
      <c r="H247" s="5" t="s">
        <v>1029</v>
      </c>
      <c r="I247" s="5" t="s">
        <v>46</v>
      </c>
      <c r="J247" s="5" t="s">
        <v>103</v>
      </c>
      <c r="K247" s="5">
        <v>3</v>
      </c>
      <c r="L247" s="6">
        <v>748</v>
      </c>
      <c r="M247" s="6">
        <v>586</v>
      </c>
      <c r="N247" s="7">
        <v>21.7</v>
      </c>
      <c r="O247" s="6">
        <v>1758</v>
      </c>
      <c r="P247" s="6">
        <v>208.87</v>
      </c>
      <c r="Q247" s="6">
        <v>0</v>
      </c>
      <c r="R247" s="6">
        <v>104.38</v>
      </c>
      <c r="S247" s="6">
        <v>956.2</v>
      </c>
      <c r="T247" s="6">
        <v>425.89</v>
      </c>
      <c r="U247" s="5">
        <v>2</v>
      </c>
      <c r="V247" s="6">
        <v>1172</v>
      </c>
      <c r="W247" s="5" t="s">
        <v>206</v>
      </c>
      <c r="X247" s="6">
        <v>586</v>
      </c>
      <c r="Y247" s="11">
        <v>-1109.3399999999999</v>
      </c>
      <c r="Z247" s="7">
        <v>-189.3</v>
      </c>
      <c r="AA247" s="5" t="s">
        <v>94</v>
      </c>
      <c r="AB247" s="5">
        <v>14907</v>
      </c>
      <c r="AC247" s="5">
        <v>486</v>
      </c>
      <c r="AD247" s="7">
        <v>3.26</v>
      </c>
      <c r="AE247" s="5">
        <v>46</v>
      </c>
      <c r="AF247" s="7">
        <v>1.6</v>
      </c>
      <c r="AG247" s="5"/>
      <c r="AH247" s="5" t="s">
        <v>49</v>
      </c>
      <c r="AI247" s="5" t="s">
        <v>118</v>
      </c>
      <c r="AJ247" s="5">
        <v>7</v>
      </c>
      <c r="AK247" s="5">
        <v>44</v>
      </c>
      <c r="AL247" s="5" t="s">
        <v>51</v>
      </c>
    </row>
    <row r="248" spans="1:38" ht="16.05" customHeight="1">
      <c r="A248" s="1" t="s">
        <v>1030</v>
      </c>
      <c r="B248" s="22">
        <v>45566</v>
      </c>
      <c r="C248" s="1" t="s">
        <v>634</v>
      </c>
      <c r="D248" s="1" t="s">
        <v>81</v>
      </c>
      <c r="E248" s="1" t="s">
        <v>139</v>
      </c>
      <c r="F248" s="1" t="s">
        <v>125</v>
      </c>
      <c r="G248" s="1" t="s">
        <v>1031</v>
      </c>
      <c r="H248" s="1" t="s">
        <v>1032</v>
      </c>
      <c r="I248" s="1" t="s">
        <v>46</v>
      </c>
      <c r="J248" s="1" t="s">
        <v>47</v>
      </c>
      <c r="K248" s="1">
        <v>5</v>
      </c>
      <c r="L248" s="2">
        <v>2522</v>
      </c>
      <c r="M248" s="2">
        <v>1944</v>
      </c>
      <c r="N248" s="3">
        <v>22.9</v>
      </c>
      <c r="O248" s="2">
        <v>9720</v>
      </c>
      <c r="P248" s="2">
        <v>1555.82</v>
      </c>
      <c r="Q248" s="2">
        <v>0</v>
      </c>
      <c r="R248" s="2">
        <v>111.77</v>
      </c>
      <c r="S248" s="2">
        <v>3205.1</v>
      </c>
      <c r="T248" s="2">
        <v>368.41</v>
      </c>
      <c r="U248" s="1">
        <v>0</v>
      </c>
      <c r="V248" s="2">
        <v>0</v>
      </c>
      <c r="W248" s="1"/>
      <c r="X248" s="2">
        <v>9720</v>
      </c>
      <c r="Y248" s="4">
        <v>4478.8999999999996</v>
      </c>
      <c r="Z248" s="3">
        <v>46.1</v>
      </c>
      <c r="AA248" s="1" t="s">
        <v>48</v>
      </c>
      <c r="AB248" s="1">
        <v>12740</v>
      </c>
      <c r="AC248" s="1">
        <v>602</v>
      </c>
      <c r="AD248" s="3">
        <v>4.7300000000000004</v>
      </c>
      <c r="AE248" s="1">
        <v>25</v>
      </c>
      <c r="AF248" s="3">
        <v>0.8</v>
      </c>
      <c r="AG248" s="1">
        <v>3</v>
      </c>
      <c r="AH248" s="1" t="s">
        <v>49</v>
      </c>
      <c r="AI248" s="1" t="s">
        <v>105</v>
      </c>
      <c r="AJ248" s="1">
        <v>6</v>
      </c>
      <c r="AK248" s="1">
        <v>156</v>
      </c>
      <c r="AL248" s="1" t="s">
        <v>51</v>
      </c>
    </row>
    <row r="249" spans="1:38" ht="16.05" customHeight="1">
      <c r="A249" s="5" t="s">
        <v>1033</v>
      </c>
      <c r="B249" s="23">
        <v>45249</v>
      </c>
      <c r="C249" s="5" t="s">
        <v>1034</v>
      </c>
      <c r="D249" s="5" t="s">
        <v>41</v>
      </c>
      <c r="E249" s="5" t="s">
        <v>160</v>
      </c>
      <c r="F249" s="5" t="s">
        <v>329</v>
      </c>
      <c r="G249" s="5" t="s">
        <v>1035</v>
      </c>
      <c r="H249" s="5" t="s">
        <v>1036</v>
      </c>
      <c r="I249" s="5" t="s">
        <v>46</v>
      </c>
      <c r="J249" s="5" t="s">
        <v>47</v>
      </c>
      <c r="K249" s="5">
        <v>1</v>
      </c>
      <c r="L249" s="6">
        <v>3639</v>
      </c>
      <c r="M249" s="6">
        <v>2751</v>
      </c>
      <c r="N249" s="7">
        <v>24.4</v>
      </c>
      <c r="O249" s="6">
        <v>2751</v>
      </c>
      <c r="P249" s="6">
        <v>294.98</v>
      </c>
      <c r="Q249" s="6">
        <v>0</v>
      </c>
      <c r="R249" s="6">
        <v>113.44</v>
      </c>
      <c r="S249" s="6">
        <v>1226.51</v>
      </c>
      <c r="T249" s="6">
        <v>72.73</v>
      </c>
      <c r="U249" s="5">
        <v>0</v>
      </c>
      <c r="V249" s="6">
        <v>0</v>
      </c>
      <c r="W249" s="5"/>
      <c r="X249" s="6">
        <v>2751</v>
      </c>
      <c r="Y249" s="8">
        <v>1043.3399999999999</v>
      </c>
      <c r="Z249" s="7">
        <v>37.9</v>
      </c>
      <c r="AA249" s="5" t="s">
        <v>48</v>
      </c>
      <c r="AB249" s="5">
        <v>11045</v>
      </c>
      <c r="AC249" s="5">
        <v>801</v>
      </c>
      <c r="AD249" s="7">
        <v>7.25</v>
      </c>
      <c r="AE249" s="5">
        <v>107</v>
      </c>
      <c r="AF249" s="7">
        <v>0</v>
      </c>
      <c r="AG249" s="5">
        <v>5</v>
      </c>
      <c r="AH249" s="5" t="s">
        <v>61</v>
      </c>
      <c r="AI249" s="5" t="s">
        <v>86</v>
      </c>
      <c r="AJ249" s="5">
        <v>4</v>
      </c>
      <c r="AK249" s="5">
        <v>105</v>
      </c>
      <c r="AL249" s="5" t="s">
        <v>51</v>
      </c>
    </row>
    <row r="250" spans="1:38" ht="16.05" customHeight="1">
      <c r="A250" s="1" t="s">
        <v>1037</v>
      </c>
      <c r="B250" s="22">
        <v>45178</v>
      </c>
      <c r="C250" s="1" t="s">
        <v>1038</v>
      </c>
      <c r="D250" s="1" t="s">
        <v>81</v>
      </c>
      <c r="E250" s="1" t="s">
        <v>279</v>
      </c>
      <c r="F250" s="1" t="s">
        <v>56</v>
      </c>
      <c r="G250" s="1" t="s">
        <v>1039</v>
      </c>
      <c r="H250" s="1" t="s">
        <v>1040</v>
      </c>
      <c r="I250" s="1" t="s">
        <v>46</v>
      </c>
      <c r="J250" s="1" t="s">
        <v>47</v>
      </c>
      <c r="K250" s="1">
        <v>1</v>
      </c>
      <c r="L250" s="2">
        <v>620</v>
      </c>
      <c r="M250" s="2">
        <v>545</v>
      </c>
      <c r="N250" s="3">
        <v>12.1</v>
      </c>
      <c r="O250" s="2">
        <v>545</v>
      </c>
      <c r="P250" s="2">
        <v>71.52</v>
      </c>
      <c r="Q250" s="2">
        <v>0</v>
      </c>
      <c r="R250" s="2">
        <v>48.82</v>
      </c>
      <c r="S250" s="2">
        <v>296.04000000000002</v>
      </c>
      <c r="T250" s="2">
        <v>464.98</v>
      </c>
      <c r="U250" s="1">
        <v>0</v>
      </c>
      <c r="V250" s="2">
        <v>0</v>
      </c>
      <c r="W250" s="1"/>
      <c r="X250" s="2">
        <v>545</v>
      </c>
      <c r="Y250" s="10">
        <v>-336.36</v>
      </c>
      <c r="Z250" s="3">
        <v>-61.7</v>
      </c>
      <c r="AA250" s="1" t="s">
        <v>60</v>
      </c>
      <c r="AB250" s="1">
        <v>9861</v>
      </c>
      <c r="AC250" s="1">
        <v>324</v>
      </c>
      <c r="AD250" s="3">
        <v>3.29</v>
      </c>
      <c r="AE250" s="1">
        <v>17</v>
      </c>
      <c r="AF250" s="3">
        <v>5</v>
      </c>
      <c r="AG250" s="1">
        <v>3</v>
      </c>
      <c r="AH250" s="1" t="s">
        <v>61</v>
      </c>
      <c r="AI250" s="1" t="s">
        <v>112</v>
      </c>
      <c r="AJ250" s="1">
        <v>3</v>
      </c>
      <c r="AK250" s="1">
        <v>124</v>
      </c>
      <c r="AL250" s="1" t="s">
        <v>51</v>
      </c>
    </row>
    <row r="251" spans="1:38" ht="16.05" customHeight="1">
      <c r="A251" s="5" t="s">
        <v>1041</v>
      </c>
      <c r="B251" s="23">
        <v>45485</v>
      </c>
      <c r="C251" s="5" t="s">
        <v>1042</v>
      </c>
      <c r="D251" s="5" t="s">
        <v>81</v>
      </c>
      <c r="E251" s="5" t="s">
        <v>185</v>
      </c>
      <c r="F251" s="5" t="s">
        <v>239</v>
      </c>
      <c r="G251" s="5" t="s">
        <v>1043</v>
      </c>
      <c r="H251" s="5" t="s">
        <v>1044</v>
      </c>
      <c r="I251" s="5" t="s">
        <v>46</v>
      </c>
      <c r="J251" s="5" t="s">
        <v>47</v>
      </c>
      <c r="K251" s="5">
        <v>3</v>
      </c>
      <c r="L251" s="6">
        <v>3961</v>
      </c>
      <c r="M251" s="6">
        <v>3681</v>
      </c>
      <c r="N251" s="7">
        <v>7.1</v>
      </c>
      <c r="O251" s="6">
        <v>11043</v>
      </c>
      <c r="P251" s="6">
        <v>1317.71</v>
      </c>
      <c r="Q251" s="6">
        <v>0</v>
      </c>
      <c r="R251" s="6">
        <v>61.42</v>
      </c>
      <c r="S251" s="6">
        <v>4201.32</v>
      </c>
      <c r="T251" s="6">
        <v>284.38</v>
      </c>
      <c r="U251" s="5">
        <v>0</v>
      </c>
      <c r="V251" s="6">
        <v>0</v>
      </c>
      <c r="W251" s="5"/>
      <c r="X251" s="6">
        <v>11043</v>
      </c>
      <c r="Y251" s="8">
        <v>5178.17</v>
      </c>
      <c r="Z251" s="7">
        <v>46.9</v>
      </c>
      <c r="AA251" s="5" t="s">
        <v>60</v>
      </c>
      <c r="AB251" s="5">
        <v>10037</v>
      </c>
      <c r="AC251" s="5">
        <v>602</v>
      </c>
      <c r="AD251" s="7">
        <v>6</v>
      </c>
      <c r="AE251" s="5">
        <v>37</v>
      </c>
      <c r="AF251" s="7">
        <v>0.2</v>
      </c>
      <c r="AG251" s="5">
        <v>5</v>
      </c>
      <c r="AH251" s="5" t="s">
        <v>49</v>
      </c>
      <c r="AI251" s="5" t="s">
        <v>62</v>
      </c>
      <c r="AJ251" s="5">
        <v>5</v>
      </c>
      <c r="AK251" s="5">
        <v>118</v>
      </c>
      <c r="AL251" s="5" t="s">
        <v>51</v>
      </c>
    </row>
    <row r="252" spans="1:38" ht="16.05" customHeight="1">
      <c r="A252" s="1" t="s">
        <v>1045</v>
      </c>
      <c r="B252" s="22">
        <v>45359</v>
      </c>
      <c r="C252" s="1" t="s">
        <v>184</v>
      </c>
      <c r="D252" s="1" t="s">
        <v>41</v>
      </c>
      <c r="E252" s="1" t="s">
        <v>335</v>
      </c>
      <c r="F252" s="1" t="s">
        <v>256</v>
      </c>
      <c r="G252" s="1" t="s">
        <v>1046</v>
      </c>
      <c r="H252" s="1" t="s">
        <v>1047</v>
      </c>
      <c r="I252" s="1" t="s">
        <v>46</v>
      </c>
      <c r="J252" s="1" t="s">
        <v>47</v>
      </c>
      <c r="K252" s="1">
        <v>10</v>
      </c>
      <c r="L252" s="2">
        <v>1632</v>
      </c>
      <c r="M252" s="2">
        <v>1298</v>
      </c>
      <c r="N252" s="3">
        <v>20.5</v>
      </c>
      <c r="O252" s="2">
        <v>12980</v>
      </c>
      <c r="P252" s="2">
        <v>1225.74</v>
      </c>
      <c r="Q252" s="2">
        <v>0</v>
      </c>
      <c r="R252" s="2">
        <v>89.81</v>
      </c>
      <c r="S252" s="2">
        <v>7099.94</v>
      </c>
      <c r="T252" s="2">
        <v>0</v>
      </c>
      <c r="U252" s="1">
        <v>0</v>
      </c>
      <c r="V252" s="2">
        <v>0</v>
      </c>
      <c r="W252" s="1"/>
      <c r="X252" s="2">
        <v>12980</v>
      </c>
      <c r="Y252" s="4">
        <v>4564.51</v>
      </c>
      <c r="Z252" s="3">
        <v>35.200000000000003</v>
      </c>
      <c r="AA252" s="1" t="s">
        <v>60</v>
      </c>
      <c r="AB252" s="1">
        <v>0</v>
      </c>
      <c r="AC252" s="1">
        <v>0</v>
      </c>
      <c r="AD252" s="3">
        <v>0</v>
      </c>
      <c r="AE252" s="1">
        <v>0</v>
      </c>
      <c r="AF252" s="3">
        <v>0</v>
      </c>
      <c r="AG252" s="1">
        <v>4</v>
      </c>
      <c r="AH252" s="1" t="s">
        <v>49</v>
      </c>
      <c r="AI252" s="1" t="s">
        <v>153</v>
      </c>
      <c r="AJ252" s="1">
        <v>4</v>
      </c>
      <c r="AK252" s="1">
        <v>34</v>
      </c>
      <c r="AL252" s="1" t="s">
        <v>51</v>
      </c>
    </row>
    <row r="253" spans="1:38" ht="16.05" customHeight="1">
      <c r="A253" s="5" t="s">
        <v>1048</v>
      </c>
      <c r="B253" s="23">
        <v>45025</v>
      </c>
      <c r="C253" s="5"/>
      <c r="D253" s="5" t="s">
        <v>81</v>
      </c>
      <c r="E253" s="5" t="s">
        <v>270</v>
      </c>
      <c r="F253" s="5" t="s">
        <v>74</v>
      </c>
      <c r="G253" s="5" t="s">
        <v>1049</v>
      </c>
      <c r="H253" s="5" t="s">
        <v>1050</v>
      </c>
      <c r="I253" s="5" t="s">
        <v>46</v>
      </c>
      <c r="J253" s="5" t="s">
        <v>77</v>
      </c>
      <c r="K253" s="5">
        <v>6</v>
      </c>
      <c r="L253" s="6">
        <v>4185</v>
      </c>
      <c r="M253" s="6">
        <v>3831</v>
      </c>
      <c r="N253" s="7">
        <v>8.5</v>
      </c>
      <c r="O253" s="6">
        <v>22986</v>
      </c>
      <c r="P253" s="6">
        <v>2536.4</v>
      </c>
      <c r="Q253" s="6">
        <v>0</v>
      </c>
      <c r="R253" s="6">
        <v>33.619999999999997</v>
      </c>
      <c r="S253" s="6">
        <v>11588.83</v>
      </c>
      <c r="T253" s="6">
        <v>0</v>
      </c>
      <c r="U253" s="5">
        <v>0</v>
      </c>
      <c r="V253" s="6">
        <v>0</v>
      </c>
      <c r="W253" s="5"/>
      <c r="X253" s="6">
        <v>22986</v>
      </c>
      <c r="Y253" s="8">
        <v>8827.15</v>
      </c>
      <c r="Z253" s="7">
        <v>38.4</v>
      </c>
      <c r="AA253" s="5" t="s">
        <v>60</v>
      </c>
      <c r="AB253" s="5">
        <v>0</v>
      </c>
      <c r="AC253" s="5">
        <v>0</v>
      </c>
      <c r="AD253" s="7">
        <v>0</v>
      </c>
      <c r="AE253" s="5">
        <v>0</v>
      </c>
      <c r="AF253" s="7">
        <v>0</v>
      </c>
      <c r="AG253" s="5"/>
      <c r="AH253" s="5" t="s">
        <v>49</v>
      </c>
      <c r="AI253" s="5" t="s">
        <v>86</v>
      </c>
      <c r="AJ253" s="5">
        <v>6</v>
      </c>
      <c r="AK253" s="5">
        <v>96</v>
      </c>
      <c r="AL253" s="5" t="s">
        <v>51</v>
      </c>
    </row>
    <row r="254" spans="1:38" ht="16.05" customHeight="1">
      <c r="A254" s="1" t="s">
        <v>1051</v>
      </c>
      <c r="B254" s="22">
        <v>45021</v>
      </c>
      <c r="C254" s="1" t="s">
        <v>1052</v>
      </c>
      <c r="D254" s="1" t="s">
        <v>65</v>
      </c>
      <c r="E254" s="1" t="s">
        <v>179</v>
      </c>
      <c r="F254" s="1" t="s">
        <v>209</v>
      </c>
      <c r="G254" s="1" t="s">
        <v>1053</v>
      </c>
      <c r="H254" s="1" t="s">
        <v>1054</v>
      </c>
      <c r="I254" s="1" t="s">
        <v>46</v>
      </c>
      <c r="J254" s="1" t="s">
        <v>47</v>
      </c>
      <c r="K254" s="1">
        <v>8</v>
      </c>
      <c r="L254" s="2">
        <v>2848</v>
      </c>
      <c r="M254" s="2">
        <v>2072</v>
      </c>
      <c r="N254" s="3">
        <v>27.2</v>
      </c>
      <c r="O254" s="2">
        <v>16576</v>
      </c>
      <c r="P254" s="2">
        <v>1573.1</v>
      </c>
      <c r="Q254" s="2">
        <v>0</v>
      </c>
      <c r="R254" s="2">
        <v>80.489999999999995</v>
      </c>
      <c r="S254" s="2">
        <v>5928.61</v>
      </c>
      <c r="T254" s="2">
        <v>0</v>
      </c>
      <c r="U254" s="1">
        <v>0</v>
      </c>
      <c r="V254" s="2">
        <v>0</v>
      </c>
      <c r="W254" s="1"/>
      <c r="X254" s="2">
        <v>16576</v>
      </c>
      <c r="Y254" s="4">
        <v>8993.7999999999993</v>
      </c>
      <c r="Z254" s="3">
        <v>54.3</v>
      </c>
      <c r="AA254" s="1" t="s">
        <v>60</v>
      </c>
      <c r="AB254" s="1">
        <v>0</v>
      </c>
      <c r="AC254" s="1">
        <v>0</v>
      </c>
      <c r="AD254" s="3">
        <v>0</v>
      </c>
      <c r="AE254" s="1">
        <v>0</v>
      </c>
      <c r="AF254" s="3">
        <v>0</v>
      </c>
      <c r="AG254" s="1">
        <v>4</v>
      </c>
      <c r="AH254" s="1" t="s">
        <v>61</v>
      </c>
      <c r="AI254" s="1" t="s">
        <v>105</v>
      </c>
      <c r="AJ254" s="1">
        <v>7</v>
      </c>
      <c r="AK254" s="1">
        <v>1</v>
      </c>
      <c r="AL254" s="9" t="s">
        <v>71</v>
      </c>
    </row>
    <row r="255" spans="1:38" ht="16.05" customHeight="1">
      <c r="A255" s="5" t="s">
        <v>1055</v>
      </c>
      <c r="B255" s="23">
        <v>45626</v>
      </c>
      <c r="C255" s="5" t="s">
        <v>1056</v>
      </c>
      <c r="D255" s="5" t="s">
        <v>65</v>
      </c>
      <c r="E255" s="5" t="s">
        <v>179</v>
      </c>
      <c r="F255" s="5" t="s">
        <v>203</v>
      </c>
      <c r="G255" s="5" t="s">
        <v>1057</v>
      </c>
      <c r="H255" s="5" t="s">
        <v>1058</v>
      </c>
      <c r="I255" s="5" t="s">
        <v>46</v>
      </c>
      <c r="J255" s="5" t="s">
        <v>47</v>
      </c>
      <c r="K255" s="5">
        <v>1</v>
      </c>
      <c r="L255" s="6">
        <v>2069</v>
      </c>
      <c r="M255" s="6">
        <v>1843</v>
      </c>
      <c r="N255" s="7">
        <v>10.9</v>
      </c>
      <c r="O255" s="6">
        <v>1843</v>
      </c>
      <c r="P255" s="6">
        <v>148</v>
      </c>
      <c r="Q255" s="6">
        <v>0</v>
      </c>
      <c r="R255" s="6">
        <v>99.32</v>
      </c>
      <c r="S255" s="6">
        <v>770.1</v>
      </c>
      <c r="T255" s="6">
        <v>128.37</v>
      </c>
      <c r="U255" s="5">
        <v>0</v>
      </c>
      <c r="V255" s="6">
        <v>0</v>
      </c>
      <c r="W255" s="5"/>
      <c r="X255" s="6">
        <v>1843</v>
      </c>
      <c r="Y255" s="8">
        <v>697.21</v>
      </c>
      <c r="Z255" s="7">
        <v>37.799999999999997</v>
      </c>
      <c r="AA255" s="5" t="s">
        <v>60</v>
      </c>
      <c r="AB255" s="5">
        <v>3311</v>
      </c>
      <c r="AC255" s="5">
        <v>207</v>
      </c>
      <c r="AD255" s="7">
        <v>6.25</v>
      </c>
      <c r="AE255" s="5">
        <v>34</v>
      </c>
      <c r="AF255" s="7">
        <v>0.2</v>
      </c>
      <c r="AG255" s="5">
        <v>4</v>
      </c>
      <c r="AH255" s="5" t="s">
        <v>61</v>
      </c>
      <c r="AI255" s="5" t="s">
        <v>86</v>
      </c>
      <c r="AJ255" s="5">
        <v>6</v>
      </c>
      <c r="AK255" s="5">
        <v>180</v>
      </c>
      <c r="AL255" s="5" t="s">
        <v>51</v>
      </c>
    </row>
    <row r="256" spans="1:38" ht="16.05" customHeight="1">
      <c r="A256" s="1" t="s">
        <v>1059</v>
      </c>
      <c r="B256" s="22">
        <v>45039</v>
      </c>
      <c r="C256" s="1" t="s">
        <v>988</v>
      </c>
      <c r="D256" s="1" t="s">
        <v>144</v>
      </c>
      <c r="E256" s="1" t="s">
        <v>429</v>
      </c>
      <c r="F256" s="1" t="s">
        <v>197</v>
      </c>
      <c r="G256" s="1" t="s">
        <v>1060</v>
      </c>
      <c r="H256" s="1" t="s">
        <v>1061</v>
      </c>
      <c r="I256" s="1" t="s">
        <v>46</v>
      </c>
      <c r="J256" s="1" t="s">
        <v>47</v>
      </c>
      <c r="K256" s="1">
        <v>8</v>
      </c>
      <c r="L256" s="2">
        <v>2914</v>
      </c>
      <c r="M256" s="2">
        <v>2588</v>
      </c>
      <c r="N256" s="3">
        <v>11.2</v>
      </c>
      <c r="O256" s="2">
        <v>20704</v>
      </c>
      <c r="P256" s="2">
        <v>3573.29</v>
      </c>
      <c r="Q256" s="2">
        <v>0</v>
      </c>
      <c r="R256" s="2">
        <v>114.01</v>
      </c>
      <c r="S256" s="2">
        <v>10364.120000000001</v>
      </c>
      <c r="T256" s="2">
        <v>0</v>
      </c>
      <c r="U256" s="1">
        <v>0</v>
      </c>
      <c r="V256" s="2">
        <v>0</v>
      </c>
      <c r="W256" s="1"/>
      <c r="X256" s="2">
        <v>20704</v>
      </c>
      <c r="Y256" s="4">
        <v>6652.58</v>
      </c>
      <c r="Z256" s="3">
        <v>32.1</v>
      </c>
      <c r="AA256" s="1" t="s">
        <v>60</v>
      </c>
      <c r="AB256" s="1">
        <v>0</v>
      </c>
      <c r="AC256" s="1">
        <v>0</v>
      </c>
      <c r="AD256" s="3">
        <v>0</v>
      </c>
      <c r="AE256" s="1">
        <v>0</v>
      </c>
      <c r="AF256" s="3">
        <v>0</v>
      </c>
      <c r="AG256" s="1">
        <v>5</v>
      </c>
      <c r="AH256" s="1" t="s">
        <v>61</v>
      </c>
      <c r="AI256" s="1" t="s">
        <v>79</v>
      </c>
      <c r="AJ256" s="1">
        <v>4</v>
      </c>
      <c r="AK256" s="1">
        <v>153</v>
      </c>
      <c r="AL256" s="1" t="s">
        <v>51</v>
      </c>
    </row>
    <row r="257" spans="1:38" ht="16.05" customHeight="1">
      <c r="A257" s="5" t="s">
        <v>1062</v>
      </c>
      <c r="B257" s="23">
        <v>45458</v>
      </c>
      <c r="C257" s="5"/>
      <c r="D257" s="5" t="s">
        <v>98</v>
      </c>
      <c r="E257" s="5" t="s">
        <v>155</v>
      </c>
      <c r="F257" s="5" t="s">
        <v>197</v>
      </c>
      <c r="G257" s="5" t="s">
        <v>1063</v>
      </c>
      <c r="H257" s="5" t="s">
        <v>1064</v>
      </c>
      <c r="I257" s="5" t="s">
        <v>46</v>
      </c>
      <c r="J257" s="5" t="s">
        <v>77</v>
      </c>
      <c r="K257" s="5">
        <v>10</v>
      </c>
      <c r="L257" s="6">
        <v>3510</v>
      </c>
      <c r="M257" s="6">
        <v>2879</v>
      </c>
      <c r="N257" s="7">
        <v>18</v>
      </c>
      <c r="O257" s="6">
        <v>28790</v>
      </c>
      <c r="P257" s="6">
        <v>4795.8500000000004</v>
      </c>
      <c r="Q257" s="6">
        <v>0</v>
      </c>
      <c r="R257" s="6">
        <v>56.78</v>
      </c>
      <c r="S257" s="6">
        <v>12158.81</v>
      </c>
      <c r="T257" s="6">
        <v>0</v>
      </c>
      <c r="U257" s="5">
        <v>0</v>
      </c>
      <c r="V257" s="6">
        <v>0</v>
      </c>
      <c r="W257" s="5"/>
      <c r="X257" s="6">
        <v>28790</v>
      </c>
      <c r="Y257" s="8">
        <v>11778.56</v>
      </c>
      <c r="Z257" s="7">
        <v>40.9</v>
      </c>
      <c r="AA257" s="5" t="s">
        <v>60</v>
      </c>
      <c r="AB257" s="5">
        <v>0</v>
      </c>
      <c r="AC257" s="5">
        <v>0</v>
      </c>
      <c r="AD257" s="7">
        <v>0</v>
      </c>
      <c r="AE257" s="5">
        <v>0</v>
      </c>
      <c r="AF257" s="7">
        <v>0</v>
      </c>
      <c r="AG257" s="5"/>
      <c r="AH257" s="5" t="s">
        <v>49</v>
      </c>
      <c r="AI257" s="5" t="s">
        <v>308</v>
      </c>
      <c r="AJ257" s="5">
        <v>4</v>
      </c>
      <c r="AK257" s="5">
        <v>48</v>
      </c>
      <c r="AL257" s="5" t="s">
        <v>51</v>
      </c>
    </row>
    <row r="258" spans="1:38" ht="16.05" customHeight="1">
      <c r="A258" s="1" t="s">
        <v>1065</v>
      </c>
      <c r="B258" s="22">
        <v>45626</v>
      </c>
      <c r="C258" s="1" t="s">
        <v>1066</v>
      </c>
      <c r="D258" s="1" t="s">
        <v>41</v>
      </c>
      <c r="E258" s="1" t="s">
        <v>160</v>
      </c>
      <c r="F258" s="1" t="s">
        <v>203</v>
      </c>
      <c r="G258" s="1" t="s">
        <v>1067</v>
      </c>
      <c r="H258" s="1" t="s">
        <v>1068</v>
      </c>
      <c r="I258" s="1" t="s">
        <v>46</v>
      </c>
      <c r="J258" s="1" t="s">
        <v>103</v>
      </c>
      <c r="K258" s="1">
        <v>7</v>
      </c>
      <c r="L258" s="2">
        <v>4319</v>
      </c>
      <c r="M258" s="2">
        <v>3125</v>
      </c>
      <c r="N258" s="3">
        <v>27.6</v>
      </c>
      <c r="O258" s="2">
        <v>21875</v>
      </c>
      <c r="P258" s="2">
        <v>3855.52</v>
      </c>
      <c r="Q258" s="2">
        <v>0</v>
      </c>
      <c r="R258" s="2">
        <v>86.69</v>
      </c>
      <c r="S258" s="2">
        <v>10923.31</v>
      </c>
      <c r="T258" s="2">
        <v>322.67</v>
      </c>
      <c r="U258" s="1">
        <v>6</v>
      </c>
      <c r="V258" s="2">
        <v>18750</v>
      </c>
      <c r="W258" s="1" t="s">
        <v>104</v>
      </c>
      <c r="X258" s="2">
        <v>3125</v>
      </c>
      <c r="Y258" s="10">
        <v>-12063.19</v>
      </c>
      <c r="Z258" s="3">
        <v>-386</v>
      </c>
      <c r="AA258" s="1" t="s">
        <v>60</v>
      </c>
      <c r="AB258" s="1">
        <v>10056</v>
      </c>
      <c r="AC258" s="1">
        <v>201</v>
      </c>
      <c r="AD258" s="3">
        <v>2</v>
      </c>
      <c r="AE258" s="1">
        <v>40</v>
      </c>
      <c r="AF258" s="3">
        <v>0.3</v>
      </c>
      <c r="AG258" s="1"/>
      <c r="AH258" s="1" t="s">
        <v>49</v>
      </c>
      <c r="AI258" s="1" t="s">
        <v>50</v>
      </c>
      <c r="AJ258" s="1">
        <v>5</v>
      </c>
      <c r="AK258" s="1">
        <v>104</v>
      </c>
      <c r="AL258" s="1" t="s">
        <v>51</v>
      </c>
    </row>
    <row r="259" spans="1:38" ht="16.05" customHeight="1">
      <c r="A259" s="5" t="s">
        <v>1069</v>
      </c>
      <c r="B259" s="23">
        <v>45270</v>
      </c>
      <c r="C259" s="5" t="s">
        <v>260</v>
      </c>
      <c r="D259" s="5" t="s">
        <v>81</v>
      </c>
      <c r="E259" s="5" t="s">
        <v>270</v>
      </c>
      <c r="F259" s="5" t="s">
        <v>100</v>
      </c>
      <c r="G259" s="5" t="s">
        <v>1070</v>
      </c>
      <c r="H259" s="5" t="s">
        <v>1071</v>
      </c>
      <c r="I259" s="5" t="s">
        <v>59</v>
      </c>
      <c r="J259" s="5" t="s">
        <v>47</v>
      </c>
      <c r="K259" s="5">
        <v>7</v>
      </c>
      <c r="L259" s="6">
        <v>2604</v>
      </c>
      <c r="M259" s="6">
        <v>2159</v>
      </c>
      <c r="N259" s="7">
        <v>17.100000000000001</v>
      </c>
      <c r="O259" s="6">
        <v>15113</v>
      </c>
      <c r="P259" s="6">
        <v>1360.67</v>
      </c>
      <c r="Q259" s="6">
        <v>755.65</v>
      </c>
      <c r="R259" s="6">
        <v>0</v>
      </c>
      <c r="S259" s="6">
        <v>8278.0400000000009</v>
      </c>
      <c r="T259" s="6">
        <v>0</v>
      </c>
      <c r="U259" s="5">
        <v>0</v>
      </c>
      <c r="V259" s="6">
        <v>0</v>
      </c>
      <c r="W259" s="5"/>
      <c r="X259" s="6">
        <v>15113</v>
      </c>
      <c r="Y259" s="8">
        <v>4718.6400000000003</v>
      </c>
      <c r="Z259" s="7">
        <v>31.2</v>
      </c>
      <c r="AA259" s="5" t="s">
        <v>60</v>
      </c>
      <c r="AB259" s="5">
        <v>0</v>
      </c>
      <c r="AC259" s="5">
        <v>0</v>
      </c>
      <c r="AD259" s="7">
        <v>0</v>
      </c>
      <c r="AE259" s="5">
        <v>0</v>
      </c>
      <c r="AF259" s="7">
        <v>0</v>
      </c>
      <c r="AG259" s="5">
        <v>2</v>
      </c>
      <c r="AH259" s="5" t="s">
        <v>49</v>
      </c>
      <c r="AI259" s="5" t="s">
        <v>163</v>
      </c>
      <c r="AJ259" s="5">
        <v>1</v>
      </c>
      <c r="AK259" s="5">
        <v>4</v>
      </c>
      <c r="AL259" s="12" t="s">
        <v>71</v>
      </c>
    </row>
    <row r="260" spans="1:38" ht="16.05" customHeight="1">
      <c r="A260" s="1" t="s">
        <v>1072</v>
      </c>
      <c r="B260" s="22">
        <v>45650</v>
      </c>
      <c r="C260" s="1"/>
      <c r="D260" s="1" t="s">
        <v>81</v>
      </c>
      <c r="E260" s="1" t="s">
        <v>279</v>
      </c>
      <c r="F260" s="1" t="s">
        <v>329</v>
      </c>
      <c r="G260" s="1" t="s">
        <v>1073</v>
      </c>
      <c r="H260" s="1" t="s">
        <v>1074</v>
      </c>
      <c r="I260" s="1" t="s">
        <v>59</v>
      </c>
      <c r="J260" s="1" t="s">
        <v>136</v>
      </c>
      <c r="K260" s="1">
        <v>6</v>
      </c>
      <c r="L260" s="2">
        <v>2427</v>
      </c>
      <c r="M260" s="2">
        <v>1921</v>
      </c>
      <c r="N260" s="3">
        <v>20.8</v>
      </c>
      <c r="O260" s="2">
        <v>11526</v>
      </c>
      <c r="P260" s="2">
        <v>1990.68</v>
      </c>
      <c r="Q260" s="2">
        <v>576.29999999999995</v>
      </c>
      <c r="R260" s="2">
        <v>0</v>
      </c>
      <c r="S260" s="2">
        <v>5624.61</v>
      </c>
      <c r="T260" s="2">
        <v>206.5</v>
      </c>
      <c r="U260" s="1">
        <v>0</v>
      </c>
      <c r="V260" s="2">
        <v>0</v>
      </c>
      <c r="W260" s="1"/>
      <c r="X260" s="2">
        <v>11526</v>
      </c>
      <c r="Y260" s="4">
        <v>3127.91</v>
      </c>
      <c r="Z260" s="3">
        <v>27.1</v>
      </c>
      <c r="AA260" s="1" t="s">
        <v>94</v>
      </c>
      <c r="AB260" s="1">
        <v>1090</v>
      </c>
      <c r="AC260" s="1">
        <v>44</v>
      </c>
      <c r="AD260" s="3">
        <v>4.04</v>
      </c>
      <c r="AE260" s="1">
        <v>6</v>
      </c>
      <c r="AF260" s="3">
        <v>1.8</v>
      </c>
      <c r="AG260" s="1"/>
      <c r="AH260" s="1" t="s">
        <v>49</v>
      </c>
      <c r="AI260" s="1" t="s">
        <v>50</v>
      </c>
      <c r="AJ260" s="1">
        <v>2</v>
      </c>
      <c r="AK260" s="1">
        <v>129</v>
      </c>
      <c r="AL260" s="1" t="s">
        <v>51</v>
      </c>
    </row>
    <row r="261" spans="1:38" ht="16.05" customHeight="1">
      <c r="A261" s="5" t="s">
        <v>1075</v>
      </c>
      <c r="B261" s="23">
        <v>45115</v>
      </c>
      <c r="C261" s="5"/>
      <c r="D261" s="5" t="s">
        <v>81</v>
      </c>
      <c r="E261" s="5" t="s">
        <v>90</v>
      </c>
      <c r="F261" s="5" t="s">
        <v>67</v>
      </c>
      <c r="G261" s="5" t="s">
        <v>1076</v>
      </c>
      <c r="H261" s="5" t="s">
        <v>1077</v>
      </c>
      <c r="I261" s="5" t="s">
        <v>59</v>
      </c>
      <c r="J261" s="5" t="s">
        <v>136</v>
      </c>
      <c r="K261" s="5">
        <v>8</v>
      </c>
      <c r="L261" s="6">
        <v>1734</v>
      </c>
      <c r="M261" s="6">
        <v>1617</v>
      </c>
      <c r="N261" s="7">
        <v>6.7</v>
      </c>
      <c r="O261" s="6">
        <v>12936</v>
      </c>
      <c r="P261" s="6">
        <v>1477.23</v>
      </c>
      <c r="Q261" s="6">
        <v>646.79999999999995</v>
      </c>
      <c r="R261" s="6">
        <v>0</v>
      </c>
      <c r="S261" s="6">
        <v>6634.79</v>
      </c>
      <c r="T261" s="6">
        <v>0</v>
      </c>
      <c r="U261" s="5">
        <v>0</v>
      </c>
      <c r="V261" s="6">
        <v>0</v>
      </c>
      <c r="W261" s="5"/>
      <c r="X261" s="6">
        <v>12936</v>
      </c>
      <c r="Y261" s="8">
        <v>4177.18</v>
      </c>
      <c r="Z261" s="7">
        <v>32.299999999999997</v>
      </c>
      <c r="AA261" s="5" t="s">
        <v>60</v>
      </c>
      <c r="AB261" s="5">
        <v>0</v>
      </c>
      <c r="AC261" s="5">
        <v>0</v>
      </c>
      <c r="AD261" s="7">
        <v>0</v>
      </c>
      <c r="AE261" s="5">
        <v>0</v>
      </c>
      <c r="AF261" s="7">
        <v>0</v>
      </c>
      <c r="AG261" s="5"/>
      <c r="AH261" s="5" t="s">
        <v>49</v>
      </c>
      <c r="AI261" s="5" t="s">
        <v>176</v>
      </c>
      <c r="AJ261" s="5">
        <v>2</v>
      </c>
      <c r="AK261" s="5">
        <v>79</v>
      </c>
      <c r="AL261" s="5" t="s">
        <v>51</v>
      </c>
    </row>
    <row r="262" spans="1:38" ht="16.05" customHeight="1">
      <c r="A262" s="1" t="s">
        <v>1078</v>
      </c>
      <c r="B262" s="22">
        <v>45226</v>
      </c>
      <c r="C262" s="1" t="s">
        <v>1079</v>
      </c>
      <c r="D262" s="1" t="s">
        <v>65</v>
      </c>
      <c r="E262" s="1" t="s">
        <v>305</v>
      </c>
      <c r="F262" s="1" t="s">
        <v>67</v>
      </c>
      <c r="G262" s="1" t="s">
        <v>1080</v>
      </c>
      <c r="H262" s="1" t="s">
        <v>1081</v>
      </c>
      <c r="I262" s="1" t="s">
        <v>59</v>
      </c>
      <c r="J262" s="1" t="s">
        <v>47</v>
      </c>
      <c r="K262" s="1">
        <v>1</v>
      </c>
      <c r="L262" s="2">
        <v>767</v>
      </c>
      <c r="M262" s="2">
        <v>694</v>
      </c>
      <c r="N262" s="3">
        <v>9.5</v>
      </c>
      <c r="O262" s="2">
        <v>694</v>
      </c>
      <c r="P262" s="2">
        <v>78.22</v>
      </c>
      <c r="Q262" s="2">
        <v>34.700000000000003</v>
      </c>
      <c r="R262" s="2">
        <v>0</v>
      </c>
      <c r="S262" s="2">
        <v>218.89</v>
      </c>
      <c r="T262" s="2">
        <v>158.49</v>
      </c>
      <c r="U262" s="1">
        <v>0</v>
      </c>
      <c r="V262" s="2">
        <v>0</v>
      </c>
      <c r="W262" s="1"/>
      <c r="X262" s="2">
        <v>694</v>
      </c>
      <c r="Y262" s="4">
        <v>203.7</v>
      </c>
      <c r="Z262" s="3">
        <v>29.4</v>
      </c>
      <c r="AA262" s="1" t="s">
        <v>94</v>
      </c>
      <c r="AB262" s="1">
        <v>10562</v>
      </c>
      <c r="AC262" s="1">
        <v>64</v>
      </c>
      <c r="AD262" s="3">
        <v>0.61</v>
      </c>
      <c r="AE262" s="1">
        <v>5</v>
      </c>
      <c r="AF262" s="3">
        <v>4.5999999999999996</v>
      </c>
      <c r="AG262" s="1">
        <v>4</v>
      </c>
      <c r="AH262" s="1" t="s">
        <v>49</v>
      </c>
      <c r="AI262" s="1" t="s">
        <v>50</v>
      </c>
      <c r="AJ262" s="1">
        <v>1</v>
      </c>
      <c r="AK262" s="1">
        <v>52</v>
      </c>
      <c r="AL262" s="1" t="s">
        <v>51</v>
      </c>
    </row>
    <row r="263" spans="1:38" ht="16.05" customHeight="1">
      <c r="A263" s="5" t="s">
        <v>1082</v>
      </c>
      <c r="B263" s="23">
        <v>45508</v>
      </c>
      <c r="C263" s="5"/>
      <c r="D263" s="5" t="s">
        <v>65</v>
      </c>
      <c r="E263" s="5" t="s">
        <v>108</v>
      </c>
      <c r="F263" s="5" t="s">
        <v>222</v>
      </c>
      <c r="G263" s="5" t="s">
        <v>1083</v>
      </c>
      <c r="H263" s="5" t="s">
        <v>1084</v>
      </c>
      <c r="I263" s="5" t="s">
        <v>46</v>
      </c>
      <c r="J263" s="5" t="s">
        <v>136</v>
      </c>
      <c r="K263" s="5">
        <v>3</v>
      </c>
      <c r="L263" s="6">
        <v>2427</v>
      </c>
      <c r="M263" s="6">
        <v>2231</v>
      </c>
      <c r="N263" s="7">
        <v>8.1</v>
      </c>
      <c r="O263" s="6">
        <v>6693</v>
      </c>
      <c r="P263" s="6">
        <v>1127.48</v>
      </c>
      <c r="Q263" s="6">
        <v>0</v>
      </c>
      <c r="R263" s="6">
        <v>113.69</v>
      </c>
      <c r="S263" s="6">
        <v>3234.72</v>
      </c>
      <c r="T263" s="6">
        <v>321.79000000000002</v>
      </c>
      <c r="U263" s="5">
        <v>0</v>
      </c>
      <c r="V263" s="6">
        <v>0</v>
      </c>
      <c r="W263" s="5"/>
      <c r="X263" s="6">
        <v>6693</v>
      </c>
      <c r="Y263" s="8">
        <v>1895.32</v>
      </c>
      <c r="Z263" s="7">
        <v>28.3</v>
      </c>
      <c r="AA263" s="5" t="s">
        <v>60</v>
      </c>
      <c r="AB263" s="5">
        <v>14533</v>
      </c>
      <c r="AC263" s="5">
        <v>397</v>
      </c>
      <c r="AD263" s="7">
        <v>2.73</v>
      </c>
      <c r="AE263" s="5">
        <v>73</v>
      </c>
      <c r="AF263" s="7">
        <v>0.2</v>
      </c>
      <c r="AG263" s="5"/>
      <c r="AH263" s="5" t="s">
        <v>49</v>
      </c>
      <c r="AI263" s="5" t="s">
        <v>163</v>
      </c>
      <c r="AJ263" s="5">
        <v>4</v>
      </c>
      <c r="AK263" s="5">
        <v>101</v>
      </c>
      <c r="AL263" s="5" t="s">
        <v>51</v>
      </c>
    </row>
    <row r="264" spans="1:38" ht="16.05" customHeight="1">
      <c r="A264" s="1" t="s">
        <v>1085</v>
      </c>
      <c r="B264" s="22">
        <v>45468</v>
      </c>
      <c r="C264" s="1"/>
      <c r="D264" s="1" t="s">
        <v>65</v>
      </c>
      <c r="E264" s="1" t="s">
        <v>478</v>
      </c>
      <c r="F264" s="1" t="s">
        <v>56</v>
      </c>
      <c r="G264" s="1" t="s">
        <v>1086</v>
      </c>
      <c r="H264" s="1" t="s">
        <v>1087</v>
      </c>
      <c r="I264" s="1" t="s">
        <v>59</v>
      </c>
      <c r="J264" s="1" t="s">
        <v>136</v>
      </c>
      <c r="K264" s="1">
        <v>5</v>
      </c>
      <c r="L264" s="2">
        <v>4203</v>
      </c>
      <c r="M264" s="2">
        <v>3081</v>
      </c>
      <c r="N264" s="3">
        <v>26.7</v>
      </c>
      <c r="O264" s="2">
        <v>15405</v>
      </c>
      <c r="P264" s="2">
        <v>2508.65</v>
      </c>
      <c r="Q264" s="2">
        <v>770.25</v>
      </c>
      <c r="R264" s="2">
        <v>0</v>
      </c>
      <c r="S264" s="2">
        <v>6527.67</v>
      </c>
      <c r="T264" s="2">
        <v>189.32</v>
      </c>
      <c r="U264" s="1">
        <v>0</v>
      </c>
      <c r="V264" s="2">
        <v>0</v>
      </c>
      <c r="W264" s="1"/>
      <c r="X264" s="2">
        <v>15405</v>
      </c>
      <c r="Y264" s="4">
        <v>5409.11</v>
      </c>
      <c r="Z264" s="3">
        <v>35.1</v>
      </c>
      <c r="AA264" s="1" t="s">
        <v>78</v>
      </c>
      <c r="AB264" s="1">
        <v>3504</v>
      </c>
      <c r="AC264" s="1">
        <v>110</v>
      </c>
      <c r="AD264" s="3">
        <v>3.14</v>
      </c>
      <c r="AE264" s="1">
        <v>4</v>
      </c>
      <c r="AF264" s="3">
        <v>1.5</v>
      </c>
      <c r="AG264" s="1"/>
      <c r="AH264" s="1" t="s">
        <v>49</v>
      </c>
      <c r="AI264" s="1" t="s">
        <v>118</v>
      </c>
      <c r="AJ264" s="1">
        <v>3</v>
      </c>
      <c r="AK264" s="1">
        <v>116</v>
      </c>
      <c r="AL264" s="1" t="s">
        <v>51</v>
      </c>
    </row>
    <row r="265" spans="1:38" ht="16.05" customHeight="1">
      <c r="A265" s="5" t="s">
        <v>1088</v>
      </c>
      <c r="B265" s="23">
        <v>45047</v>
      </c>
      <c r="C265" s="5" t="s">
        <v>1089</v>
      </c>
      <c r="D265" s="5" t="s">
        <v>65</v>
      </c>
      <c r="E265" s="5" t="s">
        <v>328</v>
      </c>
      <c r="F265" s="5" t="s">
        <v>100</v>
      </c>
      <c r="G265" s="5" t="s">
        <v>1090</v>
      </c>
      <c r="H265" s="5" t="s">
        <v>1091</v>
      </c>
      <c r="I265" s="5" t="s">
        <v>59</v>
      </c>
      <c r="J265" s="5" t="s">
        <v>47</v>
      </c>
      <c r="K265" s="5">
        <v>6</v>
      </c>
      <c r="L265" s="6">
        <v>3788</v>
      </c>
      <c r="M265" s="6">
        <v>3089</v>
      </c>
      <c r="N265" s="7">
        <v>18.5</v>
      </c>
      <c r="O265" s="6">
        <v>18534</v>
      </c>
      <c r="P265" s="6">
        <v>2352.7800000000002</v>
      </c>
      <c r="Q265" s="6">
        <v>926.7</v>
      </c>
      <c r="R265" s="6">
        <v>0</v>
      </c>
      <c r="S265" s="6">
        <v>6469.25</v>
      </c>
      <c r="T265" s="6">
        <v>0</v>
      </c>
      <c r="U265" s="5">
        <v>0</v>
      </c>
      <c r="V265" s="6">
        <v>0</v>
      </c>
      <c r="W265" s="5"/>
      <c r="X265" s="6">
        <v>18534</v>
      </c>
      <c r="Y265" s="8">
        <v>8785.27</v>
      </c>
      <c r="Z265" s="7">
        <v>47.4</v>
      </c>
      <c r="AA265" s="5" t="s">
        <v>60</v>
      </c>
      <c r="AB265" s="5">
        <v>0</v>
      </c>
      <c r="AC265" s="5">
        <v>0</v>
      </c>
      <c r="AD265" s="7">
        <v>0</v>
      </c>
      <c r="AE265" s="5">
        <v>0</v>
      </c>
      <c r="AF265" s="7">
        <v>0</v>
      </c>
      <c r="AG265" s="5">
        <v>4</v>
      </c>
      <c r="AH265" s="5" t="s">
        <v>61</v>
      </c>
      <c r="AI265" s="5" t="s">
        <v>163</v>
      </c>
      <c r="AJ265" s="5">
        <v>3</v>
      </c>
      <c r="AK265" s="5">
        <v>77</v>
      </c>
      <c r="AL265" s="5" t="s">
        <v>51</v>
      </c>
    </row>
    <row r="266" spans="1:38" ht="16.05" customHeight="1">
      <c r="A266" s="1" t="s">
        <v>1092</v>
      </c>
      <c r="B266" s="22">
        <v>45427</v>
      </c>
      <c r="C266" s="1" t="s">
        <v>226</v>
      </c>
      <c r="D266" s="1" t="s">
        <v>54</v>
      </c>
      <c r="E266" s="1" t="s">
        <v>150</v>
      </c>
      <c r="F266" s="1" t="s">
        <v>67</v>
      </c>
      <c r="G266" s="1" t="s">
        <v>1093</v>
      </c>
      <c r="H266" s="1" t="s">
        <v>1094</v>
      </c>
      <c r="I266" s="1" t="s">
        <v>46</v>
      </c>
      <c r="J266" s="1" t="s">
        <v>47</v>
      </c>
      <c r="K266" s="1">
        <v>10</v>
      </c>
      <c r="L266" s="2">
        <v>1569</v>
      </c>
      <c r="M266" s="2">
        <v>1478</v>
      </c>
      <c r="N266" s="3">
        <v>5.8</v>
      </c>
      <c r="O266" s="2">
        <v>14780</v>
      </c>
      <c r="P266" s="2">
        <v>1276.53</v>
      </c>
      <c r="Q266" s="2">
        <v>0</v>
      </c>
      <c r="R266" s="2">
        <v>89.16</v>
      </c>
      <c r="S266" s="2">
        <v>6316.88</v>
      </c>
      <c r="T266" s="2">
        <v>146.15</v>
      </c>
      <c r="U266" s="1">
        <v>0</v>
      </c>
      <c r="V266" s="2">
        <v>0</v>
      </c>
      <c r="W266" s="1"/>
      <c r="X266" s="2">
        <v>14780</v>
      </c>
      <c r="Y266" s="4">
        <v>6951.28</v>
      </c>
      <c r="Z266" s="3">
        <v>47</v>
      </c>
      <c r="AA266" s="1" t="s">
        <v>78</v>
      </c>
      <c r="AB266" s="1">
        <v>9555</v>
      </c>
      <c r="AC266" s="1">
        <v>122</v>
      </c>
      <c r="AD266" s="3">
        <v>1.28</v>
      </c>
      <c r="AE266" s="1">
        <v>17</v>
      </c>
      <c r="AF266" s="3">
        <v>0.6</v>
      </c>
      <c r="AG266" s="1">
        <v>5</v>
      </c>
      <c r="AH266" s="1" t="s">
        <v>49</v>
      </c>
      <c r="AI266" s="1" t="s">
        <v>70</v>
      </c>
      <c r="AJ266" s="1">
        <v>4</v>
      </c>
      <c r="AK266" s="1">
        <v>51</v>
      </c>
      <c r="AL266" s="1" t="s">
        <v>51</v>
      </c>
    </row>
    <row r="267" spans="1:38" ht="16.05" customHeight="1">
      <c r="A267" s="5" t="s">
        <v>1095</v>
      </c>
      <c r="B267" s="23">
        <v>45130</v>
      </c>
      <c r="C267" s="5"/>
      <c r="D267" s="5" t="s">
        <v>144</v>
      </c>
      <c r="E267" s="5" t="s">
        <v>429</v>
      </c>
      <c r="F267" s="5" t="s">
        <v>239</v>
      </c>
      <c r="G267" s="5" t="s">
        <v>1096</v>
      </c>
      <c r="H267" s="5" t="s">
        <v>1097</v>
      </c>
      <c r="I267" s="5" t="s">
        <v>46</v>
      </c>
      <c r="J267" s="5" t="s">
        <v>77</v>
      </c>
      <c r="K267" s="5">
        <v>2</v>
      </c>
      <c r="L267" s="6">
        <v>1296</v>
      </c>
      <c r="M267" s="6">
        <v>1080</v>
      </c>
      <c r="N267" s="7">
        <v>16.7</v>
      </c>
      <c r="O267" s="6">
        <v>2160</v>
      </c>
      <c r="P267" s="6">
        <v>225.03</v>
      </c>
      <c r="Q267" s="6">
        <v>0</v>
      </c>
      <c r="R267" s="6">
        <v>100.2</v>
      </c>
      <c r="S267" s="6">
        <v>661.26</v>
      </c>
      <c r="T267" s="6">
        <v>293.02</v>
      </c>
      <c r="U267" s="5">
        <v>0</v>
      </c>
      <c r="V267" s="6">
        <v>0</v>
      </c>
      <c r="W267" s="5"/>
      <c r="X267" s="6">
        <v>2160</v>
      </c>
      <c r="Y267" s="8">
        <v>880.49</v>
      </c>
      <c r="Z267" s="7">
        <v>40.799999999999997</v>
      </c>
      <c r="AA267" s="5" t="s">
        <v>48</v>
      </c>
      <c r="AB267" s="5">
        <v>2772</v>
      </c>
      <c r="AC267" s="5">
        <v>68</v>
      </c>
      <c r="AD267" s="7">
        <v>2.4500000000000002</v>
      </c>
      <c r="AE267" s="5">
        <v>8</v>
      </c>
      <c r="AF267" s="7">
        <v>3.4</v>
      </c>
      <c r="AG267" s="5"/>
      <c r="AH267" s="5" t="s">
        <v>49</v>
      </c>
      <c r="AI267" s="5" t="s">
        <v>105</v>
      </c>
      <c r="AJ267" s="5">
        <v>7</v>
      </c>
      <c r="AK267" s="5">
        <v>33</v>
      </c>
      <c r="AL267" s="5" t="s">
        <v>51</v>
      </c>
    </row>
    <row r="268" spans="1:38" ht="16.05" customHeight="1">
      <c r="A268" s="1" t="s">
        <v>1098</v>
      </c>
      <c r="B268" s="22">
        <v>45434</v>
      </c>
      <c r="C268" s="1" t="s">
        <v>1099</v>
      </c>
      <c r="D268" s="1" t="s">
        <v>65</v>
      </c>
      <c r="E268" s="1" t="s">
        <v>525</v>
      </c>
      <c r="F268" s="1" t="s">
        <v>209</v>
      </c>
      <c r="G268" s="1" t="s">
        <v>1100</v>
      </c>
      <c r="H268" s="1" t="s">
        <v>1101</v>
      </c>
      <c r="I268" s="1" t="s">
        <v>59</v>
      </c>
      <c r="J268" s="1" t="s">
        <v>47</v>
      </c>
      <c r="K268" s="1">
        <v>7</v>
      </c>
      <c r="L268" s="2">
        <v>4815</v>
      </c>
      <c r="M268" s="2">
        <v>3911</v>
      </c>
      <c r="N268" s="3">
        <v>18.8</v>
      </c>
      <c r="O268" s="2">
        <v>27377</v>
      </c>
      <c r="P268" s="2">
        <v>2816.68</v>
      </c>
      <c r="Q268" s="2">
        <v>1368.85</v>
      </c>
      <c r="R268" s="2">
        <v>0</v>
      </c>
      <c r="S268" s="2">
        <v>12012.98</v>
      </c>
      <c r="T268" s="2">
        <v>0</v>
      </c>
      <c r="U268" s="1">
        <v>0</v>
      </c>
      <c r="V268" s="2">
        <v>0</v>
      </c>
      <c r="W268" s="1"/>
      <c r="X268" s="2">
        <v>27377</v>
      </c>
      <c r="Y268" s="4">
        <v>11178.49</v>
      </c>
      <c r="Z268" s="3">
        <v>40.799999999999997</v>
      </c>
      <c r="AA268" s="1" t="s">
        <v>60</v>
      </c>
      <c r="AB268" s="1">
        <v>0</v>
      </c>
      <c r="AC268" s="1">
        <v>0</v>
      </c>
      <c r="AD268" s="3">
        <v>0</v>
      </c>
      <c r="AE268" s="1">
        <v>0</v>
      </c>
      <c r="AF268" s="3">
        <v>0</v>
      </c>
      <c r="AG268" s="1">
        <v>3</v>
      </c>
      <c r="AH268" s="1" t="s">
        <v>49</v>
      </c>
      <c r="AI268" s="1" t="s">
        <v>308</v>
      </c>
      <c r="AJ268" s="1">
        <v>1</v>
      </c>
      <c r="AK268" s="1">
        <v>46</v>
      </c>
      <c r="AL268" s="1" t="s">
        <v>51</v>
      </c>
    </row>
    <row r="269" spans="1:38" ht="16.05" customHeight="1">
      <c r="A269" s="5" t="s">
        <v>1102</v>
      </c>
      <c r="B269" s="23">
        <v>45432</v>
      </c>
      <c r="C269" s="5" t="s">
        <v>1099</v>
      </c>
      <c r="D269" s="5" t="s">
        <v>144</v>
      </c>
      <c r="E269" s="5" t="s">
        <v>429</v>
      </c>
      <c r="F269" s="5" t="s">
        <v>227</v>
      </c>
      <c r="G269" s="5" t="s">
        <v>1103</v>
      </c>
      <c r="H269" s="5" t="s">
        <v>1104</v>
      </c>
      <c r="I269" s="5" t="s">
        <v>59</v>
      </c>
      <c r="J269" s="5" t="s">
        <v>47</v>
      </c>
      <c r="K269" s="5">
        <v>10</v>
      </c>
      <c r="L269" s="6">
        <v>2429</v>
      </c>
      <c r="M269" s="6">
        <v>1900</v>
      </c>
      <c r="N269" s="7">
        <v>21.8</v>
      </c>
      <c r="O269" s="6">
        <v>19000</v>
      </c>
      <c r="P269" s="6">
        <v>3369.11</v>
      </c>
      <c r="Q269" s="6">
        <v>950</v>
      </c>
      <c r="R269" s="6">
        <v>0</v>
      </c>
      <c r="S269" s="6">
        <v>7286.7</v>
      </c>
      <c r="T269" s="6">
        <v>0</v>
      </c>
      <c r="U269" s="5">
        <v>0</v>
      </c>
      <c r="V269" s="6">
        <v>0</v>
      </c>
      <c r="W269" s="5"/>
      <c r="X269" s="6">
        <v>19000</v>
      </c>
      <c r="Y269" s="8">
        <v>7394.19</v>
      </c>
      <c r="Z269" s="7">
        <v>38.9</v>
      </c>
      <c r="AA269" s="5" t="s">
        <v>60</v>
      </c>
      <c r="AB269" s="5">
        <v>0</v>
      </c>
      <c r="AC269" s="5">
        <v>0</v>
      </c>
      <c r="AD269" s="7">
        <v>0</v>
      </c>
      <c r="AE269" s="5">
        <v>0</v>
      </c>
      <c r="AF269" s="7">
        <v>0</v>
      </c>
      <c r="AG269" s="5">
        <v>4</v>
      </c>
      <c r="AH269" s="5" t="s">
        <v>49</v>
      </c>
      <c r="AI269" s="5" t="s">
        <v>153</v>
      </c>
      <c r="AJ269" s="5">
        <v>3</v>
      </c>
      <c r="AK269" s="5">
        <v>24</v>
      </c>
      <c r="AL269" s="5" t="s">
        <v>51</v>
      </c>
    </row>
    <row r="270" spans="1:38" ht="16.05" customHeight="1">
      <c r="A270" s="1" t="s">
        <v>1105</v>
      </c>
      <c r="B270" s="22">
        <v>44931</v>
      </c>
      <c r="C270" s="1"/>
      <c r="D270" s="1" t="s">
        <v>41</v>
      </c>
      <c r="E270" s="1" t="s">
        <v>160</v>
      </c>
      <c r="F270" s="1" t="s">
        <v>209</v>
      </c>
      <c r="G270" s="1" t="s">
        <v>1106</v>
      </c>
      <c r="H270" s="1" t="s">
        <v>1107</v>
      </c>
      <c r="I270" s="1" t="s">
        <v>46</v>
      </c>
      <c r="J270" s="1" t="s">
        <v>136</v>
      </c>
      <c r="K270" s="1">
        <v>3</v>
      </c>
      <c r="L270" s="2">
        <v>2308</v>
      </c>
      <c r="M270" s="2">
        <v>2077</v>
      </c>
      <c r="N270" s="3">
        <v>10</v>
      </c>
      <c r="O270" s="2">
        <v>6231</v>
      </c>
      <c r="P270" s="2">
        <v>1014.75</v>
      </c>
      <c r="Q270" s="2">
        <v>0</v>
      </c>
      <c r="R270" s="2">
        <v>68.14</v>
      </c>
      <c r="S270" s="2">
        <v>2829.1</v>
      </c>
      <c r="T270" s="2">
        <v>252.98</v>
      </c>
      <c r="U270" s="1">
        <v>0</v>
      </c>
      <c r="V270" s="2">
        <v>0</v>
      </c>
      <c r="W270" s="1"/>
      <c r="X270" s="2">
        <v>6231</v>
      </c>
      <c r="Y270" s="4">
        <v>2066.0300000000002</v>
      </c>
      <c r="Z270" s="3">
        <v>33.200000000000003</v>
      </c>
      <c r="AA270" s="1" t="s">
        <v>94</v>
      </c>
      <c r="AB270" s="1">
        <v>8474</v>
      </c>
      <c r="AC270" s="1">
        <v>240</v>
      </c>
      <c r="AD270" s="3">
        <v>2.83</v>
      </c>
      <c r="AE270" s="1">
        <v>16</v>
      </c>
      <c r="AF270" s="3">
        <v>0.8</v>
      </c>
      <c r="AG270" s="1"/>
      <c r="AH270" s="1" t="s">
        <v>49</v>
      </c>
      <c r="AI270" s="1" t="s">
        <v>86</v>
      </c>
      <c r="AJ270" s="1">
        <v>3</v>
      </c>
      <c r="AK270" s="1">
        <v>197</v>
      </c>
      <c r="AL270" s="1" t="s">
        <v>51</v>
      </c>
    </row>
    <row r="271" spans="1:38" ht="16.05" customHeight="1">
      <c r="A271" s="5" t="s">
        <v>1108</v>
      </c>
      <c r="B271" s="23">
        <v>45479</v>
      </c>
      <c r="C271" s="5"/>
      <c r="D271" s="5" t="s">
        <v>144</v>
      </c>
      <c r="E271" s="5" t="s">
        <v>145</v>
      </c>
      <c r="F271" s="5" t="s">
        <v>227</v>
      </c>
      <c r="G271" s="5" t="s">
        <v>1109</v>
      </c>
      <c r="H271" s="5" t="s">
        <v>1110</v>
      </c>
      <c r="I271" s="5" t="s">
        <v>59</v>
      </c>
      <c r="J271" s="5" t="s">
        <v>136</v>
      </c>
      <c r="K271" s="5">
        <v>1</v>
      </c>
      <c r="L271" s="6">
        <v>3978</v>
      </c>
      <c r="M271" s="6">
        <v>3132</v>
      </c>
      <c r="N271" s="7">
        <v>21.3</v>
      </c>
      <c r="O271" s="6">
        <v>3132</v>
      </c>
      <c r="P271" s="6">
        <v>392.19</v>
      </c>
      <c r="Q271" s="6">
        <v>156.6</v>
      </c>
      <c r="R271" s="6">
        <v>0</v>
      </c>
      <c r="S271" s="6">
        <v>1116.9000000000001</v>
      </c>
      <c r="T271" s="6">
        <v>0</v>
      </c>
      <c r="U271" s="5">
        <v>0</v>
      </c>
      <c r="V271" s="6">
        <v>0</v>
      </c>
      <c r="W271" s="5"/>
      <c r="X271" s="6">
        <v>3132</v>
      </c>
      <c r="Y271" s="8">
        <v>1466.31</v>
      </c>
      <c r="Z271" s="7">
        <v>46.8</v>
      </c>
      <c r="AA271" s="5" t="s">
        <v>60</v>
      </c>
      <c r="AB271" s="5">
        <v>0</v>
      </c>
      <c r="AC271" s="5">
        <v>0</v>
      </c>
      <c r="AD271" s="7">
        <v>0</v>
      </c>
      <c r="AE271" s="5">
        <v>0</v>
      </c>
      <c r="AF271" s="7">
        <v>0</v>
      </c>
      <c r="AG271" s="5"/>
      <c r="AH271" s="5" t="s">
        <v>49</v>
      </c>
      <c r="AI271" s="5" t="s">
        <v>50</v>
      </c>
      <c r="AJ271" s="5">
        <v>3</v>
      </c>
      <c r="AK271" s="5">
        <v>108</v>
      </c>
      <c r="AL271" s="5" t="s">
        <v>51</v>
      </c>
    </row>
    <row r="272" spans="1:38" ht="16.05" customHeight="1">
      <c r="A272" s="1" t="s">
        <v>1111</v>
      </c>
      <c r="B272" s="22">
        <v>45296</v>
      </c>
      <c r="C272" s="1" t="s">
        <v>1112</v>
      </c>
      <c r="D272" s="1" t="s">
        <v>81</v>
      </c>
      <c r="E272" s="1" t="s">
        <v>284</v>
      </c>
      <c r="F272" s="1" t="s">
        <v>91</v>
      </c>
      <c r="G272" s="1" t="s">
        <v>1113</v>
      </c>
      <c r="H272" s="1" t="s">
        <v>1114</v>
      </c>
      <c r="I272" s="1" t="s">
        <v>59</v>
      </c>
      <c r="J272" s="1" t="s">
        <v>47</v>
      </c>
      <c r="K272" s="1">
        <v>4</v>
      </c>
      <c r="L272" s="2">
        <v>1117</v>
      </c>
      <c r="M272" s="2">
        <v>975</v>
      </c>
      <c r="N272" s="3">
        <v>12.7</v>
      </c>
      <c r="O272" s="2">
        <v>3900</v>
      </c>
      <c r="P272" s="2">
        <v>524.29</v>
      </c>
      <c r="Q272" s="2">
        <v>195</v>
      </c>
      <c r="R272" s="2">
        <v>0</v>
      </c>
      <c r="S272" s="2">
        <v>1557.27</v>
      </c>
      <c r="T272" s="2">
        <v>285.77</v>
      </c>
      <c r="U272" s="1">
        <v>0</v>
      </c>
      <c r="V272" s="2">
        <v>0</v>
      </c>
      <c r="W272" s="1"/>
      <c r="X272" s="2">
        <v>3900</v>
      </c>
      <c r="Y272" s="4">
        <v>1337.67</v>
      </c>
      <c r="Z272" s="3">
        <v>34.299999999999997</v>
      </c>
      <c r="AA272" s="1" t="s">
        <v>78</v>
      </c>
      <c r="AB272" s="1">
        <v>14648</v>
      </c>
      <c r="AC272" s="1">
        <v>128</v>
      </c>
      <c r="AD272" s="3">
        <v>0.87</v>
      </c>
      <c r="AE272" s="1">
        <v>3</v>
      </c>
      <c r="AF272" s="3">
        <v>9.8000000000000007</v>
      </c>
      <c r="AG272" s="1">
        <v>3</v>
      </c>
      <c r="AH272" s="1" t="s">
        <v>61</v>
      </c>
      <c r="AI272" s="1" t="s">
        <v>176</v>
      </c>
      <c r="AJ272" s="1">
        <v>3</v>
      </c>
      <c r="AK272" s="1">
        <v>39</v>
      </c>
      <c r="AL272" s="1" t="s">
        <v>51</v>
      </c>
    </row>
    <row r="273" spans="1:38" ht="16.05" customHeight="1">
      <c r="A273" s="5" t="s">
        <v>1115</v>
      </c>
      <c r="B273" s="23">
        <v>45302</v>
      </c>
      <c r="C273" s="5" t="s">
        <v>1116</v>
      </c>
      <c r="D273" s="5" t="s">
        <v>144</v>
      </c>
      <c r="E273" s="5" t="s">
        <v>1117</v>
      </c>
      <c r="F273" s="5" t="s">
        <v>239</v>
      </c>
      <c r="G273" s="5" t="s">
        <v>1118</v>
      </c>
      <c r="H273" s="5" t="s">
        <v>1119</v>
      </c>
      <c r="I273" s="5" t="s">
        <v>46</v>
      </c>
      <c r="J273" s="5" t="s">
        <v>103</v>
      </c>
      <c r="K273" s="5">
        <v>8</v>
      </c>
      <c r="L273" s="6">
        <v>3853</v>
      </c>
      <c r="M273" s="6">
        <v>2995</v>
      </c>
      <c r="N273" s="7">
        <v>22.3</v>
      </c>
      <c r="O273" s="6">
        <v>23960</v>
      </c>
      <c r="P273" s="6">
        <v>2291.37</v>
      </c>
      <c r="Q273" s="6">
        <v>0</v>
      </c>
      <c r="R273" s="6">
        <v>66.33</v>
      </c>
      <c r="S273" s="6">
        <v>9441.36</v>
      </c>
      <c r="T273" s="6">
        <v>14.42</v>
      </c>
      <c r="U273" s="5">
        <v>1</v>
      </c>
      <c r="V273" s="6">
        <v>2995</v>
      </c>
      <c r="W273" s="5" t="s">
        <v>104</v>
      </c>
      <c r="X273" s="6">
        <v>20965</v>
      </c>
      <c r="Y273" s="8">
        <v>9151.52</v>
      </c>
      <c r="Z273" s="7">
        <v>43.7</v>
      </c>
      <c r="AA273" s="5" t="s">
        <v>48</v>
      </c>
      <c r="AB273" s="5">
        <v>3636</v>
      </c>
      <c r="AC273" s="5">
        <v>33</v>
      </c>
      <c r="AD273" s="7">
        <v>0.91</v>
      </c>
      <c r="AE273" s="5">
        <v>6</v>
      </c>
      <c r="AF273" s="7">
        <v>0.1</v>
      </c>
      <c r="AG273" s="5"/>
      <c r="AH273" s="5" t="s">
        <v>49</v>
      </c>
      <c r="AI273" s="5" t="s">
        <v>86</v>
      </c>
      <c r="AJ273" s="5">
        <v>3</v>
      </c>
      <c r="AK273" s="5">
        <v>9</v>
      </c>
      <c r="AL273" s="12" t="s">
        <v>71</v>
      </c>
    </row>
    <row r="274" spans="1:38" ht="16.05" customHeight="1">
      <c r="A274" s="1" t="s">
        <v>1120</v>
      </c>
      <c r="B274" s="22">
        <v>45369</v>
      </c>
      <c r="C274" s="1"/>
      <c r="D274" s="1" t="s">
        <v>54</v>
      </c>
      <c r="E274" s="1" t="s">
        <v>670</v>
      </c>
      <c r="F274" s="1" t="s">
        <v>91</v>
      </c>
      <c r="G274" s="1" t="s">
        <v>1121</v>
      </c>
      <c r="H274" s="1" t="s">
        <v>1122</v>
      </c>
      <c r="I274" s="1" t="s">
        <v>59</v>
      </c>
      <c r="J274" s="1" t="s">
        <v>77</v>
      </c>
      <c r="K274" s="1">
        <v>7</v>
      </c>
      <c r="L274" s="2">
        <v>4338</v>
      </c>
      <c r="M274" s="2">
        <v>3599</v>
      </c>
      <c r="N274" s="3">
        <v>17</v>
      </c>
      <c r="O274" s="2">
        <v>25193</v>
      </c>
      <c r="P274" s="2">
        <v>3082</v>
      </c>
      <c r="Q274" s="2">
        <v>1259.6500000000001</v>
      </c>
      <c r="R274" s="2">
        <v>0</v>
      </c>
      <c r="S274" s="2">
        <v>10884.37</v>
      </c>
      <c r="T274" s="2">
        <v>192.51</v>
      </c>
      <c r="U274" s="1">
        <v>0</v>
      </c>
      <c r="V274" s="2">
        <v>0</v>
      </c>
      <c r="W274" s="1"/>
      <c r="X274" s="2">
        <v>25193</v>
      </c>
      <c r="Y274" s="4">
        <v>9774.4699999999993</v>
      </c>
      <c r="Z274" s="3">
        <v>38.799999999999997</v>
      </c>
      <c r="AA274" s="1" t="s">
        <v>94</v>
      </c>
      <c r="AB274" s="1">
        <v>6227</v>
      </c>
      <c r="AC274" s="1">
        <v>326</v>
      </c>
      <c r="AD274" s="3">
        <v>5.24</v>
      </c>
      <c r="AE274" s="1">
        <v>6</v>
      </c>
      <c r="AF274" s="3">
        <v>0.9</v>
      </c>
      <c r="AG274" s="1"/>
      <c r="AH274" s="1" t="s">
        <v>49</v>
      </c>
      <c r="AI274" s="1" t="s">
        <v>86</v>
      </c>
      <c r="AJ274" s="1">
        <v>2</v>
      </c>
      <c r="AK274" s="1">
        <v>44</v>
      </c>
      <c r="AL274" s="1" t="s">
        <v>51</v>
      </c>
    </row>
    <row r="275" spans="1:38" ht="16.05" customHeight="1">
      <c r="A275" s="5" t="s">
        <v>1123</v>
      </c>
      <c r="B275" s="23">
        <v>45529</v>
      </c>
      <c r="C275" s="5"/>
      <c r="D275" s="5" t="s">
        <v>81</v>
      </c>
      <c r="E275" s="5" t="s">
        <v>284</v>
      </c>
      <c r="F275" s="5" t="s">
        <v>100</v>
      </c>
      <c r="G275" s="5" t="s">
        <v>1124</v>
      </c>
      <c r="H275" s="5" t="s">
        <v>1125</v>
      </c>
      <c r="I275" s="5" t="s">
        <v>46</v>
      </c>
      <c r="J275" s="5" t="s">
        <v>85</v>
      </c>
      <c r="K275" s="5">
        <v>2</v>
      </c>
      <c r="L275" s="6">
        <v>1028</v>
      </c>
      <c r="M275" s="6">
        <v>793</v>
      </c>
      <c r="N275" s="7">
        <v>22.9</v>
      </c>
      <c r="O275" s="6">
        <v>1586</v>
      </c>
      <c r="P275" s="6">
        <v>218.26</v>
      </c>
      <c r="Q275" s="6">
        <v>0</v>
      </c>
      <c r="R275" s="6">
        <v>73.900000000000006</v>
      </c>
      <c r="S275" s="6">
        <v>625.11</v>
      </c>
      <c r="T275" s="6">
        <v>91.22</v>
      </c>
      <c r="U275" s="5">
        <v>0</v>
      </c>
      <c r="V275" s="6">
        <v>0</v>
      </c>
      <c r="W275" s="5"/>
      <c r="X275" s="6">
        <v>1586</v>
      </c>
      <c r="Y275" s="8">
        <v>577.51</v>
      </c>
      <c r="Z275" s="7">
        <v>36.4</v>
      </c>
      <c r="AA275" s="5" t="s">
        <v>94</v>
      </c>
      <c r="AB275" s="5">
        <v>6212</v>
      </c>
      <c r="AC275" s="5">
        <v>331</v>
      </c>
      <c r="AD275" s="7">
        <v>5.33</v>
      </c>
      <c r="AE275" s="5">
        <v>37</v>
      </c>
      <c r="AF275" s="7">
        <v>0.3</v>
      </c>
      <c r="AG275" s="5"/>
      <c r="AH275" s="5" t="s">
        <v>49</v>
      </c>
      <c r="AI275" s="5" t="s">
        <v>105</v>
      </c>
      <c r="AJ275" s="5">
        <v>4</v>
      </c>
      <c r="AK275" s="5">
        <v>117</v>
      </c>
      <c r="AL275" s="5" t="s">
        <v>51</v>
      </c>
    </row>
    <row r="276" spans="1:38" ht="16.05" customHeight="1">
      <c r="A276" s="1" t="s">
        <v>1126</v>
      </c>
      <c r="B276" s="22">
        <v>45220</v>
      </c>
      <c r="C276" s="1"/>
      <c r="D276" s="1" t="s">
        <v>65</v>
      </c>
      <c r="E276" s="1" t="s">
        <v>66</v>
      </c>
      <c r="F276" s="1" t="s">
        <v>74</v>
      </c>
      <c r="G276" s="1" t="s">
        <v>1127</v>
      </c>
      <c r="H276" s="1" t="s">
        <v>1128</v>
      </c>
      <c r="I276" s="1" t="s">
        <v>46</v>
      </c>
      <c r="J276" s="1" t="s">
        <v>85</v>
      </c>
      <c r="K276" s="1">
        <v>3</v>
      </c>
      <c r="L276" s="2">
        <v>234</v>
      </c>
      <c r="M276" s="2">
        <v>184</v>
      </c>
      <c r="N276" s="3">
        <v>21.4</v>
      </c>
      <c r="O276" s="2">
        <v>552</v>
      </c>
      <c r="P276" s="2">
        <v>47.39</v>
      </c>
      <c r="Q276" s="2">
        <v>0</v>
      </c>
      <c r="R276" s="2">
        <v>37.64</v>
      </c>
      <c r="S276" s="2">
        <v>296.8</v>
      </c>
      <c r="T276" s="2">
        <v>5.33</v>
      </c>
      <c r="U276" s="1">
        <v>0</v>
      </c>
      <c r="V276" s="2">
        <v>0</v>
      </c>
      <c r="W276" s="1"/>
      <c r="X276" s="2">
        <v>552</v>
      </c>
      <c r="Y276" s="4">
        <v>164.84</v>
      </c>
      <c r="Z276" s="3">
        <v>29.9</v>
      </c>
      <c r="AA276" s="1" t="s">
        <v>48</v>
      </c>
      <c r="AB276" s="1">
        <v>9157</v>
      </c>
      <c r="AC276" s="1">
        <v>696</v>
      </c>
      <c r="AD276" s="3">
        <v>7.6</v>
      </c>
      <c r="AE276" s="1">
        <v>101</v>
      </c>
      <c r="AF276" s="3">
        <v>0</v>
      </c>
      <c r="AG276" s="1"/>
      <c r="AH276" s="1" t="s">
        <v>49</v>
      </c>
      <c r="AI276" s="1" t="s">
        <v>297</v>
      </c>
      <c r="AJ276" s="1">
        <v>5</v>
      </c>
      <c r="AK276" s="1">
        <v>144</v>
      </c>
      <c r="AL276" s="1" t="s">
        <v>51</v>
      </c>
    </row>
    <row r="277" spans="1:38" ht="16.05" customHeight="1">
      <c r="A277" s="5" t="s">
        <v>1129</v>
      </c>
      <c r="B277" s="23">
        <v>45632</v>
      </c>
      <c r="C277" s="5"/>
      <c r="D277" s="5" t="s">
        <v>54</v>
      </c>
      <c r="E277" s="5" t="s">
        <v>670</v>
      </c>
      <c r="F277" s="5" t="s">
        <v>222</v>
      </c>
      <c r="G277" s="5" t="s">
        <v>1130</v>
      </c>
      <c r="H277" s="5" t="s">
        <v>1131</v>
      </c>
      <c r="I277" s="5" t="s">
        <v>59</v>
      </c>
      <c r="J277" s="5" t="s">
        <v>136</v>
      </c>
      <c r="K277" s="5">
        <v>4</v>
      </c>
      <c r="L277" s="6">
        <v>846</v>
      </c>
      <c r="M277" s="6">
        <v>767</v>
      </c>
      <c r="N277" s="7">
        <v>9.3000000000000007</v>
      </c>
      <c r="O277" s="6">
        <v>3068</v>
      </c>
      <c r="P277" s="6">
        <v>286.07</v>
      </c>
      <c r="Q277" s="6">
        <v>153.4</v>
      </c>
      <c r="R277" s="6">
        <v>0</v>
      </c>
      <c r="S277" s="6">
        <v>1065.6600000000001</v>
      </c>
      <c r="T277" s="6">
        <v>352.08</v>
      </c>
      <c r="U277" s="5">
        <v>0</v>
      </c>
      <c r="V277" s="6">
        <v>0</v>
      </c>
      <c r="W277" s="5"/>
      <c r="X277" s="6">
        <v>3068</v>
      </c>
      <c r="Y277" s="8">
        <v>1210.79</v>
      </c>
      <c r="Z277" s="7">
        <v>39.5</v>
      </c>
      <c r="AA277" s="5" t="s">
        <v>60</v>
      </c>
      <c r="AB277" s="5">
        <v>3031</v>
      </c>
      <c r="AC277" s="5">
        <v>192</v>
      </c>
      <c r="AD277" s="7">
        <v>6.33</v>
      </c>
      <c r="AE277" s="5">
        <v>15</v>
      </c>
      <c r="AF277" s="7">
        <v>3.1</v>
      </c>
      <c r="AG277" s="5"/>
      <c r="AH277" s="5" t="s">
        <v>49</v>
      </c>
      <c r="AI277" s="5" t="s">
        <v>308</v>
      </c>
      <c r="AJ277" s="5">
        <v>1</v>
      </c>
      <c r="AK277" s="5">
        <v>76</v>
      </c>
      <c r="AL277" s="5" t="s">
        <v>51</v>
      </c>
    </row>
    <row r="278" spans="1:38" ht="16.05" customHeight="1">
      <c r="A278" s="1" t="s">
        <v>1132</v>
      </c>
      <c r="B278" s="22">
        <v>45333</v>
      </c>
      <c r="C278" s="1" t="s">
        <v>975</v>
      </c>
      <c r="D278" s="1" t="s">
        <v>98</v>
      </c>
      <c r="E278" s="1" t="s">
        <v>114</v>
      </c>
      <c r="F278" s="1" t="s">
        <v>329</v>
      </c>
      <c r="G278" s="1" t="s">
        <v>1133</v>
      </c>
      <c r="H278" s="1" t="s">
        <v>1134</v>
      </c>
      <c r="I278" s="1" t="s">
        <v>46</v>
      </c>
      <c r="J278" s="1" t="s">
        <v>47</v>
      </c>
      <c r="K278" s="1">
        <v>4</v>
      </c>
      <c r="L278" s="2">
        <v>1553</v>
      </c>
      <c r="M278" s="2">
        <v>1403</v>
      </c>
      <c r="N278" s="3">
        <v>9.6999999999999993</v>
      </c>
      <c r="O278" s="2">
        <v>5612</v>
      </c>
      <c r="P278" s="2">
        <v>686.16</v>
      </c>
      <c r="Q278" s="2">
        <v>0</v>
      </c>
      <c r="R278" s="2">
        <v>71.69</v>
      </c>
      <c r="S278" s="2">
        <v>2277.5100000000002</v>
      </c>
      <c r="T278" s="2">
        <v>462.33</v>
      </c>
      <c r="U278" s="1">
        <v>0</v>
      </c>
      <c r="V278" s="2">
        <v>0</v>
      </c>
      <c r="W278" s="1"/>
      <c r="X278" s="2">
        <v>5612</v>
      </c>
      <c r="Y278" s="4">
        <v>2114.31</v>
      </c>
      <c r="Z278" s="3">
        <v>37.700000000000003</v>
      </c>
      <c r="AA278" s="1" t="s">
        <v>78</v>
      </c>
      <c r="AB278" s="1">
        <v>4766</v>
      </c>
      <c r="AC278" s="1">
        <v>212</v>
      </c>
      <c r="AD278" s="3">
        <v>4.45</v>
      </c>
      <c r="AE278" s="1">
        <v>7</v>
      </c>
      <c r="AF278" s="3">
        <v>4.7</v>
      </c>
      <c r="AG278" s="1">
        <v>5</v>
      </c>
      <c r="AH278" s="1" t="s">
        <v>49</v>
      </c>
      <c r="AI278" s="1" t="s">
        <v>79</v>
      </c>
      <c r="AJ278" s="1">
        <v>3</v>
      </c>
      <c r="AK278" s="1">
        <v>5</v>
      </c>
      <c r="AL278" s="9" t="s">
        <v>71</v>
      </c>
    </row>
    <row r="279" spans="1:38" ht="16.05" customHeight="1">
      <c r="A279" s="5" t="s">
        <v>1135</v>
      </c>
      <c r="B279" s="23">
        <v>45504</v>
      </c>
      <c r="C279" s="5" t="s">
        <v>596</v>
      </c>
      <c r="D279" s="5" t="s">
        <v>41</v>
      </c>
      <c r="E279" s="5" t="s">
        <v>213</v>
      </c>
      <c r="F279" s="5" t="s">
        <v>256</v>
      </c>
      <c r="G279" s="5" t="s">
        <v>1136</v>
      </c>
      <c r="H279" s="5" t="s">
        <v>1137</v>
      </c>
      <c r="I279" s="5" t="s">
        <v>59</v>
      </c>
      <c r="J279" s="5" t="s">
        <v>47</v>
      </c>
      <c r="K279" s="5">
        <v>2</v>
      </c>
      <c r="L279" s="6">
        <v>1976</v>
      </c>
      <c r="M279" s="6">
        <v>1723</v>
      </c>
      <c r="N279" s="7">
        <v>12.8</v>
      </c>
      <c r="O279" s="6">
        <v>3446</v>
      </c>
      <c r="P279" s="6">
        <v>475.91</v>
      </c>
      <c r="Q279" s="6">
        <v>172.3</v>
      </c>
      <c r="R279" s="6">
        <v>0</v>
      </c>
      <c r="S279" s="6">
        <v>1248.22</v>
      </c>
      <c r="T279" s="6">
        <v>0</v>
      </c>
      <c r="U279" s="5">
        <v>0</v>
      </c>
      <c r="V279" s="6">
        <v>0</v>
      </c>
      <c r="W279" s="5"/>
      <c r="X279" s="6">
        <v>3446</v>
      </c>
      <c r="Y279" s="8">
        <v>1549.57</v>
      </c>
      <c r="Z279" s="7">
        <v>45</v>
      </c>
      <c r="AA279" s="5" t="s">
        <v>60</v>
      </c>
      <c r="AB279" s="5">
        <v>0</v>
      </c>
      <c r="AC279" s="5">
        <v>0</v>
      </c>
      <c r="AD279" s="7">
        <v>0</v>
      </c>
      <c r="AE279" s="5">
        <v>0</v>
      </c>
      <c r="AF279" s="7">
        <v>0</v>
      </c>
      <c r="AG279" s="5">
        <v>4</v>
      </c>
      <c r="AH279" s="5" t="s">
        <v>61</v>
      </c>
      <c r="AI279" s="5" t="s">
        <v>112</v>
      </c>
      <c r="AJ279" s="5">
        <v>3</v>
      </c>
      <c r="AK279" s="5">
        <v>163</v>
      </c>
      <c r="AL279" s="5" t="s">
        <v>51</v>
      </c>
    </row>
    <row r="280" spans="1:38" ht="16.05" customHeight="1">
      <c r="A280" s="1" t="s">
        <v>1138</v>
      </c>
      <c r="B280" s="22">
        <v>45351</v>
      </c>
      <c r="C280" s="1" t="s">
        <v>1139</v>
      </c>
      <c r="D280" s="1" t="s">
        <v>144</v>
      </c>
      <c r="E280" s="1" t="s">
        <v>166</v>
      </c>
      <c r="F280" s="1" t="s">
        <v>125</v>
      </c>
      <c r="G280" s="1" t="s">
        <v>1140</v>
      </c>
      <c r="H280" s="1" t="s">
        <v>1141</v>
      </c>
      <c r="I280" s="1" t="s">
        <v>59</v>
      </c>
      <c r="J280" s="1" t="s">
        <v>47</v>
      </c>
      <c r="K280" s="1">
        <v>3</v>
      </c>
      <c r="L280" s="2">
        <v>1188</v>
      </c>
      <c r="M280" s="2">
        <v>976</v>
      </c>
      <c r="N280" s="3">
        <v>17.8</v>
      </c>
      <c r="O280" s="2">
        <v>2928</v>
      </c>
      <c r="P280" s="2">
        <v>267.55</v>
      </c>
      <c r="Q280" s="2">
        <v>146.4</v>
      </c>
      <c r="R280" s="2">
        <v>0</v>
      </c>
      <c r="S280" s="2">
        <v>1559.21</v>
      </c>
      <c r="T280" s="2">
        <v>469.69</v>
      </c>
      <c r="U280" s="1">
        <v>0</v>
      </c>
      <c r="V280" s="2">
        <v>0</v>
      </c>
      <c r="W280" s="1"/>
      <c r="X280" s="2">
        <v>2928</v>
      </c>
      <c r="Y280" s="4">
        <v>485.15</v>
      </c>
      <c r="Z280" s="3">
        <v>16.600000000000001</v>
      </c>
      <c r="AA280" s="1" t="s">
        <v>94</v>
      </c>
      <c r="AB280" s="1">
        <v>1671</v>
      </c>
      <c r="AC280" s="1">
        <v>32</v>
      </c>
      <c r="AD280" s="3">
        <v>1.92</v>
      </c>
      <c r="AE280" s="1">
        <v>2</v>
      </c>
      <c r="AF280" s="3">
        <v>24.1</v>
      </c>
      <c r="AG280" s="1">
        <v>4</v>
      </c>
      <c r="AH280" s="1" t="s">
        <v>49</v>
      </c>
      <c r="AI280" s="1" t="s">
        <v>62</v>
      </c>
      <c r="AJ280" s="1">
        <v>1</v>
      </c>
      <c r="AK280" s="1">
        <v>186</v>
      </c>
      <c r="AL280" s="1" t="s">
        <v>51</v>
      </c>
    </row>
    <row r="281" spans="1:38" ht="16.05" customHeight="1">
      <c r="A281" s="5" t="s">
        <v>1142</v>
      </c>
      <c r="B281" s="23">
        <v>45576</v>
      </c>
      <c r="C281" s="5" t="s">
        <v>509</v>
      </c>
      <c r="D281" s="5" t="s">
        <v>65</v>
      </c>
      <c r="E281" s="5" t="s">
        <v>328</v>
      </c>
      <c r="F281" s="5" t="s">
        <v>115</v>
      </c>
      <c r="G281" s="5" t="s">
        <v>1143</v>
      </c>
      <c r="H281" s="5" t="s">
        <v>1144</v>
      </c>
      <c r="I281" s="5" t="s">
        <v>46</v>
      </c>
      <c r="J281" s="5" t="s">
        <v>47</v>
      </c>
      <c r="K281" s="5">
        <v>4</v>
      </c>
      <c r="L281" s="6">
        <v>3928</v>
      </c>
      <c r="M281" s="6">
        <v>3594</v>
      </c>
      <c r="N281" s="7">
        <v>8.5</v>
      </c>
      <c r="O281" s="6">
        <v>14376</v>
      </c>
      <c r="P281" s="6">
        <v>2586.84</v>
      </c>
      <c r="Q281" s="6">
        <v>0</v>
      </c>
      <c r="R281" s="6">
        <v>73.87</v>
      </c>
      <c r="S281" s="6">
        <v>6610.86</v>
      </c>
      <c r="T281" s="6">
        <v>23.18</v>
      </c>
      <c r="U281" s="5">
        <v>0</v>
      </c>
      <c r="V281" s="6">
        <v>0</v>
      </c>
      <c r="W281" s="5"/>
      <c r="X281" s="6">
        <v>14376</v>
      </c>
      <c r="Y281" s="8">
        <v>5081.25</v>
      </c>
      <c r="Z281" s="7">
        <v>35.299999999999997</v>
      </c>
      <c r="AA281" s="5" t="s">
        <v>78</v>
      </c>
      <c r="AB281" s="5">
        <v>4003</v>
      </c>
      <c r="AC281" s="5">
        <v>220</v>
      </c>
      <c r="AD281" s="7">
        <v>5.5</v>
      </c>
      <c r="AE281" s="5">
        <v>20</v>
      </c>
      <c r="AF281" s="7">
        <v>0</v>
      </c>
      <c r="AG281" s="5">
        <v>1</v>
      </c>
      <c r="AH281" s="5" t="s">
        <v>61</v>
      </c>
      <c r="AI281" s="5" t="s">
        <v>153</v>
      </c>
      <c r="AJ281" s="5">
        <v>6</v>
      </c>
      <c r="AK281" s="5">
        <v>20</v>
      </c>
      <c r="AL281" s="5" t="s">
        <v>51</v>
      </c>
    </row>
    <row r="282" spans="1:38" ht="16.05" customHeight="1">
      <c r="A282" s="1" t="s">
        <v>1145</v>
      </c>
      <c r="B282" s="22">
        <v>45019</v>
      </c>
      <c r="C282" s="1"/>
      <c r="D282" s="1" t="s">
        <v>41</v>
      </c>
      <c r="E282" s="1" t="s">
        <v>335</v>
      </c>
      <c r="F282" s="1" t="s">
        <v>125</v>
      </c>
      <c r="G282" s="1" t="s">
        <v>1146</v>
      </c>
      <c r="H282" s="1" t="s">
        <v>1147</v>
      </c>
      <c r="I282" s="1" t="s">
        <v>59</v>
      </c>
      <c r="J282" s="1" t="s">
        <v>136</v>
      </c>
      <c r="K282" s="1">
        <v>4</v>
      </c>
      <c r="L282" s="2">
        <v>3499</v>
      </c>
      <c r="M282" s="2">
        <v>2491</v>
      </c>
      <c r="N282" s="3">
        <v>28.8</v>
      </c>
      <c r="O282" s="2">
        <v>9964</v>
      </c>
      <c r="P282" s="2">
        <v>1646.12</v>
      </c>
      <c r="Q282" s="2">
        <v>498.2</v>
      </c>
      <c r="R282" s="2">
        <v>0</v>
      </c>
      <c r="S282" s="2">
        <v>3528.19</v>
      </c>
      <c r="T282" s="2">
        <v>391.89</v>
      </c>
      <c r="U282" s="1">
        <v>0</v>
      </c>
      <c r="V282" s="2">
        <v>0</v>
      </c>
      <c r="W282" s="1"/>
      <c r="X282" s="2">
        <v>9964</v>
      </c>
      <c r="Y282" s="4">
        <v>3899.6</v>
      </c>
      <c r="Z282" s="3">
        <v>39.1</v>
      </c>
      <c r="AA282" s="1" t="s">
        <v>48</v>
      </c>
      <c r="AB282" s="1">
        <v>8291</v>
      </c>
      <c r="AC282" s="1">
        <v>451</v>
      </c>
      <c r="AD282" s="3">
        <v>5.44</v>
      </c>
      <c r="AE282" s="1">
        <v>26</v>
      </c>
      <c r="AF282" s="3">
        <v>0.6</v>
      </c>
      <c r="AG282" s="1"/>
      <c r="AH282" s="1" t="s">
        <v>49</v>
      </c>
      <c r="AI282" s="1" t="s">
        <v>86</v>
      </c>
      <c r="AJ282" s="1">
        <v>3</v>
      </c>
      <c r="AK282" s="1">
        <v>19</v>
      </c>
      <c r="AL282" s="9" t="s">
        <v>71</v>
      </c>
    </row>
    <row r="283" spans="1:38" ht="16.05" customHeight="1">
      <c r="A283" s="5" t="s">
        <v>1148</v>
      </c>
      <c r="B283" s="23">
        <v>45493</v>
      </c>
      <c r="C283" s="5"/>
      <c r="D283" s="5" t="s">
        <v>65</v>
      </c>
      <c r="E283" s="5" t="s">
        <v>108</v>
      </c>
      <c r="F283" s="5" t="s">
        <v>67</v>
      </c>
      <c r="G283" s="5" t="s">
        <v>1149</v>
      </c>
      <c r="H283" s="5" t="s">
        <v>1150</v>
      </c>
      <c r="I283" s="5" t="s">
        <v>59</v>
      </c>
      <c r="J283" s="5" t="s">
        <v>136</v>
      </c>
      <c r="K283" s="5">
        <v>9</v>
      </c>
      <c r="L283" s="6">
        <v>247</v>
      </c>
      <c r="M283" s="6">
        <v>207</v>
      </c>
      <c r="N283" s="7">
        <v>16.2</v>
      </c>
      <c r="O283" s="6">
        <v>1863</v>
      </c>
      <c r="P283" s="6">
        <v>220.13</v>
      </c>
      <c r="Q283" s="6">
        <v>93.15</v>
      </c>
      <c r="R283" s="6">
        <v>0</v>
      </c>
      <c r="S283" s="6">
        <v>658.92</v>
      </c>
      <c r="T283" s="6">
        <v>0</v>
      </c>
      <c r="U283" s="5">
        <v>0</v>
      </c>
      <c r="V283" s="6">
        <v>0</v>
      </c>
      <c r="W283" s="5"/>
      <c r="X283" s="6">
        <v>1863</v>
      </c>
      <c r="Y283" s="8">
        <v>890.8</v>
      </c>
      <c r="Z283" s="7">
        <v>47.8</v>
      </c>
      <c r="AA283" s="5" t="s">
        <v>60</v>
      </c>
      <c r="AB283" s="5">
        <v>0</v>
      </c>
      <c r="AC283" s="5">
        <v>0</v>
      </c>
      <c r="AD283" s="7">
        <v>0</v>
      </c>
      <c r="AE283" s="5">
        <v>0</v>
      </c>
      <c r="AF283" s="7">
        <v>0</v>
      </c>
      <c r="AG283" s="5"/>
      <c r="AH283" s="5" t="s">
        <v>49</v>
      </c>
      <c r="AI283" s="5" t="s">
        <v>79</v>
      </c>
      <c r="AJ283" s="5">
        <v>1</v>
      </c>
      <c r="AK283" s="5">
        <v>182</v>
      </c>
      <c r="AL283" s="5" t="s">
        <v>51</v>
      </c>
    </row>
    <row r="284" spans="1:38" ht="16.05" customHeight="1">
      <c r="A284" s="1" t="s">
        <v>1151</v>
      </c>
      <c r="B284" s="22">
        <v>45560</v>
      </c>
      <c r="C284" s="1"/>
      <c r="D284" s="1" t="s">
        <v>54</v>
      </c>
      <c r="E284" s="1" t="s">
        <v>589</v>
      </c>
      <c r="F284" s="1" t="s">
        <v>222</v>
      </c>
      <c r="G284" s="1" t="s">
        <v>1152</v>
      </c>
      <c r="H284" s="1" t="s">
        <v>1153</v>
      </c>
      <c r="I284" s="1" t="s">
        <v>46</v>
      </c>
      <c r="J284" s="1" t="s">
        <v>77</v>
      </c>
      <c r="K284" s="1">
        <v>9</v>
      </c>
      <c r="L284" s="2">
        <v>257</v>
      </c>
      <c r="M284" s="2">
        <v>208</v>
      </c>
      <c r="N284" s="3">
        <v>19.100000000000001</v>
      </c>
      <c r="O284" s="2">
        <v>1872</v>
      </c>
      <c r="P284" s="2">
        <v>179.09</v>
      </c>
      <c r="Q284" s="2">
        <v>0</v>
      </c>
      <c r="R284" s="2">
        <v>48.85</v>
      </c>
      <c r="S284" s="2">
        <v>650.27</v>
      </c>
      <c r="T284" s="2">
        <v>192.25</v>
      </c>
      <c r="U284" s="1">
        <v>0</v>
      </c>
      <c r="V284" s="2">
        <v>0</v>
      </c>
      <c r="W284" s="1"/>
      <c r="X284" s="2">
        <v>1872</v>
      </c>
      <c r="Y284" s="4">
        <v>801.54</v>
      </c>
      <c r="Z284" s="3">
        <v>42.8</v>
      </c>
      <c r="AA284" s="1" t="s">
        <v>78</v>
      </c>
      <c r="AB284" s="1">
        <v>3420</v>
      </c>
      <c r="AC284" s="1">
        <v>216</v>
      </c>
      <c r="AD284" s="3">
        <v>6.32</v>
      </c>
      <c r="AE284" s="1">
        <v>39</v>
      </c>
      <c r="AF284" s="3">
        <v>2.4</v>
      </c>
      <c r="AG284" s="1"/>
      <c r="AH284" s="1" t="s">
        <v>49</v>
      </c>
      <c r="AI284" s="1" t="s">
        <v>112</v>
      </c>
      <c r="AJ284" s="1">
        <v>5</v>
      </c>
      <c r="AK284" s="1">
        <v>99</v>
      </c>
      <c r="AL284" s="1" t="s">
        <v>51</v>
      </c>
    </row>
    <row r="285" spans="1:38" ht="16.05" customHeight="1">
      <c r="A285" s="5" t="s">
        <v>1154</v>
      </c>
      <c r="B285" s="23">
        <v>45646</v>
      </c>
      <c r="C285" s="5" t="s">
        <v>1155</v>
      </c>
      <c r="D285" s="5" t="s">
        <v>54</v>
      </c>
      <c r="E285" s="5" t="s">
        <v>221</v>
      </c>
      <c r="F285" s="5" t="s">
        <v>91</v>
      </c>
      <c r="G285" s="5" t="s">
        <v>1156</v>
      </c>
      <c r="H285" s="5" t="s">
        <v>1157</v>
      </c>
      <c r="I285" s="5" t="s">
        <v>46</v>
      </c>
      <c r="J285" s="5" t="s">
        <v>103</v>
      </c>
      <c r="K285" s="5">
        <v>8</v>
      </c>
      <c r="L285" s="6">
        <v>3623</v>
      </c>
      <c r="M285" s="6">
        <v>2648</v>
      </c>
      <c r="N285" s="7">
        <v>26.9</v>
      </c>
      <c r="O285" s="6">
        <v>21184</v>
      </c>
      <c r="P285" s="6">
        <v>3125.03</v>
      </c>
      <c r="Q285" s="6">
        <v>0</v>
      </c>
      <c r="R285" s="6">
        <v>52.74</v>
      </c>
      <c r="S285" s="6">
        <v>7296.32</v>
      </c>
      <c r="T285" s="6">
        <v>337.88</v>
      </c>
      <c r="U285" s="5">
        <v>3</v>
      </c>
      <c r="V285" s="6">
        <v>7944</v>
      </c>
      <c r="W285" s="5" t="s">
        <v>206</v>
      </c>
      <c r="X285" s="6">
        <v>13240</v>
      </c>
      <c r="Y285" s="8">
        <v>2428.0300000000002</v>
      </c>
      <c r="Z285" s="7">
        <v>18.3</v>
      </c>
      <c r="AA285" s="5" t="s">
        <v>48</v>
      </c>
      <c r="AB285" s="5">
        <v>5398</v>
      </c>
      <c r="AC285" s="5">
        <v>246</v>
      </c>
      <c r="AD285" s="7">
        <v>4.5599999999999996</v>
      </c>
      <c r="AE285" s="5">
        <v>45</v>
      </c>
      <c r="AF285" s="7">
        <v>0.3</v>
      </c>
      <c r="AG285" s="5"/>
      <c r="AH285" s="5" t="s">
        <v>49</v>
      </c>
      <c r="AI285" s="5" t="s">
        <v>79</v>
      </c>
      <c r="AJ285" s="5">
        <v>7</v>
      </c>
      <c r="AK285" s="5">
        <v>180</v>
      </c>
      <c r="AL285" s="5" t="s">
        <v>51</v>
      </c>
    </row>
    <row r="286" spans="1:38" ht="16.05" customHeight="1">
      <c r="A286" s="1" t="s">
        <v>1158</v>
      </c>
      <c r="B286" s="22">
        <v>45510</v>
      </c>
      <c r="C286" s="1" t="s">
        <v>687</v>
      </c>
      <c r="D286" s="1" t="s">
        <v>144</v>
      </c>
      <c r="E286" s="1" t="s">
        <v>317</v>
      </c>
      <c r="F286" s="1" t="s">
        <v>329</v>
      </c>
      <c r="G286" s="1" t="s">
        <v>1159</v>
      </c>
      <c r="H286" s="1" t="s">
        <v>1160</v>
      </c>
      <c r="I286" s="1" t="s">
        <v>46</v>
      </c>
      <c r="J286" s="1" t="s">
        <v>103</v>
      </c>
      <c r="K286" s="1">
        <v>1</v>
      </c>
      <c r="L286" s="2">
        <v>3282</v>
      </c>
      <c r="M286" s="2">
        <v>3017</v>
      </c>
      <c r="N286" s="3">
        <v>8.1</v>
      </c>
      <c r="O286" s="2">
        <v>3017</v>
      </c>
      <c r="P286" s="2">
        <v>482.38</v>
      </c>
      <c r="Q286" s="2">
        <v>0</v>
      </c>
      <c r="R286" s="2">
        <v>42.36</v>
      </c>
      <c r="S286" s="2">
        <v>1226.49</v>
      </c>
      <c r="T286" s="2">
        <v>291.35000000000002</v>
      </c>
      <c r="U286" s="1">
        <v>0</v>
      </c>
      <c r="V286" s="2">
        <v>0</v>
      </c>
      <c r="W286" s="1" t="s">
        <v>111</v>
      </c>
      <c r="X286" s="2">
        <v>3017</v>
      </c>
      <c r="Y286" s="4">
        <v>974.42</v>
      </c>
      <c r="Z286" s="3">
        <v>32.299999999999997</v>
      </c>
      <c r="AA286" s="1" t="s">
        <v>48</v>
      </c>
      <c r="AB286" s="1">
        <v>2294</v>
      </c>
      <c r="AC286" s="1">
        <v>44</v>
      </c>
      <c r="AD286" s="3">
        <v>1.92</v>
      </c>
      <c r="AE286" s="1">
        <v>1</v>
      </c>
      <c r="AF286" s="3">
        <v>9.6999999999999993</v>
      </c>
      <c r="AG286" s="1"/>
      <c r="AH286" s="1" t="s">
        <v>49</v>
      </c>
      <c r="AI286" s="1" t="s">
        <v>50</v>
      </c>
      <c r="AJ286" s="1">
        <v>6</v>
      </c>
      <c r="AK286" s="1">
        <v>61</v>
      </c>
      <c r="AL286" s="1" t="s">
        <v>51</v>
      </c>
    </row>
    <row r="287" spans="1:38" ht="16.05" customHeight="1">
      <c r="A287" s="5" t="s">
        <v>1161</v>
      </c>
      <c r="B287" s="23">
        <v>45338</v>
      </c>
      <c r="C287" s="5"/>
      <c r="D287" s="5" t="s">
        <v>65</v>
      </c>
      <c r="E287" s="5" t="s">
        <v>66</v>
      </c>
      <c r="F287" s="5" t="s">
        <v>56</v>
      </c>
      <c r="G287" s="5" t="s">
        <v>1162</v>
      </c>
      <c r="H287" s="5" t="s">
        <v>1163</v>
      </c>
      <c r="I287" s="5" t="s">
        <v>59</v>
      </c>
      <c r="J287" s="5" t="s">
        <v>77</v>
      </c>
      <c r="K287" s="5">
        <v>7</v>
      </c>
      <c r="L287" s="6">
        <v>2802</v>
      </c>
      <c r="M287" s="6">
        <v>2146</v>
      </c>
      <c r="N287" s="7">
        <v>23.4</v>
      </c>
      <c r="O287" s="6">
        <v>15022</v>
      </c>
      <c r="P287" s="6">
        <v>1860.3</v>
      </c>
      <c r="Q287" s="6">
        <v>751.1</v>
      </c>
      <c r="R287" s="6">
        <v>0</v>
      </c>
      <c r="S287" s="6">
        <v>4692.82</v>
      </c>
      <c r="T287" s="6">
        <v>351.76</v>
      </c>
      <c r="U287" s="5">
        <v>0</v>
      </c>
      <c r="V287" s="6">
        <v>0</v>
      </c>
      <c r="W287" s="5"/>
      <c r="X287" s="6">
        <v>15022</v>
      </c>
      <c r="Y287" s="8">
        <v>7366.02</v>
      </c>
      <c r="Z287" s="7">
        <v>49</v>
      </c>
      <c r="AA287" s="5" t="s">
        <v>78</v>
      </c>
      <c r="AB287" s="5">
        <v>1559</v>
      </c>
      <c r="AC287" s="5">
        <v>119</v>
      </c>
      <c r="AD287" s="7">
        <v>7.63</v>
      </c>
      <c r="AE287" s="5">
        <v>12</v>
      </c>
      <c r="AF287" s="7">
        <v>1.4</v>
      </c>
      <c r="AG287" s="5"/>
      <c r="AH287" s="5" t="s">
        <v>49</v>
      </c>
      <c r="AI287" s="5" t="s">
        <v>308</v>
      </c>
      <c r="AJ287" s="5">
        <v>3</v>
      </c>
      <c r="AK287" s="5">
        <v>138</v>
      </c>
      <c r="AL287" s="5" t="s">
        <v>51</v>
      </c>
    </row>
    <row r="288" spans="1:38" ht="16.05" customHeight="1">
      <c r="A288" s="1" t="s">
        <v>1164</v>
      </c>
      <c r="B288" s="22">
        <v>45619</v>
      </c>
      <c r="C288" s="1" t="s">
        <v>441</v>
      </c>
      <c r="D288" s="1" t="s">
        <v>41</v>
      </c>
      <c r="E288" s="1" t="s">
        <v>395</v>
      </c>
      <c r="F288" s="1" t="s">
        <v>100</v>
      </c>
      <c r="G288" s="1" t="s">
        <v>1165</v>
      </c>
      <c r="H288" s="1" t="s">
        <v>1166</v>
      </c>
      <c r="I288" s="1" t="s">
        <v>59</v>
      </c>
      <c r="J288" s="1" t="s">
        <v>47</v>
      </c>
      <c r="K288" s="1">
        <v>8</v>
      </c>
      <c r="L288" s="2">
        <v>3811</v>
      </c>
      <c r="M288" s="2">
        <v>3283</v>
      </c>
      <c r="N288" s="3">
        <v>13.9</v>
      </c>
      <c r="O288" s="2">
        <v>26264</v>
      </c>
      <c r="P288" s="2">
        <v>3654.24</v>
      </c>
      <c r="Q288" s="2">
        <v>1313.2</v>
      </c>
      <c r="R288" s="2">
        <v>0</v>
      </c>
      <c r="S288" s="2">
        <v>13455.58</v>
      </c>
      <c r="T288" s="2">
        <v>0</v>
      </c>
      <c r="U288" s="1">
        <v>0</v>
      </c>
      <c r="V288" s="2">
        <v>0</v>
      </c>
      <c r="W288" s="1"/>
      <c r="X288" s="2">
        <v>26264</v>
      </c>
      <c r="Y288" s="4">
        <v>7840.98</v>
      </c>
      <c r="Z288" s="3">
        <v>29.9</v>
      </c>
      <c r="AA288" s="1" t="s">
        <v>60</v>
      </c>
      <c r="AB288" s="1">
        <v>0</v>
      </c>
      <c r="AC288" s="1">
        <v>0</v>
      </c>
      <c r="AD288" s="3">
        <v>0</v>
      </c>
      <c r="AE288" s="1">
        <v>0</v>
      </c>
      <c r="AF288" s="3">
        <v>0</v>
      </c>
      <c r="AG288" s="1">
        <v>5</v>
      </c>
      <c r="AH288" s="1" t="s">
        <v>49</v>
      </c>
      <c r="AI288" s="1" t="s">
        <v>118</v>
      </c>
      <c r="AJ288" s="1">
        <v>1</v>
      </c>
      <c r="AK288" s="1">
        <v>71</v>
      </c>
      <c r="AL288" s="1" t="s">
        <v>51</v>
      </c>
    </row>
    <row r="289" spans="1:38" ht="16.05" customHeight="1">
      <c r="A289" s="5" t="s">
        <v>1167</v>
      </c>
      <c r="B289" s="23">
        <v>45355</v>
      </c>
      <c r="C289" s="5" t="s">
        <v>1168</v>
      </c>
      <c r="D289" s="5" t="s">
        <v>65</v>
      </c>
      <c r="E289" s="5" t="s">
        <v>328</v>
      </c>
      <c r="F289" s="5" t="s">
        <v>209</v>
      </c>
      <c r="G289" s="5" t="s">
        <v>1169</v>
      </c>
      <c r="H289" s="5" t="s">
        <v>1170</v>
      </c>
      <c r="I289" s="5" t="s">
        <v>46</v>
      </c>
      <c r="J289" s="5" t="s">
        <v>47</v>
      </c>
      <c r="K289" s="5">
        <v>1</v>
      </c>
      <c r="L289" s="6">
        <v>1382</v>
      </c>
      <c r="M289" s="6">
        <v>1298</v>
      </c>
      <c r="N289" s="7">
        <v>6.1</v>
      </c>
      <c r="O289" s="6">
        <v>1298</v>
      </c>
      <c r="P289" s="6">
        <v>130.33000000000001</v>
      </c>
      <c r="Q289" s="6">
        <v>0</v>
      </c>
      <c r="R289" s="6">
        <v>49.19</v>
      </c>
      <c r="S289" s="6">
        <v>470.65</v>
      </c>
      <c r="T289" s="6">
        <v>0</v>
      </c>
      <c r="U289" s="5">
        <v>0</v>
      </c>
      <c r="V289" s="6">
        <v>0</v>
      </c>
      <c r="W289" s="5"/>
      <c r="X289" s="6">
        <v>1298</v>
      </c>
      <c r="Y289" s="8">
        <v>647.83000000000004</v>
      </c>
      <c r="Z289" s="7">
        <v>49.9</v>
      </c>
      <c r="AA289" s="5" t="s">
        <v>60</v>
      </c>
      <c r="AB289" s="5">
        <v>0</v>
      </c>
      <c r="AC289" s="5">
        <v>0</v>
      </c>
      <c r="AD289" s="7">
        <v>0</v>
      </c>
      <c r="AE289" s="5">
        <v>0</v>
      </c>
      <c r="AF289" s="7">
        <v>0</v>
      </c>
      <c r="AG289" s="5">
        <v>5</v>
      </c>
      <c r="AH289" s="5" t="s">
        <v>49</v>
      </c>
      <c r="AI289" s="5" t="s">
        <v>62</v>
      </c>
      <c r="AJ289" s="5">
        <v>3</v>
      </c>
      <c r="AK289" s="5">
        <v>187</v>
      </c>
      <c r="AL289" s="5" t="s">
        <v>51</v>
      </c>
    </row>
    <row r="290" spans="1:38" ht="16.05" customHeight="1">
      <c r="A290" s="1" t="s">
        <v>1171</v>
      </c>
      <c r="B290" s="22">
        <v>45632</v>
      </c>
      <c r="C290" s="1" t="s">
        <v>464</v>
      </c>
      <c r="D290" s="1" t="s">
        <v>144</v>
      </c>
      <c r="E290" s="1" t="s">
        <v>166</v>
      </c>
      <c r="F290" s="1" t="s">
        <v>329</v>
      </c>
      <c r="G290" s="1" t="s">
        <v>1172</v>
      </c>
      <c r="H290" s="1" t="s">
        <v>1173</v>
      </c>
      <c r="I290" s="1" t="s">
        <v>59</v>
      </c>
      <c r="J290" s="1" t="s">
        <v>47</v>
      </c>
      <c r="K290" s="1">
        <v>6</v>
      </c>
      <c r="L290" s="2">
        <v>3158</v>
      </c>
      <c r="M290" s="2">
        <v>2498</v>
      </c>
      <c r="N290" s="3">
        <v>20.9</v>
      </c>
      <c r="O290" s="2">
        <v>14988</v>
      </c>
      <c r="P290" s="2">
        <v>2308.09</v>
      </c>
      <c r="Q290" s="2">
        <v>749.4</v>
      </c>
      <c r="R290" s="2">
        <v>0</v>
      </c>
      <c r="S290" s="2">
        <v>5562.47</v>
      </c>
      <c r="T290" s="2">
        <v>189.36</v>
      </c>
      <c r="U290" s="1">
        <v>0</v>
      </c>
      <c r="V290" s="2">
        <v>0</v>
      </c>
      <c r="W290" s="1"/>
      <c r="X290" s="2">
        <v>14988</v>
      </c>
      <c r="Y290" s="4">
        <v>6178.68</v>
      </c>
      <c r="Z290" s="3">
        <v>41.2</v>
      </c>
      <c r="AA290" s="1" t="s">
        <v>60</v>
      </c>
      <c r="AB290" s="1">
        <v>10610</v>
      </c>
      <c r="AC290" s="1">
        <v>800</v>
      </c>
      <c r="AD290" s="3">
        <v>7.54</v>
      </c>
      <c r="AE290" s="1">
        <v>126</v>
      </c>
      <c r="AF290" s="3">
        <v>0.1</v>
      </c>
      <c r="AG290" s="1">
        <v>5</v>
      </c>
      <c r="AH290" s="1" t="s">
        <v>61</v>
      </c>
      <c r="AI290" s="1" t="s">
        <v>79</v>
      </c>
      <c r="AJ290" s="1">
        <v>3</v>
      </c>
      <c r="AK290" s="1">
        <v>193</v>
      </c>
      <c r="AL290" s="1" t="s">
        <v>51</v>
      </c>
    </row>
    <row r="291" spans="1:38" ht="16.05" customHeight="1">
      <c r="A291" s="5" t="s">
        <v>1174</v>
      </c>
      <c r="B291" s="23">
        <v>45358</v>
      </c>
      <c r="C291" s="5" t="s">
        <v>1175</v>
      </c>
      <c r="D291" s="5" t="s">
        <v>65</v>
      </c>
      <c r="E291" s="5" t="s">
        <v>525</v>
      </c>
      <c r="F291" s="5" t="s">
        <v>43</v>
      </c>
      <c r="G291" s="5" t="s">
        <v>1176</v>
      </c>
      <c r="H291" s="5" t="s">
        <v>1177</v>
      </c>
      <c r="I291" s="5" t="s">
        <v>46</v>
      </c>
      <c r="J291" s="5" t="s">
        <v>103</v>
      </c>
      <c r="K291" s="5">
        <v>6</v>
      </c>
      <c r="L291" s="6">
        <v>3278</v>
      </c>
      <c r="M291" s="6">
        <v>2618</v>
      </c>
      <c r="N291" s="7">
        <v>20.100000000000001</v>
      </c>
      <c r="O291" s="6">
        <v>15708</v>
      </c>
      <c r="P291" s="6">
        <v>2720.86</v>
      </c>
      <c r="Q291" s="6">
        <v>0</v>
      </c>
      <c r="R291" s="6">
        <v>78.62</v>
      </c>
      <c r="S291" s="6">
        <v>7295.9</v>
      </c>
      <c r="T291" s="6">
        <v>0</v>
      </c>
      <c r="U291" s="5">
        <v>4</v>
      </c>
      <c r="V291" s="6">
        <v>10472</v>
      </c>
      <c r="W291" s="5" t="s">
        <v>332</v>
      </c>
      <c r="X291" s="6">
        <v>5236</v>
      </c>
      <c r="Y291" s="11">
        <v>-4859.38</v>
      </c>
      <c r="Z291" s="7">
        <v>-92.8</v>
      </c>
      <c r="AA291" s="5" t="s">
        <v>60</v>
      </c>
      <c r="AB291" s="5">
        <v>0</v>
      </c>
      <c r="AC291" s="5">
        <v>0</v>
      </c>
      <c r="AD291" s="7">
        <v>0</v>
      </c>
      <c r="AE291" s="5">
        <v>0</v>
      </c>
      <c r="AF291" s="7">
        <v>0</v>
      </c>
      <c r="AG291" s="5"/>
      <c r="AH291" s="5" t="s">
        <v>49</v>
      </c>
      <c r="AI291" s="5" t="s">
        <v>153</v>
      </c>
      <c r="AJ291" s="5">
        <v>3</v>
      </c>
      <c r="AK291" s="5">
        <v>82</v>
      </c>
      <c r="AL291" s="5" t="s">
        <v>51</v>
      </c>
    </row>
    <row r="292" spans="1:38" ht="16.05" customHeight="1">
      <c r="A292" s="1" t="s">
        <v>1178</v>
      </c>
      <c r="B292" s="22">
        <v>45056</v>
      </c>
      <c r="C292" s="1" t="s">
        <v>1179</v>
      </c>
      <c r="D292" s="1" t="s">
        <v>41</v>
      </c>
      <c r="E292" s="1" t="s">
        <v>335</v>
      </c>
      <c r="F292" s="1" t="s">
        <v>56</v>
      </c>
      <c r="G292" s="1" t="s">
        <v>1180</v>
      </c>
      <c r="H292" s="1" t="s">
        <v>1181</v>
      </c>
      <c r="I292" s="1" t="s">
        <v>59</v>
      </c>
      <c r="J292" s="1" t="s">
        <v>47</v>
      </c>
      <c r="K292" s="1">
        <v>7</v>
      </c>
      <c r="L292" s="2">
        <v>2607</v>
      </c>
      <c r="M292" s="2">
        <v>2313</v>
      </c>
      <c r="N292" s="3">
        <v>11.3</v>
      </c>
      <c r="O292" s="2">
        <v>16191</v>
      </c>
      <c r="P292" s="2">
        <v>1726.92</v>
      </c>
      <c r="Q292" s="2">
        <v>809.55</v>
      </c>
      <c r="R292" s="2">
        <v>0</v>
      </c>
      <c r="S292" s="2">
        <v>5272.85</v>
      </c>
      <c r="T292" s="2">
        <v>238.66</v>
      </c>
      <c r="U292" s="1">
        <v>0</v>
      </c>
      <c r="V292" s="2">
        <v>0</v>
      </c>
      <c r="W292" s="1"/>
      <c r="X292" s="2">
        <v>16191</v>
      </c>
      <c r="Y292" s="4">
        <v>8143.02</v>
      </c>
      <c r="Z292" s="3">
        <v>50.3</v>
      </c>
      <c r="AA292" s="1" t="s">
        <v>48</v>
      </c>
      <c r="AB292" s="1">
        <v>2301</v>
      </c>
      <c r="AC292" s="1">
        <v>88</v>
      </c>
      <c r="AD292" s="3">
        <v>3.82</v>
      </c>
      <c r="AE292" s="1">
        <v>3</v>
      </c>
      <c r="AF292" s="3">
        <v>3.4</v>
      </c>
      <c r="AG292" s="1">
        <v>3</v>
      </c>
      <c r="AH292" s="1" t="s">
        <v>49</v>
      </c>
      <c r="AI292" s="1" t="s">
        <v>112</v>
      </c>
      <c r="AJ292" s="1">
        <v>1</v>
      </c>
      <c r="AK292" s="1">
        <v>31</v>
      </c>
      <c r="AL292" s="1" t="s">
        <v>51</v>
      </c>
    </row>
    <row r="293" spans="1:38" ht="16.05" customHeight="1">
      <c r="A293" s="5" t="s">
        <v>1182</v>
      </c>
      <c r="B293" s="23">
        <v>45394</v>
      </c>
      <c r="C293" s="5" t="s">
        <v>1183</v>
      </c>
      <c r="D293" s="5" t="s">
        <v>54</v>
      </c>
      <c r="E293" s="5" t="s">
        <v>55</v>
      </c>
      <c r="F293" s="5" t="s">
        <v>43</v>
      </c>
      <c r="G293" s="5" t="s">
        <v>1184</v>
      </c>
      <c r="H293" s="5" t="s">
        <v>1185</v>
      </c>
      <c r="I293" s="5" t="s">
        <v>59</v>
      </c>
      <c r="J293" s="5" t="s">
        <v>47</v>
      </c>
      <c r="K293" s="5">
        <v>7</v>
      </c>
      <c r="L293" s="6">
        <v>2296</v>
      </c>
      <c r="M293" s="6">
        <v>2156</v>
      </c>
      <c r="N293" s="7">
        <v>6.1</v>
      </c>
      <c r="O293" s="6">
        <v>15092</v>
      </c>
      <c r="P293" s="6">
        <v>2242.65</v>
      </c>
      <c r="Q293" s="6">
        <v>754.6</v>
      </c>
      <c r="R293" s="6">
        <v>0</v>
      </c>
      <c r="S293" s="6">
        <v>8037.23</v>
      </c>
      <c r="T293" s="6">
        <v>149.01</v>
      </c>
      <c r="U293" s="5">
        <v>0</v>
      </c>
      <c r="V293" s="6">
        <v>0</v>
      </c>
      <c r="W293" s="5"/>
      <c r="X293" s="6">
        <v>15092</v>
      </c>
      <c r="Y293" s="8">
        <v>3908.51</v>
      </c>
      <c r="Z293" s="7">
        <v>25.9</v>
      </c>
      <c r="AA293" s="5" t="s">
        <v>60</v>
      </c>
      <c r="AB293" s="5">
        <v>8020</v>
      </c>
      <c r="AC293" s="5">
        <v>14</v>
      </c>
      <c r="AD293" s="7">
        <v>0.17</v>
      </c>
      <c r="AE293" s="5">
        <v>0</v>
      </c>
      <c r="AF293" s="7">
        <v>0</v>
      </c>
      <c r="AG293" s="5">
        <v>5</v>
      </c>
      <c r="AH293" s="5" t="s">
        <v>49</v>
      </c>
      <c r="AI293" s="5" t="s">
        <v>297</v>
      </c>
      <c r="AJ293" s="5">
        <v>1</v>
      </c>
      <c r="AK293" s="5">
        <v>178</v>
      </c>
      <c r="AL293" s="5" t="s">
        <v>51</v>
      </c>
    </row>
    <row r="294" spans="1:38" ht="16.05" customHeight="1">
      <c r="A294" s="1" t="s">
        <v>1186</v>
      </c>
      <c r="B294" s="22">
        <v>45650</v>
      </c>
      <c r="C294" s="1"/>
      <c r="D294" s="1" t="s">
        <v>98</v>
      </c>
      <c r="E294" s="1" t="s">
        <v>482</v>
      </c>
      <c r="F294" s="1" t="s">
        <v>209</v>
      </c>
      <c r="G294" s="1" t="s">
        <v>1187</v>
      </c>
      <c r="H294" s="1" t="s">
        <v>1188</v>
      </c>
      <c r="I294" s="1" t="s">
        <v>46</v>
      </c>
      <c r="J294" s="1" t="s">
        <v>77</v>
      </c>
      <c r="K294" s="1">
        <v>5</v>
      </c>
      <c r="L294" s="2">
        <v>1483</v>
      </c>
      <c r="M294" s="2">
        <v>1283</v>
      </c>
      <c r="N294" s="3">
        <v>13.5</v>
      </c>
      <c r="O294" s="2">
        <v>6415</v>
      </c>
      <c r="P294" s="2">
        <v>886.38</v>
      </c>
      <c r="Q294" s="2">
        <v>0</v>
      </c>
      <c r="R294" s="2">
        <v>91.89</v>
      </c>
      <c r="S294" s="2">
        <v>2148.25</v>
      </c>
      <c r="T294" s="2">
        <v>285.64</v>
      </c>
      <c r="U294" s="1">
        <v>0</v>
      </c>
      <c r="V294" s="2">
        <v>0</v>
      </c>
      <c r="W294" s="1"/>
      <c r="X294" s="2">
        <v>6415</v>
      </c>
      <c r="Y294" s="4">
        <v>3002.84</v>
      </c>
      <c r="Z294" s="3">
        <v>46.8</v>
      </c>
      <c r="AA294" s="1" t="s">
        <v>48</v>
      </c>
      <c r="AB294" s="1">
        <v>8953</v>
      </c>
      <c r="AC294" s="1">
        <v>705</v>
      </c>
      <c r="AD294" s="3">
        <v>7.87</v>
      </c>
      <c r="AE294" s="1">
        <v>48</v>
      </c>
      <c r="AF294" s="3">
        <v>0.5</v>
      </c>
      <c r="AG294" s="1"/>
      <c r="AH294" s="1" t="s">
        <v>49</v>
      </c>
      <c r="AI294" s="1" t="s">
        <v>153</v>
      </c>
      <c r="AJ294" s="1">
        <v>3</v>
      </c>
      <c r="AK294" s="1">
        <v>174</v>
      </c>
      <c r="AL294" s="1" t="s">
        <v>51</v>
      </c>
    </row>
    <row r="295" spans="1:38" ht="16.05" customHeight="1">
      <c r="A295" s="5" t="s">
        <v>1189</v>
      </c>
      <c r="B295" s="23">
        <v>44949</v>
      </c>
      <c r="C295" s="5" t="s">
        <v>88</v>
      </c>
      <c r="D295" s="5" t="s">
        <v>41</v>
      </c>
      <c r="E295" s="5" t="s">
        <v>213</v>
      </c>
      <c r="F295" s="5" t="s">
        <v>43</v>
      </c>
      <c r="G295" s="5" t="s">
        <v>1190</v>
      </c>
      <c r="H295" s="5" t="s">
        <v>1191</v>
      </c>
      <c r="I295" s="5" t="s">
        <v>46</v>
      </c>
      <c r="J295" s="5" t="s">
        <v>103</v>
      </c>
      <c r="K295" s="5">
        <v>4</v>
      </c>
      <c r="L295" s="6">
        <v>3562</v>
      </c>
      <c r="M295" s="6">
        <v>2505</v>
      </c>
      <c r="N295" s="7">
        <v>29.7</v>
      </c>
      <c r="O295" s="6">
        <v>10020</v>
      </c>
      <c r="P295" s="6">
        <v>1791.13</v>
      </c>
      <c r="Q295" s="6">
        <v>0</v>
      </c>
      <c r="R295" s="6">
        <v>46.17</v>
      </c>
      <c r="S295" s="6">
        <v>5149.2299999999996</v>
      </c>
      <c r="T295" s="6">
        <v>335.95</v>
      </c>
      <c r="U295" s="5">
        <v>0</v>
      </c>
      <c r="V295" s="6">
        <v>0</v>
      </c>
      <c r="W295" s="5" t="s">
        <v>104</v>
      </c>
      <c r="X295" s="6">
        <v>10020</v>
      </c>
      <c r="Y295" s="8">
        <v>2697.52</v>
      </c>
      <c r="Z295" s="7">
        <v>26.9</v>
      </c>
      <c r="AA295" s="5" t="s">
        <v>60</v>
      </c>
      <c r="AB295" s="5">
        <v>8493</v>
      </c>
      <c r="AC295" s="5">
        <v>79</v>
      </c>
      <c r="AD295" s="7">
        <v>0.93</v>
      </c>
      <c r="AE295" s="5">
        <v>4</v>
      </c>
      <c r="AF295" s="7">
        <v>3.4</v>
      </c>
      <c r="AG295" s="5"/>
      <c r="AH295" s="5" t="s">
        <v>49</v>
      </c>
      <c r="AI295" s="5" t="s">
        <v>112</v>
      </c>
      <c r="AJ295" s="5">
        <v>3</v>
      </c>
      <c r="AK295" s="5">
        <v>197</v>
      </c>
      <c r="AL295" s="5" t="s">
        <v>51</v>
      </c>
    </row>
    <row r="296" spans="1:38" ht="16.05" customHeight="1">
      <c r="A296" s="1" t="s">
        <v>1192</v>
      </c>
      <c r="B296" s="22">
        <v>45315</v>
      </c>
      <c r="C296" s="1" t="s">
        <v>1193</v>
      </c>
      <c r="D296" s="1" t="s">
        <v>144</v>
      </c>
      <c r="E296" s="1" t="s">
        <v>429</v>
      </c>
      <c r="F296" s="1" t="s">
        <v>115</v>
      </c>
      <c r="G296" s="1" t="s">
        <v>1194</v>
      </c>
      <c r="H296" s="1" t="s">
        <v>1195</v>
      </c>
      <c r="I296" s="1" t="s">
        <v>59</v>
      </c>
      <c r="J296" s="1" t="s">
        <v>47</v>
      </c>
      <c r="K296" s="1">
        <v>2</v>
      </c>
      <c r="L296" s="2">
        <v>3754</v>
      </c>
      <c r="M296" s="2">
        <v>3164</v>
      </c>
      <c r="N296" s="3">
        <v>15.7</v>
      </c>
      <c r="O296" s="2">
        <v>6328</v>
      </c>
      <c r="P296" s="2">
        <v>707.18</v>
      </c>
      <c r="Q296" s="2">
        <v>316.39999999999998</v>
      </c>
      <c r="R296" s="2">
        <v>0</v>
      </c>
      <c r="S296" s="2">
        <v>2499.4</v>
      </c>
      <c r="T296" s="2">
        <v>0</v>
      </c>
      <c r="U296" s="1">
        <v>0</v>
      </c>
      <c r="V296" s="2">
        <v>0</v>
      </c>
      <c r="W296" s="1"/>
      <c r="X296" s="2">
        <v>6328</v>
      </c>
      <c r="Y296" s="4">
        <v>2805.02</v>
      </c>
      <c r="Z296" s="3">
        <v>44.3</v>
      </c>
      <c r="AA296" s="1" t="s">
        <v>60</v>
      </c>
      <c r="AB296" s="1">
        <v>0</v>
      </c>
      <c r="AC296" s="1">
        <v>0</v>
      </c>
      <c r="AD296" s="3">
        <v>0</v>
      </c>
      <c r="AE296" s="1">
        <v>0</v>
      </c>
      <c r="AF296" s="3">
        <v>0</v>
      </c>
      <c r="AG296" s="1">
        <v>4</v>
      </c>
      <c r="AH296" s="1" t="s">
        <v>61</v>
      </c>
      <c r="AI296" s="1" t="s">
        <v>163</v>
      </c>
      <c r="AJ296" s="1">
        <v>2</v>
      </c>
      <c r="AK296" s="1">
        <v>88</v>
      </c>
      <c r="AL296" s="1" t="s">
        <v>51</v>
      </c>
    </row>
    <row r="297" spans="1:38" ht="16.05" customHeight="1">
      <c r="A297" s="5" t="s">
        <v>1196</v>
      </c>
      <c r="B297" s="23">
        <v>45068</v>
      </c>
      <c r="C297" s="5"/>
      <c r="D297" s="5" t="s">
        <v>98</v>
      </c>
      <c r="E297" s="5" t="s">
        <v>155</v>
      </c>
      <c r="F297" s="5" t="s">
        <v>74</v>
      </c>
      <c r="G297" s="5" t="s">
        <v>1197</v>
      </c>
      <c r="H297" s="5" t="s">
        <v>1198</v>
      </c>
      <c r="I297" s="5" t="s">
        <v>59</v>
      </c>
      <c r="J297" s="5" t="s">
        <v>85</v>
      </c>
      <c r="K297" s="5">
        <v>1</v>
      </c>
      <c r="L297" s="6">
        <v>3496</v>
      </c>
      <c r="M297" s="6">
        <v>3090</v>
      </c>
      <c r="N297" s="7">
        <v>11.6</v>
      </c>
      <c r="O297" s="6">
        <v>3090</v>
      </c>
      <c r="P297" s="6">
        <v>484.67</v>
      </c>
      <c r="Q297" s="6">
        <v>154.5</v>
      </c>
      <c r="R297" s="6">
        <v>0</v>
      </c>
      <c r="S297" s="6">
        <v>1463.62</v>
      </c>
      <c r="T297" s="6">
        <v>14.57</v>
      </c>
      <c r="U297" s="5">
        <v>0</v>
      </c>
      <c r="V297" s="6">
        <v>0</v>
      </c>
      <c r="W297" s="5"/>
      <c r="X297" s="6">
        <v>3090</v>
      </c>
      <c r="Y297" s="8">
        <v>972.64</v>
      </c>
      <c r="Z297" s="7">
        <v>31.5</v>
      </c>
      <c r="AA297" s="5" t="s">
        <v>48</v>
      </c>
      <c r="AB297" s="5">
        <v>1614</v>
      </c>
      <c r="AC297" s="5">
        <v>73</v>
      </c>
      <c r="AD297" s="7">
        <v>4.5199999999999996</v>
      </c>
      <c r="AE297" s="5">
        <v>1</v>
      </c>
      <c r="AF297" s="7">
        <v>0.5</v>
      </c>
      <c r="AG297" s="5"/>
      <c r="AH297" s="5" t="s">
        <v>49</v>
      </c>
      <c r="AI297" s="5" t="s">
        <v>112</v>
      </c>
      <c r="AJ297" s="5">
        <v>1</v>
      </c>
      <c r="AK297" s="5">
        <v>3</v>
      </c>
      <c r="AL297" s="12" t="s">
        <v>71</v>
      </c>
    </row>
    <row r="298" spans="1:38" ht="16.05" customHeight="1">
      <c r="A298" s="1" t="s">
        <v>1199</v>
      </c>
      <c r="B298" s="22">
        <v>45245</v>
      </c>
      <c r="C298" s="1" t="s">
        <v>1200</v>
      </c>
      <c r="D298" s="1" t="s">
        <v>98</v>
      </c>
      <c r="E298" s="1" t="s">
        <v>482</v>
      </c>
      <c r="F298" s="1" t="s">
        <v>256</v>
      </c>
      <c r="G298" s="1" t="s">
        <v>1201</v>
      </c>
      <c r="H298" s="1" t="s">
        <v>1202</v>
      </c>
      <c r="I298" s="1" t="s">
        <v>59</v>
      </c>
      <c r="J298" s="1" t="s">
        <v>47</v>
      </c>
      <c r="K298" s="1">
        <v>10</v>
      </c>
      <c r="L298" s="2">
        <v>3022</v>
      </c>
      <c r="M298" s="2">
        <v>2700</v>
      </c>
      <c r="N298" s="3">
        <v>10.7</v>
      </c>
      <c r="O298" s="2">
        <v>27000</v>
      </c>
      <c r="P298" s="2">
        <v>3491.93</v>
      </c>
      <c r="Q298" s="2">
        <v>1350</v>
      </c>
      <c r="R298" s="2">
        <v>0</v>
      </c>
      <c r="S298" s="2">
        <v>14270.02</v>
      </c>
      <c r="T298" s="2">
        <v>220.18</v>
      </c>
      <c r="U298" s="1">
        <v>0</v>
      </c>
      <c r="V298" s="2">
        <v>0</v>
      </c>
      <c r="W298" s="1"/>
      <c r="X298" s="2">
        <v>27000</v>
      </c>
      <c r="Y298" s="4">
        <v>7667.87</v>
      </c>
      <c r="Z298" s="3">
        <v>28.4</v>
      </c>
      <c r="AA298" s="1" t="s">
        <v>60</v>
      </c>
      <c r="AB298" s="1">
        <v>962</v>
      </c>
      <c r="AC298" s="1">
        <v>40</v>
      </c>
      <c r="AD298" s="3">
        <v>4.16</v>
      </c>
      <c r="AE298" s="1">
        <v>5</v>
      </c>
      <c r="AF298" s="3">
        <v>1.6</v>
      </c>
      <c r="AG298" s="1">
        <v>5</v>
      </c>
      <c r="AH298" s="1" t="s">
        <v>61</v>
      </c>
      <c r="AI298" s="1" t="s">
        <v>105</v>
      </c>
      <c r="AJ298" s="1">
        <v>1</v>
      </c>
      <c r="AK298" s="1">
        <v>198</v>
      </c>
      <c r="AL298" s="1" t="s">
        <v>51</v>
      </c>
    </row>
    <row r="299" spans="1:38" ht="16.05" customHeight="1">
      <c r="A299" s="5" t="s">
        <v>1203</v>
      </c>
      <c r="B299" s="23">
        <v>45287</v>
      </c>
      <c r="C299" s="5"/>
      <c r="D299" s="5" t="s">
        <v>81</v>
      </c>
      <c r="E299" s="5" t="s">
        <v>279</v>
      </c>
      <c r="F299" s="5" t="s">
        <v>203</v>
      </c>
      <c r="G299" s="5" t="s">
        <v>1204</v>
      </c>
      <c r="H299" s="5" t="s">
        <v>1205</v>
      </c>
      <c r="I299" s="5" t="s">
        <v>46</v>
      </c>
      <c r="J299" s="5" t="s">
        <v>77</v>
      </c>
      <c r="K299" s="5">
        <v>7</v>
      </c>
      <c r="L299" s="6">
        <v>2964</v>
      </c>
      <c r="M299" s="6">
        <v>2642</v>
      </c>
      <c r="N299" s="7">
        <v>10.9</v>
      </c>
      <c r="O299" s="6">
        <v>18494</v>
      </c>
      <c r="P299" s="6">
        <v>2398.33</v>
      </c>
      <c r="Q299" s="6">
        <v>0</v>
      </c>
      <c r="R299" s="6">
        <v>111.49</v>
      </c>
      <c r="S299" s="6">
        <v>9291.59</v>
      </c>
      <c r="T299" s="6">
        <v>103.15</v>
      </c>
      <c r="U299" s="5">
        <v>0</v>
      </c>
      <c r="V299" s="6">
        <v>0</v>
      </c>
      <c r="W299" s="5"/>
      <c r="X299" s="6">
        <v>18494</v>
      </c>
      <c r="Y299" s="8">
        <v>6589.44</v>
      </c>
      <c r="Z299" s="7">
        <v>35.6</v>
      </c>
      <c r="AA299" s="5" t="s">
        <v>48</v>
      </c>
      <c r="AB299" s="5">
        <v>5425</v>
      </c>
      <c r="AC299" s="5">
        <v>296</v>
      </c>
      <c r="AD299" s="7">
        <v>5.46</v>
      </c>
      <c r="AE299" s="5">
        <v>48</v>
      </c>
      <c r="AF299" s="7">
        <v>0.1</v>
      </c>
      <c r="AG299" s="5"/>
      <c r="AH299" s="5" t="s">
        <v>49</v>
      </c>
      <c r="AI299" s="5" t="s">
        <v>153</v>
      </c>
      <c r="AJ299" s="5">
        <v>6</v>
      </c>
      <c r="AK299" s="5">
        <v>122</v>
      </c>
      <c r="AL299" s="5" t="s">
        <v>51</v>
      </c>
    </row>
    <row r="300" spans="1:38" ht="16.05" customHeight="1">
      <c r="A300" s="1" t="s">
        <v>1206</v>
      </c>
      <c r="B300" s="22">
        <v>44982</v>
      </c>
      <c r="C300" s="1" t="s">
        <v>1207</v>
      </c>
      <c r="D300" s="1" t="s">
        <v>81</v>
      </c>
      <c r="E300" s="1" t="s">
        <v>185</v>
      </c>
      <c r="F300" s="1" t="s">
        <v>91</v>
      </c>
      <c r="G300" s="1" t="s">
        <v>1208</v>
      </c>
      <c r="H300" s="1" t="s">
        <v>1209</v>
      </c>
      <c r="I300" s="1" t="s">
        <v>59</v>
      </c>
      <c r="J300" s="1" t="s">
        <v>103</v>
      </c>
      <c r="K300" s="1">
        <v>7</v>
      </c>
      <c r="L300" s="2">
        <v>2767</v>
      </c>
      <c r="M300" s="2">
        <v>2041</v>
      </c>
      <c r="N300" s="3">
        <v>26.2</v>
      </c>
      <c r="O300" s="2">
        <v>14287</v>
      </c>
      <c r="P300" s="2">
        <v>1615.14</v>
      </c>
      <c r="Q300" s="2">
        <v>714.35</v>
      </c>
      <c r="R300" s="2">
        <v>0</v>
      </c>
      <c r="S300" s="2">
        <v>7459.33</v>
      </c>
      <c r="T300" s="2">
        <v>0</v>
      </c>
      <c r="U300" s="1">
        <v>6</v>
      </c>
      <c r="V300" s="2">
        <v>12246</v>
      </c>
      <c r="W300" s="1" t="s">
        <v>111</v>
      </c>
      <c r="X300" s="2">
        <v>2041</v>
      </c>
      <c r="Y300" s="10">
        <v>-7747.82</v>
      </c>
      <c r="Z300" s="3">
        <v>-379.6</v>
      </c>
      <c r="AA300" s="1" t="s">
        <v>60</v>
      </c>
      <c r="AB300" s="1">
        <v>0</v>
      </c>
      <c r="AC300" s="1">
        <v>0</v>
      </c>
      <c r="AD300" s="3">
        <v>0</v>
      </c>
      <c r="AE300" s="1">
        <v>0</v>
      </c>
      <c r="AF300" s="3">
        <v>0</v>
      </c>
      <c r="AG300" s="1"/>
      <c r="AH300" s="1" t="s">
        <v>49</v>
      </c>
      <c r="AI300" s="1" t="s">
        <v>86</v>
      </c>
      <c r="AJ300" s="1">
        <v>2</v>
      </c>
      <c r="AK300" s="1">
        <v>75</v>
      </c>
      <c r="AL300" s="1" t="s">
        <v>51</v>
      </c>
    </row>
    <row r="301" spans="1:38" ht="16.05" customHeight="1">
      <c r="A301" s="14" t="s">
        <v>1210</v>
      </c>
      <c r="B301" s="24">
        <v>45007</v>
      </c>
      <c r="C301" s="14" t="s">
        <v>1211</v>
      </c>
      <c r="D301" s="14" t="s">
        <v>54</v>
      </c>
      <c r="E301" s="14" t="s">
        <v>221</v>
      </c>
      <c r="F301" s="14" t="s">
        <v>43</v>
      </c>
      <c r="G301" s="14" t="s">
        <v>1212</v>
      </c>
      <c r="H301" s="14" t="s">
        <v>1213</v>
      </c>
      <c r="I301" s="14" t="s">
        <v>46</v>
      </c>
      <c r="J301" s="14" t="s">
        <v>47</v>
      </c>
      <c r="K301" s="14">
        <v>10</v>
      </c>
      <c r="L301" s="15">
        <v>3698</v>
      </c>
      <c r="M301" s="15">
        <v>3041</v>
      </c>
      <c r="N301" s="16">
        <v>17.8</v>
      </c>
      <c r="O301" s="15">
        <v>30410</v>
      </c>
      <c r="P301" s="15">
        <v>3619.46</v>
      </c>
      <c r="Q301" s="15">
        <v>0</v>
      </c>
      <c r="R301" s="15">
        <v>67.150000000000006</v>
      </c>
      <c r="S301" s="15">
        <v>10563.73</v>
      </c>
      <c r="T301" s="15">
        <v>428.66</v>
      </c>
      <c r="U301" s="14">
        <v>0</v>
      </c>
      <c r="V301" s="15">
        <v>0</v>
      </c>
      <c r="W301" s="14"/>
      <c r="X301" s="15">
        <v>30410</v>
      </c>
      <c r="Y301" s="17">
        <v>15731</v>
      </c>
      <c r="Z301" s="16">
        <v>51.7</v>
      </c>
      <c r="AA301" s="14" t="s">
        <v>94</v>
      </c>
      <c r="AB301" s="14">
        <v>2487</v>
      </c>
      <c r="AC301" s="14">
        <v>161</v>
      </c>
      <c r="AD301" s="16">
        <v>6.47</v>
      </c>
      <c r="AE301" s="14">
        <v>9</v>
      </c>
      <c r="AF301" s="16">
        <v>1.6</v>
      </c>
      <c r="AG301" s="14">
        <v>4</v>
      </c>
      <c r="AH301" s="14" t="s">
        <v>61</v>
      </c>
      <c r="AI301" s="14" t="s">
        <v>95</v>
      </c>
      <c r="AJ301" s="14">
        <v>6</v>
      </c>
      <c r="AK301" s="14">
        <v>133</v>
      </c>
      <c r="AL301" s="14" t="s">
        <v>51</v>
      </c>
    </row>
    <row r="302" spans="1:38">
      <c r="A302" s="30"/>
      <c r="B302" s="31"/>
      <c r="C302" s="30"/>
      <c r="D302" s="30"/>
      <c r="E302" s="30"/>
      <c r="F302" s="30"/>
      <c r="G302" s="30"/>
      <c r="H302" s="30"/>
      <c r="I302" s="30"/>
      <c r="J302" s="30"/>
      <c r="K302" s="30"/>
      <c r="L302" s="32"/>
      <c r="M302" s="32"/>
      <c r="N302" s="33"/>
      <c r="O302" s="32"/>
      <c r="P302" s="32"/>
      <c r="Q302" s="32"/>
      <c r="R302" s="32"/>
      <c r="S302" s="32"/>
      <c r="T302" s="32"/>
      <c r="U302" s="30"/>
      <c r="V302" s="32"/>
      <c r="W302" s="30"/>
      <c r="X302" s="32">
        <f>SUBTOTAL(109,SalesData[Net_Sales_INR])</f>
        <v>3381484</v>
      </c>
      <c r="Y302" s="34">
        <f>SUBTOTAL(109,SalesData[Net_Profit_INR])</f>
        <v>1215010.9700000007</v>
      </c>
      <c r="Z302" s="33"/>
      <c r="AA302" s="30"/>
      <c r="AB302" s="30"/>
      <c r="AC302" s="30"/>
      <c r="AD302" s="33"/>
      <c r="AE302" s="30"/>
      <c r="AF302" s="33"/>
      <c r="AG302" s="30"/>
      <c r="AH302" s="30"/>
      <c r="AI302" s="30"/>
      <c r="AJ302" s="30"/>
      <c r="AK302" s="30"/>
    </row>
    <row r="303" spans="1:38">
      <c r="X303" s="18">
        <f>SalesData[[#Totals],[Net_Sales_INR]]-SalesData[[#Totals],[Net_Profit_INR]]</f>
        <v>2166473.0299999993</v>
      </c>
      <c r="Y303" s="3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E7FF-1BAE-4349-A07F-FBA8D9CA705C}">
  <dimension ref="A2:E18"/>
  <sheetViews>
    <sheetView workbookViewId="0">
      <selection activeCell="A2" sqref="A2"/>
    </sheetView>
  </sheetViews>
  <sheetFormatPr defaultRowHeight="14.4"/>
  <cols>
    <col min="1" max="1" width="11.33203125" bestFit="1" customWidth="1"/>
    <col min="2" max="2" width="9.88671875" bestFit="1" customWidth="1"/>
    <col min="3" max="3" width="12.5546875" bestFit="1" customWidth="1"/>
    <col min="4" max="4" width="14.21875" bestFit="1" customWidth="1"/>
    <col min="5" max="5" width="25" bestFit="1" customWidth="1"/>
    <col min="6" max="6" width="14.21875" bestFit="1" customWidth="1"/>
    <col min="7" max="7" width="21.5546875" bestFit="1" customWidth="1"/>
    <col min="8" max="8" width="20.33203125" bestFit="1" customWidth="1"/>
    <col min="10" max="10" width="14.5546875" bestFit="1" customWidth="1"/>
    <col min="11" max="11" width="21.5546875" bestFit="1" customWidth="1"/>
    <col min="12" max="12" width="11.109375" bestFit="1" customWidth="1"/>
    <col min="13" max="13" width="12.5546875" bestFit="1" customWidth="1"/>
    <col min="14" max="14" width="16.44140625" bestFit="1" customWidth="1"/>
    <col min="15" max="15" width="15.33203125" bestFit="1" customWidth="1"/>
    <col min="16" max="16" width="11.109375" bestFit="1" customWidth="1"/>
    <col min="17" max="17" width="11.33203125" bestFit="1" customWidth="1"/>
    <col min="18" max="19" width="11.109375" bestFit="1" customWidth="1"/>
    <col min="20" max="20" width="11.77734375" bestFit="1" customWidth="1"/>
    <col min="21" max="21" width="12.6640625" bestFit="1" customWidth="1"/>
  </cols>
  <sheetData>
    <row r="2" spans="1:5">
      <c r="A2" t="s">
        <v>1215</v>
      </c>
      <c r="D2" s="19" t="s">
        <v>1220</v>
      </c>
      <c r="E2" t="s">
        <v>1223</v>
      </c>
    </row>
    <row r="3" spans="1:5">
      <c r="A3" s="28">
        <v>3604795</v>
      </c>
      <c r="B3" s="28">
        <f>A3</f>
        <v>3604795</v>
      </c>
      <c r="C3" s="29" t="s">
        <v>1241</v>
      </c>
      <c r="D3" s="20" t="s">
        <v>144</v>
      </c>
      <c r="E3" s="36">
        <v>32.675510204081625</v>
      </c>
    </row>
    <row r="4" spans="1:5">
      <c r="C4" t="s">
        <v>1243</v>
      </c>
      <c r="D4" s="20" t="s">
        <v>65</v>
      </c>
      <c r="E4" s="36">
        <v>32.601960784313732</v>
      </c>
    </row>
    <row r="5" spans="1:5">
      <c r="A5" t="s">
        <v>1219</v>
      </c>
      <c r="C5" s="29" t="s">
        <v>1242</v>
      </c>
      <c r="D5" s="20" t="s">
        <v>54</v>
      </c>
      <c r="E5" s="36">
        <v>32.44</v>
      </c>
    </row>
    <row r="6" spans="1:5">
      <c r="A6" s="28">
        <v>1215010.9700000007</v>
      </c>
      <c r="C6" s="29" t="s">
        <v>1242</v>
      </c>
      <c r="D6" s="20" t="s">
        <v>81</v>
      </c>
      <c r="E6" s="36">
        <v>28.481818181818166</v>
      </c>
    </row>
    <row r="7" spans="1:5">
      <c r="D7" s="20" t="s">
        <v>98</v>
      </c>
      <c r="E7" s="36">
        <v>20.354054054054053</v>
      </c>
    </row>
    <row r="8" spans="1:5">
      <c r="A8" t="s">
        <v>1216</v>
      </c>
      <c r="D8" s="20" t="s">
        <v>41</v>
      </c>
      <c r="E8" s="36">
        <v>19.727586206896561</v>
      </c>
    </row>
    <row r="9" spans="1:5">
      <c r="A9" s="56">
        <v>300</v>
      </c>
      <c r="D9" s="20" t="s">
        <v>1221</v>
      </c>
      <c r="E9" s="36">
        <v>27.832000000000001</v>
      </c>
    </row>
    <row r="11" spans="1:5">
      <c r="A11" t="s">
        <v>1224</v>
      </c>
    </row>
    <row r="12" spans="1:5">
      <c r="A12" s="21">
        <v>27.831999999999983</v>
      </c>
    </row>
    <row r="14" spans="1:5">
      <c r="A14" t="s">
        <v>1225</v>
      </c>
    </row>
    <row r="15" spans="1:5">
      <c r="A15" s="56">
        <v>1686</v>
      </c>
    </row>
    <row r="17" spans="1:1">
      <c r="A17" t="s">
        <v>1226</v>
      </c>
    </row>
    <row r="18" spans="1:1">
      <c r="A18" s="56">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2C75-1FC2-4BD7-BF3B-2E3858C70F51}">
  <dimension ref="A2:S35"/>
  <sheetViews>
    <sheetView workbookViewId="0">
      <selection activeCell="A2" sqref="A2"/>
    </sheetView>
  </sheetViews>
  <sheetFormatPr defaultRowHeight="14.4"/>
  <cols>
    <col min="1" max="1" width="12.5546875" bestFit="1" customWidth="1"/>
    <col min="2" max="2" width="21.5546875" bestFit="1" customWidth="1"/>
    <col min="3" max="3" width="3.33203125" customWidth="1"/>
    <col min="4" max="4" width="14.21875" bestFit="1" customWidth="1"/>
    <col min="5" max="6" width="12.6640625" bestFit="1" customWidth="1"/>
    <col min="7" max="7" width="3.21875" customWidth="1"/>
    <col min="8" max="8" width="14.5546875" bestFit="1" customWidth="1"/>
    <col min="9" max="9" width="21.5546875" bestFit="1" customWidth="1"/>
    <col min="10" max="10" width="4.44140625" customWidth="1"/>
    <col min="11" max="11" width="12.5546875" bestFit="1" customWidth="1"/>
    <col min="12" max="12" width="16.44140625" bestFit="1" customWidth="1"/>
    <col min="13" max="13" width="0.21875" customWidth="1"/>
    <col min="14" max="14" width="2.21875" customWidth="1"/>
    <col min="15" max="15" width="17.33203125" bestFit="1" customWidth="1"/>
    <col min="16" max="16" width="20.33203125" bestFit="1" customWidth="1"/>
    <col min="17" max="17" width="3.88671875" customWidth="1"/>
    <col min="18" max="18" width="13.21875" bestFit="1" customWidth="1"/>
    <col min="19" max="19" width="21.5546875" bestFit="1" customWidth="1"/>
  </cols>
  <sheetData>
    <row r="2" spans="1:19">
      <c r="A2" s="19" t="s">
        <v>1220</v>
      </c>
      <c r="B2" t="s">
        <v>1218</v>
      </c>
      <c r="D2" s="19" t="s">
        <v>1220</v>
      </c>
      <c r="E2" t="s">
        <v>1245</v>
      </c>
      <c r="F2" t="s">
        <v>1246</v>
      </c>
      <c r="H2" s="19" t="s">
        <v>1220</v>
      </c>
      <c r="I2" t="s">
        <v>1218</v>
      </c>
      <c r="K2" s="19" t="s">
        <v>1220</v>
      </c>
      <c r="L2" t="s">
        <v>1222</v>
      </c>
      <c r="O2" s="19" t="s">
        <v>1220</v>
      </c>
      <c r="P2" t="s">
        <v>1218</v>
      </c>
      <c r="R2" s="19" t="s">
        <v>1220</v>
      </c>
      <c r="S2" t="s">
        <v>1218</v>
      </c>
    </row>
    <row r="3" spans="1:19">
      <c r="A3" s="20" t="s">
        <v>1227</v>
      </c>
      <c r="B3" s="18"/>
      <c r="D3" s="20" t="s">
        <v>65</v>
      </c>
      <c r="E3" s="18">
        <v>627713</v>
      </c>
      <c r="F3" s="18">
        <v>207624.94999999992</v>
      </c>
      <c r="H3" s="20" t="s">
        <v>86</v>
      </c>
      <c r="I3" s="18">
        <v>476993</v>
      </c>
      <c r="K3" s="20" t="s">
        <v>136</v>
      </c>
      <c r="L3" s="56">
        <v>39</v>
      </c>
      <c r="O3" s="20" t="s">
        <v>59</v>
      </c>
      <c r="P3" s="28">
        <v>2221502</v>
      </c>
      <c r="R3" s="20" t="s">
        <v>185</v>
      </c>
      <c r="S3" s="18">
        <v>135707</v>
      </c>
    </row>
    <row r="4" spans="1:19">
      <c r="A4" s="26" t="s">
        <v>1228</v>
      </c>
      <c r="B4" s="18">
        <v>244711</v>
      </c>
      <c r="D4" s="20" t="s">
        <v>81</v>
      </c>
      <c r="E4" s="18">
        <v>658019</v>
      </c>
      <c r="F4" s="18">
        <v>244177.43000000008</v>
      </c>
      <c r="H4" s="20" t="s">
        <v>153</v>
      </c>
      <c r="I4" s="18">
        <v>447588</v>
      </c>
      <c r="K4" s="20" t="s">
        <v>47</v>
      </c>
      <c r="L4" s="56">
        <v>156</v>
      </c>
      <c r="O4" s="20" t="s">
        <v>46</v>
      </c>
      <c r="P4" s="28">
        <v>1383293</v>
      </c>
      <c r="R4" s="20" t="s">
        <v>335</v>
      </c>
      <c r="S4" s="18">
        <v>122609</v>
      </c>
    </row>
    <row r="5" spans="1:19">
      <c r="A5" s="26" t="s">
        <v>1229</v>
      </c>
      <c r="B5" s="18">
        <v>47866</v>
      </c>
      <c r="D5" s="20" t="s">
        <v>41</v>
      </c>
      <c r="E5" s="18">
        <v>620222</v>
      </c>
      <c r="F5" s="18">
        <v>188849.92000000007</v>
      </c>
      <c r="H5" s="20" t="s">
        <v>70</v>
      </c>
      <c r="I5" s="18">
        <v>359690</v>
      </c>
      <c r="K5" s="20" t="s">
        <v>85</v>
      </c>
      <c r="L5" s="56">
        <v>38</v>
      </c>
      <c r="R5" s="20" t="s">
        <v>166</v>
      </c>
      <c r="S5" s="18">
        <v>121935</v>
      </c>
    </row>
    <row r="6" spans="1:19">
      <c r="A6" s="26" t="s">
        <v>1230</v>
      </c>
      <c r="B6" s="18">
        <v>106422</v>
      </c>
      <c r="D6" s="20" t="s">
        <v>144</v>
      </c>
      <c r="E6" s="18">
        <v>538243</v>
      </c>
      <c r="F6" s="18">
        <v>207400.26999999996</v>
      </c>
      <c r="H6" s="20" t="s">
        <v>105</v>
      </c>
      <c r="I6" s="18">
        <v>325649</v>
      </c>
      <c r="K6" s="20" t="s">
        <v>77</v>
      </c>
      <c r="L6" s="56">
        <v>33</v>
      </c>
      <c r="R6" s="20" t="s">
        <v>279</v>
      </c>
      <c r="S6" s="18">
        <v>121102</v>
      </c>
    </row>
    <row r="7" spans="1:19">
      <c r="A7" s="26" t="s">
        <v>1231</v>
      </c>
      <c r="B7" s="18">
        <v>128814</v>
      </c>
      <c r="D7" s="20" t="s">
        <v>98</v>
      </c>
      <c r="E7" s="18">
        <v>504137</v>
      </c>
      <c r="F7" s="18">
        <v>122735.16999999998</v>
      </c>
      <c r="H7" s="20" t="s">
        <v>308</v>
      </c>
      <c r="I7" s="18">
        <v>302807</v>
      </c>
      <c r="K7" s="20" t="s">
        <v>103</v>
      </c>
      <c r="L7" s="56">
        <v>34</v>
      </c>
      <c r="O7" s="19" t="s">
        <v>1220</v>
      </c>
      <c r="P7" t="s">
        <v>1247</v>
      </c>
      <c r="R7" s="20" t="s">
        <v>559</v>
      </c>
      <c r="S7" s="18">
        <v>118873</v>
      </c>
    </row>
    <row r="8" spans="1:19">
      <c r="A8" s="26" t="s">
        <v>1232</v>
      </c>
      <c r="B8" s="18">
        <v>146258</v>
      </c>
      <c r="D8" s="20" t="s">
        <v>54</v>
      </c>
      <c r="E8" s="18">
        <v>656461</v>
      </c>
      <c r="F8" s="18">
        <v>244223.23000000004</v>
      </c>
      <c r="H8" s="20" t="s">
        <v>176</v>
      </c>
      <c r="I8" s="18">
        <v>241545</v>
      </c>
      <c r="K8" s="20" t="s">
        <v>1221</v>
      </c>
      <c r="L8" s="56">
        <v>300</v>
      </c>
      <c r="O8" s="20" t="s">
        <v>48</v>
      </c>
      <c r="P8" s="28">
        <v>13716.499999999996</v>
      </c>
      <c r="R8" s="20" t="s">
        <v>124</v>
      </c>
      <c r="S8" s="18">
        <v>115308</v>
      </c>
    </row>
    <row r="9" spans="1:19">
      <c r="A9" s="26" t="s">
        <v>1233</v>
      </c>
      <c r="B9" s="18">
        <v>91177</v>
      </c>
      <c r="D9" s="20" t="s">
        <v>1221</v>
      </c>
      <c r="E9" s="18">
        <v>3604795</v>
      </c>
      <c r="F9" s="18">
        <v>1215010.97</v>
      </c>
      <c r="H9" s="20" t="s">
        <v>118</v>
      </c>
      <c r="I9" s="18">
        <v>239123</v>
      </c>
      <c r="O9" s="20" t="s">
        <v>94</v>
      </c>
      <c r="P9" s="28">
        <v>12262.339999999997</v>
      </c>
      <c r="R9" s="20" t="s">
        <v>114</v>
      </c>
      <c r="S9" s="18">
        <v>110961</v>
      </c>
    </row>
    <row r="10" spans="1:19">
      <c r="A10" s="26" t="s">
        <v>1234</v>
      </c>
      <c r="B10" s="18">
        <v>127412</v>
      </c>
      <c r="H10" s="20" t="s">
        <v>297</v>
      </c>
      <c r="I10" s="18">
        <v>206445</v>
      </c>
      <c r="O10" s="20" t="s">
        <v>78</v>
      </c>
      <c r="P10" s="28">
        <v>8027.6</v>
      </c>
      <c r="R10" s="20" t="s">
        <v>73</v>
      </c>
      <c r="S10" s="18">
        <v>110258</v>
      </c>
    </row>
    <row r="11" spans="1:19">
      <c r="A11" s="26" t="s">
        <v>1235</v>
      </c>
      <c r="B11" s="18">
        <v>97421</v>
      </c>
      <c r="H11" s="20" t="s">
        <v>62</v>
      </c>
      <c r="I11" s="18">
        <v>202344</v>
      </c>
      <c r="O11" s="20" t="s">
        <v>60</v>
      </c>
      <c r="P11" s="28">
        <v>22834.769999999997</v>
      </c>
    </row>
    <row r="12" spans="1:19">
      <c r="A12" s="26" t="s">
        <v>1236</v>
      </c>
      <c r="B12" s="18">
        <v>245775</v>
      </c>
      <c r="H12" s="20" t="s">
        <v>79</v>
      </c>
      <c r="I12" s="18">
        <v>189707</v>
      </c>
    </row>
    <row r="13" spans="1:19">
      <c r="A13" s="26" t="s">
        <v>1237</v>
      </c>
      <c r="B13" s="18">
        <v>95607</v>
      </c>
      <c r="H13" s="20" t="s">
        <v>50</v>
      </c>
      <c r="I13" s="18">
        <v>184905</v>
      </c>
    </row>
    <row r="14" spans="1:19">
      <c r="A14" s="26" t="s">
        <v>1238</v>
      </c>
      <c r="B14" s="18">
        <v>111631</v>
      </c>
      <c r="H14" s="20" t="s">
        <v>112</v>
      </c>
      <c r="I14" s="18">
        <v>178862</v>
      </c>
    </row>
    <row r="15" spans="1:19">
      <c r="A15" s="26" t="s">
        <v>1239</v>
      </c>
      <c r="B15" s="18">
        <v>162730</v>
      </c>
      <c r="H15" s="20" t="s">
        <v>95</v>
      </c>
      <c r="I15" s="18">
        <v>143166</v>
      </c>
    </row>
    <row r="16" spans="1:19">
      <c r="A16" s="20" t="s">
        <v>1240</v>
      </c>
      <c r="B16" s="18"/>
      <c r="H16" s="20" t="s">
        <v>163</v>
      </c>
      <c r="I16" s="18">
        <v>105971</v>
      </c>
    </row>
    <row r="17" spans="1:2">
      <c r="A17" s="26" t="s">
        <v>1228</v>
      </c>
      <c r="B17" s="18">
        <v>128112</v>
      </c>
    </row>
    <row r="18" spans="1:2">
      <c r="A18" s="26" t="s">
        <v>1229</v>
      </c>
      <c r="B18" s="18">
        <v>147928</v>
      </c>
    </row>
    <row r="19" spans="1:2">
      <c r="A19" s="26" t="s">
        <v>1230</v>
      </c>
      <c r="B19" s="18">
        <v>209410</v>
      </c>
    </row>
    <row r="20" spans="1:2">
      <c r="A20" s="26" t="s">
        <v>1231</v>
      </c>
      <c r="B20" s="18">
        <v>205238</v>
      </c>
    </row>
    <row r="21" spans="1:2">
      <c r="A21" s="26" t="s">
        <v>1232</v>
      </c>
      <c r="B21" s="18">
        <v>183817</v>
      </c>
    </row>
    <row r="22" spans="1:2">
      <c r="A22" s="26" t="s">
        <v>1233</v>
      </c>
      <c r="B22" s="18">
        <v>304142</v>
      </c>
    </row>
    <row r="23" spans="1:2">
      <c r="A23" s="26" t="s">
        <v>1234</v>
      </c>
      <c r="B23" s="18">
        <v>130344</v>
      </c>
    </row>
    <row r="24" spans="1:2">
      <c r="A24" s="26" t="s">
        <v>1235</v>
      </c>
      <c r="B24" s="18">
        <v>130362</v>
      </c>
    </row>
    <row r="25" spans="1:2">
      <c r="A25" s="26" t="s">
        <v>1236</v>
      </c>
      <c r="B25" s="18">
        <v>125375</v>
      </c>
    </row>
    <row r="26" spans="1:2">
      <c r="A26" s="26" t="s">
        <v>1237</v>
      </c>
      <c r="B26" s="18">
        <v>125246</v>
      </c>
    </row>
    <row r="27" spans="1:2">
      <c r="A27" s="26" t="s">
        <v>1238</v>
      </c>
      <c r="B27" s="18">
        <v>159255</v>
      </c>
    </row>
    <row r="28" spans="1:2">
      <c r="A28" s="26" t="s">
        <v>1239</v>
      </c>
      <c r="B28" s="18">
        <v>149742</v>
      </c>
    </row>
    <row r="35" spans="6:6">
      <c r="F35" s="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26300-4D75-44BA-8960-222D5D4FC01B}">
  <dimension ref="A1:AL19"/>
  <sheetViews>
    <sheetView workbookViewId="0">
      <selection activeCell="E37" sqref="E37"/>
    </sheetView>
  </sheetViews>
  <sheetFormatPr defaultRowHeight="14.4"/>
  <cols>
    <col min="1" max="1" width="10.77734375" bestFit="1" customWidth="1"/>
    <col min="2" max="2" width="12.88671875" bestFit="1" customWidth="1"/>
    <col min="3" max="3" width="14.88671875" bestFit="1" customWidth="1"/>
    <col min="4" max="4" width="14.21875" bestFit="1" customWidth="1"/>
    <col min="5" max="5" width="16" bestFit="1" customWidth="1"/>
    <col min="6" max="6" width="13.109375" bestFit="1" customWidth="1"/>
    <col min="7" max="7" width="13.88671875" bestFit="1" customWidth="1"/>
    <col min="8" max="8" width="11.109375" bestFit="1" customWidth="1"/>
    <col min="9" max="9" width="17.33203125" bestFit="1" customWidth="1"/>
    <col min="10" max="10" width="14.21875" bestFit="1" customWidth="1"/>
    <col min="11" max="11" width="12.21875" bestFit="1" customWidth="1"/>
    <col min="12" max="12" width="11.21875" bestFit="1" customWidth="1"/>
    <col min="13" max="13" width="17.88671875" bestFit="1" customWidth="1"/>
    <col min="14" max="14" width="13" bestFit="1" customWidth="1"/>
    <col min="15" max="15" width="17.109375" bestFit="1" customWidth="1"/>
    <col min="16" max="16" width="25.6640625" bestFit="1" customWidth="1"/>
    <col min="17" max="17" width="14.33203125" bestFit="1" customWidth="1"/>
    <col min="18" max="18" width="19.44140625" bestFit="1" customWidth="1"/>
    <col min="19" max="19" width="11.88671875" bestFit="1" customWidth="1"/>
    <col min="20" max="20" width="16" bestFit="1" customWidth="1"/>
    <col min="21" max="21" width="13.6640625" bestFit="1" customWidth="1"/>
    <col min="22" max="22" width="18.77734375" bestFit="1" customWidth="1"/>
    <col min="23" max="23" width="16.109375" bestFit="1" customWidth="1"/>
    <col min="24" max="24" width="15.5546875" bestFit="1" customWidth="1"/>
    <col min="25" max="25" width="16" bestFit="1" customWidth="1"/>
    <col min="26" max="26" width="17.44140625" bestFit="1" customWidth="1"/>
    <col min="27" max="27" width="17.33203125" bestFit="1" customWidth="1"/>
    <col min="28" max="28" width="16.6640625" bestFit="1" customWidth="1"/>
    <col min="29" max="29" width="11.21875" bestFit="1" customWidth="1"/>
    <col min="30" max="30" width="9" bestFit="1" customWidth="1"/>
    <col min="31" max="31" width="18.109375" bestFit="1" customWidth="1"/>
    <col min="32" max="32" width="10.33203125" bestFit="1" customWidth="1"/>
    <col min="33" max="33" width="17.77734375" bestFit="1" customWidth="1"/>
    <col min="34" max="34" width="17.88671875" bestFit="1" customWidth="1"/>
    <col min="35" max="35" width="16.77734375" bestFit="1" customWidth="1"/>
    <col min="36" max="36" width="15" bestFit="1" customWidth="1"/>
    <col min="37" max="37" width="18.88671875" bestFit="1" customWidth="1"/>
    <col min="38" max="38" width="14.21875" bestFit="1" customWidth="1"/>
  </cols>
  <sheetData>
    <row r="1" spans="1:38">
      <c r="A1" s="39" t="s">
        <v>1244</v>
      </c>
    </row>
    <row r="3" spans="1:38">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row>
    <row r="4" spans="1:38">
      <c r="A4" t="s">
        <v>1186</v>
      </c>
      <c r="B4" s="38">
        <v>45650</v>
      </c>
      <c r="D4" t="s">
        <v>98</v>
      </c>
      <c r="E4" t="s">
        <v>482</v>
      </c>
      <c r="F4" t="s">
        <v>209</v>
      </c>
      <c r="G4" t="s">
        <v>1187</v>
      </c>
      <c r="H4" t="s">
        <v>1188</v>
      </c>
      <c r="I4" t="s">
        <v>46</v>
      </c>
      <c r="J4" t="s">
        <v>77</v>
      </c>
      <c r="K4">
        <v>5</v>
      </c>
      <c r="L4">
        <v>1483</v>
      </c>
      <c r="M4">
        <v>1283</v>
      </c>
      <c r="N4">
        <v>13.5</v>
      </c>
      <c r="O4">
        <v>6415</v>
      </c>
      <c r="P4">
        <v>886.38</v>
      </c>
      <c r="Q4">
        <v>0</v>
      </c>
      <c r="R4">
        <v>91.89</v>
      </c>
      <c r="S4">
        <v>2148.25</v>
      </c>
      <c r="T4">
        <v>285.64</v>
      </c>
      <c r="U4">
        <v>0</v>
      </c>
      <c r="V4">
        <v>0</v>
      </c>
      <c r="X4">
        <v>6415</v>
      </c>
      <c r="Y4">
        <v>3002.84</v>
      </c>
      <c r="Z4">
        <v>46.8</v>
      </c>
      <c r="AA4" t="s">
        <v>48</v>
      </c>
      <c r="AB4">
        <v>8953</v>
      </c>
      <c r="AC4">
        <v>705</v>
      </c>
      <c r="AD4">
        <v>7.87</v>
      </c>
      <c r="AE4">
        <v>48</v>
      </c>
      <c r="AF4">
        <v>0.5</v>
      </c>
      <c r="AH4" t="s">
        <v>49</v>
      </c>
      <c r="AI4" t="s">
        <v>153</v>
      </c>
      <c r="AJ4">
        <v>3</v>
      </c>
      <c r="AK4">
        <v>174</v>
      </c>
      <c r="AL4" t="s">
        <v>51</v>
      </c>
    </row>
    <row r="5" spans="1:38">
      <c r="A5" t="s">
        <v>1171</v>
      </c>
      <c r="B5" s="38">
        <v>45632</v>
      </c>
      <c r="C5" t="s">
        <v>464</v>
      </c>
      <c r="D5" t="s">
        <v>144</v>
      </c>
      <c r="E5" t="s">
        <v>166</v>
      </c>
      <c r="F5" t="s">
        <v>329</v>
      </c>
      <c r="G5" t="s">
        <v>1172</v>
      </c>
      <c r="H5" t="s">
        <v>1173</v>
      </c>
      <c r="I5" t="s">
        <v>59</v>
      </c>
      <c r="J5" t="s">
        <v>47</v>
      </c>
      <c r="K5">
        <v>6</v>
      </c>
      <c r="L5">
        <v>3158</v>
      </c>
      <c r="M5">
        <v>2498</v>
      </c>
      <c r="N5">
        <v>20.9</v>
      </c>
      <c r="O5">
        <v>14988</v>
      </c>
      <c r="P5">
        <v>2308.09</v>
      </c>
      <c r="Q5">
        <v>749.4</v>
      </c>
      <c r="R5">
        <v>0</v>
      </c>
      <c r="S5">
        <v>5562.47</v>
      </c>
      <c r="T5">
        <v>189.36</v>
      </c>
      <c r="U5">
        <v>0</v>
      </c>
      <c r="V5">
        <v>0</v>
      </c>
      <c r="X5">
        <v>14988</v>
      </c>
      <c r="Y5">
        <v>6178.68</v>
      </c>
      <c r="Z5">
        <v>41.2</v>
      </c>
      <c r="AA5" t="s">
        <v>60</v>
      </c>
      <c r="AB5">
        <v>10610</v>
      </c>
      <c r="AC5">
        <v>800</v>
      </c>
      <c r="AD5">
        <v>7.54</v>
      </c>
      <c r="AE5">
        <v>126</v>
      </c>
      <c r="AF5">
        <v>0.1</v>
      </c>
      <c r="AG5">
        <v>5</v>
      </c>
      <c r="AH5" t="s">
        <v>61</v>
      </c>
      <c r="AI5" t="s">
        <v>79</v>
      </c>
      <c r="AJ5">
        <v>3</v>
      </c>
      <c r="AK5">
        <v>193</v>
      </c>
      <c r="AL5" t="s">
        <v>51</v>
      </c>
    </row>
    <row r="6" spans="1:38">
      <c r="A6" t="s">
        <v>1154</v>
      </c>
      <c r="B6" s="38">
        <v>45646</v>
      </c>
      <c r="C6" t="s">
        <v>1155</v>
      </c>
      <c r="D6" t="s">
        <v>54</v>
      </c>
      <c r="E6" t="s">
        <v>221</v>
      </c>
      <c r="F6" t="s">
        <v>91</v>
      </c>
      <c r="G6" t="s">
        <v>1156</v>
      </c>
      <c r="H6" t="s">
        <v>1157</v>
      </c>
      <c r="I6" t="s">
        <v>46</v>
      </c>
      <c r="J6" t="s">
        <v>103</v>
      </c>
      <c r="K6">
        <v>8</v>
      </c>
      <c r="L6">
        <v>3623</v>
      </c>
      <c r="M6">
        <v>2648</v>
      </c>
      <c r="N6">
        <v>26.9</v>
      </c>
      <c r="O6">
        <v>21184</v>
      </c>
      <c r="P6">
        <v>3125.03</v>
      </c>
      <c r="Q6">
        <v>0</v>
      </c>
      <c r="R6">
        <v>52.74</v>
      </c>
      <c r="S6">
        <v>7296.32</v>
      </c>
      <c r="T6">
        <v>337.88</v>
      </c>
      <c r="U6">
        <v>3</v>
      </c>
      <c r="V6">
        <v>7944</v>
      </c>
      <c r="W6" t="s">
        <v>206</v>
      </c>
      <c r="X6">
        <v>13240</v>
      </c>
      <c r="Y6">
        <v>2428.0300000000002</v>
      </c>
      <c r="Z6">
        <v>18.3</v>
      </c>
      <c r="AA6" t="s">
        <v>48</v>
      </c>
      <c r="AB6">
        <v>5398</v>
      </c>
      <c r="AC6">
        <v>246</v>
      </c>
      <c r="AD6">
        <v>4.5599999999999996</v>
      </c>
      <c r="AE6">
        <v>45</v>
      </c>
      <c r="AF6">
        <v>0.3</v>
      </c>
      <c r="AH6" t="s">
        <v>49</v>
      </c>
      <c r="AI6" t="s">
        <v>79</v>
      </c>
      <c r="AJ6">
        <v>7</v>
      </c>
      <c r="AK6">
        <v>180</v>
      </c>
      <c r="AL6" t="s">
        <v>51</v>
      </c>
    </row>
    <row r="7" spans="1:38">
      <c r="A7" t="s">
        <v>1129</v>
      </c>
      <c r="B7" s="38">
        <v>45632</v>
      </c>
      <c r="D7" t="s">
        <v>54</v>
      </c>
      <c r="E7" t="s">
        <v>670</v>
      </c>
      <c r="F7" t="s">
        <v>222</v>
      </c>
      <c r="G7" t="s">
        <v>1130</v>
      </c>
      <c r="H7" t="s">
        <v>1131</v>
      </c>
      <c r="I7" t="s">
        <v>59</v>
      </c>
      <c r="J7" t="s">
        <v>136</v>
      </c>
      <c r="K7">
        <v>4</v>
      </c>
      <c r="L7">
        <v>846</v>
      </c>
      <c r="M7">
        <v>767</v>
      </c>
      <c r="N7">
        <v>9.3000000000000007</v>
      </c>
      <c r="O7">
        <v>3068</v>
      </c>
      <c r="P7">
        <v>286.07</v>
      </c>
      <c r="Q7">
        <v>153.4</v>
      </c>
      <c r="R7">
        <v>0</v>
      </c>
      <c r="S7">
        <v>1065.6600000000001</v>
      </c>
      <c r="T7">
        <v>352.08</v>
      </c>
      <c r="U7">
        <v>0</v>
      </c>
      <c r="V7">
        <v>0</v>
      </c>
      <c r="X7">
        <v>3068</v>
      </c>
      <c r="Y7">
        <v>1210.79</v>
      </c>
      <c r="Z7">
        <v>39.5</v>
      </c>
      <c r="AA7" t="s">
        <v>60</v>
      </c>
      <c r="AB7">
        <v>3031</v>
      </c>
      <c r="AC7">
        <v>192</v>
      </c>
      <c r="AD7">
        <v>6.33</v>
      </c>
      <c r="AE7">
        <v>15</v>
      </c>
      <c r="AF7">
        <v>3.1</v>
      </c>
      <c r="AH7" t="s">
        <v>49</v>
      </c>
      <c r="AI7" t="s">
        <v>308</v>
      </c>
      <c r="AJ7">
        <v>1</v>
      </c>
      <c r="AK7">
        <v>76</v>
      </c>
      <c r="AL7" t="s">
        <v>51</v>
      </c>
    </row>
    <row r="8" spans="1:38">
      <c r="A8" t="s">
        <v>1072</v>
      </c>
      <c r="B8" s="38">
        <v>45650</v>
      </c>
      <c r="D8" t="s">
        <v>81</v>
      </c>
      <c r="E8" t="s">
        <v>279</v>
      </c>
      <c r="F8" t="s">
        <v>329</v>
      </c>
      <c r="G8" t="s">
        <v>1073</v>
      </c>
      <c r="H8" t="s">
        <v>1074</v>
      </c>
      <c r="I8" t="s">
        <v>59</v>
      </c>
      <c r="J8" t="s">
        <v>136</v>
      </c>
      <c r="K8">
        <v>6</v>
      </c>
      <c r="L8">
        <v>2427</v>
      </c>
      <c r="M8">
        <v>1921</v>
      </c>
      <c r="N8">
        <v>20.8</v>
      </c>
      <c r="O8">
        <v>11526</v>
      </c>
      <c r="P8">
        <v>1990.68</v>
      </c>
      <c r="Q8">
        <v>576.29999999999995</v>
      </c>
      <c r="R8">
        <v>0</v>
      </c>
      <c r="S8">
        <v>5624.61</v>
      </c>
      <c r="T8">
        <v>206.5</v>
      </c>
      <c r="U8">
        <v>0</v>
      </c>
      <c r="V8">
        <v>0</v>
      </c>
      <c r="X8">
        <v>11526</v>
      </c>
      <c r="Y8">
        <v>3127.91</v>
      </c>
      <c r="Z8">
        <v>27.1</v>
      </c>
      <c r="AA8" t="s">
        <v>94</v>
      </c>
      <c r="AB8">
        <v>1090</v>
      </c>
      <c r="AC8">
        <v>44</v>
      </c>
      <c r="AD8">
        <v>4.04</v>
      </c>
      <c r="AE8">
        <v>6</v>
      </c>
      <c r="AF8">
        <v>1.8</v>
      </c>
      <c r="AH8" t="s">
        <v>49</v>
      </c>
      <c r="AI8" t="s">
        <v>50</v>
      </c>
      <c r="AJ8">
        <v>2</v>
      </c>
      <c r="AK8">
        <v>129</v>
      </c>
      <c r="AL8" t="s">
        <v>51</v>
      </c>
    </row>
    <row r="9" spans="1:38">
      <c r="A9" t="s">
        <v>995</v>
      </c>
      <c r="B9" s="38">
        <v>45627</v>
      </c>
      <c r="C9" t="s">
        <v>996</v>
      </c>
      <c r="D9" t="s">
        <v>144</v>
      </c>
      <c r="E9" t="s">
        <v>317</v>
      </c>
      <c r="F9" t="s">
        <v>227</v>
      </c>
      <c r="G9" t="s">
        <v>997</v>
      </c>
      <c r="H9" t="s">
        <v>998</v>
      </c>
      <c r="I9" t="s">
        <v>59</v>
      </c>
      <c r="J9" t="s">
        <v>47</v>
      </c>
      <c r="K9">
        <v>8</v>
      </c>
      <c r="L9">
        <v>929</v>
      </c>
      <c r="M9">
        <v>714</v>
      </c>
      <c r="N9">
        <v>23.1</v>
      </c>
      <c r="O9">
        <v>5712</v>
      </c>
      <c r="P9">
        <v>903.75</v>
      </c>
      <c r="Q9">
        <v>285.60000000000002</v>
      </c>
      <c r="R9">
        <v>0</v>
      </c>
      <c r="S9">
        <v>1814.99</v>
      </c>
      <c r="T9">
        <v>0</v>
      </c>
      <c r="U9">
        <v>0</v>
      </c>
      <c r="V9">
        <v>0</v>
      </c>
      <c r="X9">
        <v>5712</v>
      </c>
      <c r="Y9">
        <v>2707.66</v>
      </c>
      <c r="Z9">
        <v>47.4</v>
      </c>
      <c r="AA9" t="s">
        <v>60</v>
      </c>
      <c r="AB9">
        <v>0</v>
      </c>
      <c r="AC9">
        <v>0</v>
      </c>
      <c r="AD9">
        <v>0</v>
      </c>
      <c r="AE9">
        <v>0</v>
      </c>
      <c r="AF9">
        <v>0</v>
      </c>
      <c r="AG9">
        <v>5</v>
      </c>
      <c r="AH9" t="s">
        <v>61</v>
      </c>
      <c r="AI9" t="s">
        <v>105</v>
      </c>
      <c r="AJ9">
        <v>1</v>
      </c>
      <c r="AK9">
        <v>20</v>
      </c>
      <c r="AL9" t="s">
        <v>51</v>
      </c>
    </row>
    <row r="10" spans="1:38">
      <c r="A10" t="s">
        <v>968</v>
      </c>
      <c r="B10" s="38">
        <v>45655</v>
      </c>
      <c r="D10" t="s">
        <v>65</v>
      </c>
      <c r="E10" t="s">
        <v>525</v>
      </c>
      <c r="F10" t="s">
        <v>227</v>
      </c>
      <c r="G10" t="s">
        <v>969</v>
      </c>
      <c r="H10" t="s">
        <v>970</v>
      </c>
      <c r="I10" t="s">
        <v>59</v>
      </c>
      <c r="J10" t="s">
        <v>85</v>
      </c>
      <c r="K10">
        <v>5</v>
      </c>
      <c r="L10">
        <v>2770</v>
      </c>
      <c r="M10">
        <v>2178</v>
      </c>
      <c r="N10">
        <v>21.4</v>
      </c>
      <c r="O10">
        <v>10890</v>
      </c>
      <c r="P10">
        <v>1488.23</v>
      </c>
      <c r="Q10">
        <v>544.5</v>
      </c>
      <c r="R10">
        <v>0</v>
      </c>
      <c r="S10">
        <v>3493.84</v>
      </c>
      <c r="T10">
        <v>470.31</v>
      </c>
      <c r="U10">
        <v>0</v>
      </c>
      <c r="V10">
        <v>0</v>
      </c>
      <c r="X10">
        <v>10890</v>
      </c>
      <c r="Y10">
        <v>4893.12</v>
      </c>
      <c r="Z10">
        <v>44.9</v>
      </c>
      <c r="AA10" t="s">
        <v>60</v>
      </c>
      <c r="AB10">
        <v>13230</v>
      </c>
      <c r="AC10">
        <v>673</v>
      </c>
      <c r="AD10">
        <v>5.09</v>
      </c>
      <c r="AE10">
        <v>122</v>
      </c>
      <c r="AF10">
        <v>0.2</v>
      </c>
      <c r="AH10" t="s">
        <v>49</v>
      </c>
      <c r="AI10" t="s">
        <v>70</v>
      </c>
      <c r="AJ10">
        <v>2</v>
      </c>
      <c r="AK10">
        <v>176</v>
      </c>
      <c r="AL10" t="s">
        <v>51</v>
      </c>
    </row>
    <row r="11" spans="1:38">
      <c r="A11" t="s">
        <v>903</v>
      </c>
      <c r="B11" s="38">
        <v>45648</v>
      </c>
      <c r="C11" t="s">
        <v>360</v>
      </c>
      <c r="D11" t="s">
        <v>144</v>
      </c>
      <c r="E11" t="s">
        <v>406</v>
      </c>
      <c r="F11" t="s">
        <v>125</v>
      </c>
      <c r="G11" t="s">
        <v>904</v>
      </c>
      <c r="H11" t="s">
        <v>905</v>
      </c>
      <c r="I11" t="s">
        <v>46</v>
      </c>
      <c r="J11" t="s">
        <v>103</v>
      </c>
      <c r="K11">
        <v>3</v>
      </c>
      <c r="L11">
        <v>277</v>
      </c>
      <c r="M11">
        <v>257</v>
      </c>
      <c r="N11">
        <v>7.2</v>
      </c>
      <c r="O11">
        <v>771</v>
      </c>
      <c r="P11">
        <v>130.22999999999999</v>
      </c>
      <c r="Q11">
        <v>0</v>
      </c>
      <c r="R11">
        <v>108.64</v>
      </c>
      <c r="S11">
        <v>279.14</v>
      </c>
      <c r="T11">
        <v>40.61</v>
      </c>
      <c r="U11">
        <v>0</v>
      </c>
      <c r="V11">
        <v>0</v>
      </c>
      <c r="W11" t="s">
        <v>206</v>
      </c>
      <c r="X11">
        <v>771</v>
      </c>
      <c r="Y11">
        <v>212.38</v>
      </c>
      <c r="Z11">
        <v>27.5</v>
      </c>
      <c r="AA11" t="s">
        <v>94</v>
      </c>
      <c r="AB11">
        <v>3662</v>
      </c>
      <c r="AC11">
        <v>19</v>
      </c>
      <c r="AD11">
        <v>0.52</v>
      </c>
      <c r="AE11">
        <v>0</v>
      </c>
      <c r="AF11">
        <v>0</v>
      </c>
      <c r="AH11" t="s">
        <v>49</v>
      </c>
      <c r="AI11" t="s">
        <v>70</v>
      </c>
      <c r="AJ11">
        <v>4</v>
      </c>
      <c r="AK11">
        <v>189</v>
      </c>
      <c r="AL11" t="s">
        <v>51</v>
      </c>
    </row>
    <row r="12" spans="1:38">
      <c r="A12" t="s">
        <v>871</v>
      </c>
      <c r="B12" s="38">
        <v>45646</v>
      </c>
      <c r="C12" t="s">
        <v>872</v>
      </c>
      <c r="D12" t="s">
        <v>98</v>
      </c>
      <c r="E12" t="s">
        <v>449</v>
      </c>
      <c r="F12" t="s">
        <v>67</v>
      </c>
      <c r="G12" t="s">
        <v>873</v>
      </c>
      <c r="H12" t="s">
        <v>874</v>
      </c>
      <c r="I12" t="s">
        <v>46</v>
      </c>
      <c r="J12" t="s">
        <v>103</v>
      </c>
      <c r="K12">
        <v>6</v>
      </c>
      <c r="L12">
        <v>3536</v>
      </c>
      <c r="M12">
        <v>3059</v>
      </c>
      <c r="N12">
        <v>13.5</v>
      </c>
      <c r="O12">
        <v>18354</v>
      </c>
      <c r="P12">
        <v>2675.36</v>
      </c>
      <c r="Q12">
        <v>0</v>
      </c>
      <c r="R12">
        <v>88.44</v>
      </c>
      <c r="S12">
        <v>8162.71</v>
      </c>
      <c r="T12">
        <v>181.29</v>
      </c>
      <c r="U12">
        <v>5</v>
      </c>
      <c r="V12">
        <v>15295</v>
      </c>
      <c r="W12" t="s">
        <v>104</v>
      </c>
      <c r="X12">
        <v>3059</v>
      </c>
      <c r="Y12">
        <v>-8048.8</v>
      </c>
      <c r="Z12">
        <v>-263.10000000000002</v>
      </c>
      <c r="AA12" t="s">
        <v>60</v>
      </c>
      <c r="AB12">
        <v>2643</v>
      </c>
      <c r="AC12">
        <v>11</v>
      </c>
      <c r="AD12">
        <v>0.42</v>
      </c>
      <c r="AE12">
        <v>2</v>
      </c>
      <c r="AF12">
        <v>3</v>
      </c>
      <c r="AH12" t="s">
        <v>49</v>
      </c>
      <c r="AI12" t="s">
        <v>153</v>
      </c>
      <c r="AJ12">
        <v>5</v>
      </c>
      <c r="AK12">
        <v>64</v>
      </c>
      <c r="AL12" t="s">
        <v>51</v>
      </c>
    </row>
    <row r="13" spans="1:38">
      <c r="A13" t="s">
        <v>857</v>
      </c>
      <c r="B13" s="38">
        <v>45633</v>
      </c>
      <c r="C13" t="s">
        <v>858</v>
      </c>
      <c r="D13" t="s">
        <v>144</v>
      </c>
      <c r="E13" t="s">
        <v>166</v>
      </c>
      <c r="F13" t="s">
        <v>209</v>
      </c>
      <c r="G13" t="s">
        <v>859</v>
      </c>
      <c r="H13" t="s">
        <v>860</v>
      </c>
      <c r="I13" t="s">
        <v>46</v>
      </c>
      <c r="J13" t="s">
        <v>47</v>
      </c>
      <c r="K13">
        <v>4</v>
      </c>
      <c r="L13">
        <v>2468</v>
      </c>
      <c r="M13">
        <v>1823</v>
      </c>
      <c r="N13">
        <v>26.1</v>
      </c>
      <c r="O13">
        <v>7292</v>
      </c>
      <c r="P13">
        <v>991.48</v>
      </c>
      <c r="Q13">
        <v>0</v>
      </c>
      <c r="R13">
        <v>72</v>
      </c>
      <c r="S13">
        <v>2219.81</v>
      </c>
      <c r="T13">
        <v>359.35</v>
      </c>
      <c r="U13">
        <v>0</v>
      </c>
      <c r="V13">
        <v>0</v>
      </c>
      <c r="X13">
        <v>7292</v>
      </c>
      <c r="Y13">
        <v>3649.36</v>
      </c>
      <c r="Z13">
        <v>50</v>
      </c>
      <c r="AA13" t="s">
        <v>60</v>
      </c>
      <c r="AB13">
        <v>6165</v>
      </c>
      <c r="AC13">
        <v>270</v>
      </c>
      <c r="AD13">
        <v>4.38</v>
      </c>
      <c r="AE13">
        <v>50</v>
      </c>
      <c r="AF13">
        <v>0.4</v>
      </c>
      <c r="AG13">
        <v>2</v>
      </c>
      <c r="AH13" t="s">
        <v>49</v>
      </c>
      <c r="AI13" t="s">
        <v>50</v>
      </c>
      <c r="AJ13">
        <v>4</v>
      </c>
      <c r="AK13">
        <v>189</v>
      </c>
      <c r="AL13" t="s">
        <v>51</v>
      </c>
    </row>
    <row r="14" spans="1:38">
      <c r="A14" t="s">
        <v>845</v>
      </c>
      <c r="B14" s="38">
        <v>45639</v>
      </c>
      <c r="C14" t="s">
        <v>846</v>
      </c>
      <c r="D14" t="s">
        <v>98</v>
      </c>
      <c r="E14" t="s">
        <v>434</v>
      </c>
      <c r="F14" t="s">
        <v>197</v>
      </c>
      <c r="G14" t="s">
        <v>847</v>
      </c>
      <c r="H14" t="s">
        <v>848</v>
      </c>
      <c r="I14" t="s">
        <v>59</v>
      </c>
      <c r="J14" t="s">
        <v>103</v>
      </c>
      <c r="K14">
        <v>10</v>
      </c>
      <c r="L14">
        <v>1277</v>
      </c>
      <c r="M14">
        <v>1051</v>
      </c>
      <c r="N14">
        <v>17.7</v>
      </c>
      <c r="O14">
        <v>10510</v>
      </c>
      <c r="P14">
        <v>1118.26</v>
      </c>
      <c r="Q14">
        <v>525.5</v>
      </c>
      <c r="R14">
        <v>0</v>
      </c>
      <c r="S14">
        <v>5303.04</v>
      </c>
      <c r="T14">
        <v>395.27</v>
      </c>
      <c r="U14">
        <v>6</v>
      </c>
      <c r="V14">
        <v>6306</v>
      </c>
      <c r="W14" t="s">
        <v>332</v>
      </c>
      <c r="X14">
        <v>4204</v>
      </c>
      <c r="Y14">
        <v>-3138.07</v>
      </c>
      <c r="Z14">
        <v>-74.599999999999994</v>
      </c>
      <c r="AA14" t="s">
        <v>78</v>
      </c>
      <c r="AB14">
        <v>7132</v>
      </c>
      <c r="AC14">
        <v>314</v>
      </c>
      <c r="AD14">
        <v>4.4000000000000004</v>
      </c>
      <c r="AE14">
        <v>31</v>
      </c>
      <c r="AF14">
        <v>1.2</v>
      </c>
      <c r="AH14" t="s">
        <v>49</v>
      </c>
      <c r="AI14" t="s">
        <v>50</v>
      </c>
      <c r="AJ14">
        <v>3</v>
      </c>
      <c r="AK14">
        <v>1</v>
      </c>
      <c r="AL14" t="s">
        <v>71</v>
      </c>
    </row>
    <row r="15" spans="1:38">
      <c r="A15" t="s">
        <v>679</v>
      </c>
      <c r="B15" s="38">
        <v>45634</v>
      </c>
      <c r="C15" t="s">
        <v>680</v>
      </c>
      <c r="D15" t="s">
        <v>81</v>
      </c>
      <c r="E15" t="s">
        <v>284</v>
      </c>
      <c r="F15" t="s">
        <v>91</v>
      </c>
      <c r="G15" t="s">
        <v>681</v>
      </c>
      <c r="H15" t="s">
        <v>682</v>
      </c>
      <c r="I15" t="s">
        <v>59</v>
      </c>
      <c r="J15" t="s">
        <v>47</v>
      </c>
      <c r="K15">
        <v>2</v>
      </c>
      <c r="L15">
        <v>2072</v>
      </c>
      <c r="M15">
        <v>1496</v>
      </c>
      <c r="N15">
        <v>27.8</v>
      </c>
      <c r="O15">
        <v>2992</v>
      </c>
      <c r="P15">
        <v>378.97</v>
      </c>
      <c r="Q15">
        <v>149.6</v>
      </c>
      <c r="R15">
        <v>0</v>
      </c>
      <c r="S15">
        <v>1245.44</v>
      </c>
      <c r="T15">
        <v>283.3</v>
      </c>
      <c r="U15">
        <v>0</v>
      </c>
      <c r="V15">
        <v>0</v>
      </c>
      <c r="X15">
        <v>2992</v>
      </c>
      <c r="Y15">
        <v>934.69</v>
      </c>
      <c r="Z15">
        <v>31.2</v>
      </c>
      <c r="AA15" t="s">
        <v>78</v>
      </c>
      <c r="AB15">
        <v>4557</v>
      </c>
      <c r="AC15">
        <v>310</v>
      </c>
      <c r="AD15">
        <v>6.8</v>
      </c>
      <c r="AE15">
        <v>12</v>
      </c>
      <c r="AF15">
        <v>1.6</v>
      </c>
      <c r="AG15">
        <v>5</v>
      </c>
      <c r="AH15" t="s">
        <v>61</v>
      </c>
      <c r="AI15" t="s">
        <v>112</v>
      </c>
      <c r="AJ15">
        <v>2</v>
      </c>
      <c r="AK15">
        <v>27</v>
      </c>
      <c r="AL15" t="s">
        <v>51</v>
      </c>
    </row>
    <row r="16" spans="1:38">
      <c r="A16" t="s">
        <v>463</v>
      </c>
      <c r="B16" s="38">
        <v>45633</v>
      </c>
      <c r="C16" t="s">
        <v>464</v>
      </c>
      <c r="D16" t="s">
        <v>81</v>
      </c>
      <c r="E16" t="s">
        <v>90</v>
      </c>
      <c r="F16" t="s">
        <v>43</v>
      </c>
      <c r="G16" t="s">
        <v>465</v>
      </c>
      <c r="H16" t="s">
        <v>466</v>
      </c>
      <c r="I16" t="s">
        <v>59</v>
      </c>
      <c r="J16" t="s">
        <v>47</v>
      </c>
      <c r="K16">
        <v>1</v>
      </c>
      <c r="L16">
        <v>1299</v>
      </c>
      <c r="M16">
        <v>1196</v>
      </c>
      <c r="N16">
        <v>7.9</v>
      </c>
      <c r="O16">
        <v>1196</v>
      </c>
      <c r="P16">
        <v>108.78</v>
      </c>
      <c r="Q16">
        <v>59.8</v>
      </c>
      <c r="R16">
        <v>0</v>
      </c>
      <c r="S16">
        <v>367.03</v>
      </c>
      <c r="T16">
        <v>0</v>
      </c>
      <c r="U16">
        <v>0</v>
      </c>
      <c r="V16">
        <v>0</v>
      </c>
      <c r="X16">
        <v>1196</v>
      </c>
      <c r="Y16">
        <v>660.39</v>
      </c>
      <c r="Z16">
        <v>55.2</v>
      </c>
      <c r="AA16" t="s">
        <v>60</v>
      </c>
      <c r="AB16">
        <v>0</v>
      </c>
      <c r="AC16">
        <v>0</v>
      </c>
      <c r="AD16">
        <v>0</v>
      </c>
      <c r="AE16">
        <v>0</v>
      </c>
      <c r="AF16">
        <v>0</v>
      </c>
      <c r="AG16">
        <v>1</v>
      </c>
      <c r="AH16" t="s">
        <v>49</v>
      </c>
      <c r="AI16" t="s">
        <v>62</v>
      </c>
      <c r="AJ16">
        <v>2</v>
      </c>
      <c r="AK16">
        <v>59</v>
      </c>
      <c r="AL16" t="s">
        <v>51</v>
      </c>
    </row>
    <row r="17" spans="1:38">
      <c r="A17" t="s">
        <v>455</v>
      </c>
      <c r="B17" s="38">
        <v>45652</v>
      </c>
      <c r="D17" t="s">
        <v>144</v>
      </c>
      <c r="E17" t="s">
        <v>456</v>
      </c>
      <c r="F17" t="s">
        <v>100</v>
      </c>
      <c r="G17" t="s">
        <v>457</v>
      </c>
      <c r="H17" t="s">
        <v>458</v>
      </c>
      <c r="I17" t="s">
        <v>59</v>
      </c>
      <c r="J17" t="s">
        <v>136</v>
      </c>
      <c r="K17">
        <v>5</v>
      </c>
      <c r="L17">
        <v>2143</v>
      </c>
      <c r="M17">
        <v>1775</v>
      </c>
      <c r="N17">
        <v>17.2</v>
      </c>
      <c r="O17">
        <v>8875</v>
      </c>
      <c r="P17">
        <v>1423.07</v>
      </c>
      <c r="Q17">
        <v>443.75</v>
      </c>
      <c r="R17">
        <v>0</v>
      </c>
      <c r="S17">
        <v>3681.01</v>
      </c>
      <c r="T17">
        <v>38.86</v>
      </c>
      <c r="U17">
        <v>0</v>
      </c>
      <c r="V17">
        <v>0</v>
      </c>
      <c r="X17">
        <v>8875</v>
      </c>
      <c r="Y17">
        <v>3288.31</v>
      </c>
      <c r="Z17">
        <v>37.1</v>
      </c>
      <c r="AA17" t="s">
        <v>60</v>
      </c>
      <c r="AB17">
        <v>13603</v>
      </c>
      <c r="AC17">
        <v>509</v>
      </c>
      <c r="AD17">
        <v>3.74</v>
      </c>
      <c r="AE17">
        <v>87</v>
      </c>
      <c r="AF17">
        <v>0</v>
      </c>
      <c r="AH17" t="s">
        <v>49</v>
      </c>
      <c r="AI17" t="s">
        <v>50</v>
      </c>
      <c r="AJ17">
        <v>2</v>
      </c>
      <c r="AK17">
        <v>154</v>
      </c>
      <c r="AL17" t="s">
        <v>51</v>
      </c>
    </row>
    <row r="18" spans="1:38">
      <c r="A18" t="s">
        <v>409</v>
      </c>
      <c r="B18" s="38">
        <v>45650</v>
      </c>
      <c r="D18" t="s">
        <v>81</v>
      </c>
      <c r="E18" t="s">
        <v>185</v>
      </c>
      <c r="F18" t="s">
        <v>74</v>
      </c>
      <c r="G18" t="s">
        <v>410</v>
      </c>
      <c r="H18" t="s">
        <v>411</v>
      </c>
      <c r="I18" t="s">
        <v>46</v>
      </c>
      <c r="J18" t="s">
        <v>77</v>
      </c>
      <c r="K18">
        <v>4</v>
      </c>
      <c r="L18">
        <v>2313</v>
      </c>
      <c r="M18">
        <v>1639</v>
      </c>
      <c r="N18">
        <v>29.1</v>
      </c>
      <c r="O18">
        <v>6556</v>
      </c>
      <c r="P18">
        <v>897.61</v>
      </c>
      <c r="Q18">
        <v>0</v>
      </c>
      <c r="R18">
        <v>41.66</v>
      </c>
      <c r="S18">
        <v>2113.44</v>
      </c>
      <c r="T18">
        <v>0</v>
      </c>
      <c r="U18">
        <v>0</v>
      </c>
      <c r="V18">
        <v>0</v>
      </c>
      <c r="X18">
        <v>6556</v>
      </c>
      <c r="Y18">
        <v>3503.29</v>
      </c>
      <c r="Z18">
        <v>53.4</v>
      </c>
      <c r="AA18" t="s">
        <v>60</v>
      </c>
      <c r="AB18">
        <v>0</v>
      </c>
      <c r="AC18">
        <v>0</v>
      </c>
      <c r="AD18">
        <v>0</v>
      </c>
      <c r="AE18">
        <v>0</v>
      </c>
      <c r="AF18">
        <v>0</v>
      </c>
      <c r="AH18" t="s">
        <v>49</v>
      </c>
      <c r="AI18" t="s">
        <v>62</v>
      </c>
      <c r="AJ18">
        <v>7</v>
      </c>
      <c r="AK18">
        <v>27</v>
      </c>
      <c r="AL18" t="s">
        <v>51</v>
      </c>
    </row>
    <row r="19" spans="1:38">
      <c r="A19" t="s">
        <v>359</v>
      </c>
      <c r="B19" s="38">
        <v>45649</v>
      </c>
      <c r="C19" t="s">
        <v>360</v>
      </c>
      <c r="D19" t="s">
        <v>98</v>
      </c>
      <c r="E19" t="s">
        <v>114</v>
      </c>
      <c r="F19" t="s">
        <v>56</v>
      </c>
      <c r="G19" t="s">
        <v>361</v>
      </c>
      <c r="H19" t="s">
        <v>362</v>
      </c>
      <c r="I19" t="s">
        <v>59</v>
      </c>
      <c r="J19" t="s">
        <v>47</v>
      </c>
      <c r="K19">
        <v>9</v>
      </c>
      <c r="L19">
        <v>2432</v>
      </c>
      <c r="M19">
        <v>2157</v>
      </c>
      <c r="N19">
        <v>11.3</v>
      </c>
      <c r="O19">
        <v>19413</v>
      </c>
      <c r="P19">
        <v>2569.71</v>
      </c>
      <c r="Q19">
        <v>970.65</v>
      </c>
      <c r="R19">
        <v>0</v>
      </c>
      <c r="S19">
        <v>7619.47</v>
      </c>
      <c r="T19">
        <v>153.4</v>
      </c>
      <c r="U19">
        <v>0</v>
      </c>
      <c r="V19">
        <v>0</v>
      </c>
      <c r="X19">
        <v>19413</v>
      </c>
      <c r="Y19">
        <v>8099.77</v>
      </c>
      <c r="Z19">
        <v>41.7</v>
      </c>
      <c r="AA19" t="s">
        <v>60</v>
      </c>
      <c r="AB19">
        <v>12940</v>
      </c>
      <c r="AC19">
        <v>613</v>
      </c>
      <c r="AD19">
        <v>4.74</v>
      </c>
      <c r="AE19">
        <v>112</v>
      </c>
      <c r="AF19">
        <v>0.1</v>
      </c>
      <c r="AG19">
        <v>1</v>
      </c>
      <c r="AH19" t="s">
        <v>61</v>
      </c>
      <c r="AI19" t="s">
        <v>297</v>
      </c>
      <c r="AJ19">
        <v>3</v>
      </c>
      <c r="AK19">
        <v>101</v>
      </c>
      <c r="AL19" t="s">
        <v>51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069A-D103-4E1B-8C56-020797D6B915}">
  <dimension ref="A1:X592"/>
  <sheetViews>
    <sheetView showGridLines="0" showRowColHeaders="0" tabSelected="1" zoomScale="85" zoomScaleNormal="85" workbookViewId="0">
      <selection activeCell="K5" sqref="K5"/>
    </sheetView>
  </sheetViews>
  <sheetFormatPr defaultRowHeight="14.4"/>
  <cols>
    <col min="1" max="1" width="11.6640625" style="27" bestFit="1" customWidth="1"/>
    <col min="2" max="2" width="14" style="27" bestFit="1" customWidth="1"/>
    <col min="3" max="3" width="12.88671875" style="27" bestFit="1" customWidth="1"/>
    <col min="4" max="4" width="16.109375" style="27" bestFit="1" customWidth="1"/>
    <col min="5" max="5" width="14.5546875" style="27" bestFit="1" customWidth="1"/>
    <col min="6" max="6" width="13.6640625" style="27" customWidth="1"/>
    <col min="7" max="10" width="10.44140625" style="27" customWidth="1"/>
    <col min="11" max="13" width="11.44140625" style="27" customWidth="1"/>
    <col min="14" max="14" width="14.33203125" style="27" bestFit="1" customWidth="1"/>
    <col min="15" max="15" width="17.6640625" style="27" bestFit="1" customWidth="1"/>
    <col min="16" max="16" width="11.44140625" style="27" customWidth="1"/>
    <col min="17" max="17" width="18.33203125" style="27" bestFit="1" customWidth="1"/>
    <col min="18" max="23" width="11.44140625" style="27" customWidth="1"/>
    <col min="24" max="16384" width="8.88671875" style="27"/>
  </cols>
  <sheetData>
    <row r="1" spans="1:23" ht="14.4" customHeight="1">
      <c r="A1" s="49"/>
      <c r="B1" s="48"/>
      <c r="C1" s="48"/>
      <c r="D1" s="48"/>
      <c r="E1" s="48"/>
      <c r="F1" s="48"/>
      <c r="G1" s="53" t="s">
        <v>1258</v>
      </c>
      <c r="H1" s="54"/>
      <c r="I1" s="54"/>
      <c r="J1" s="54"/>
      <c r="K1" s="54"/>
      <c r="L1" s="54"/>
      <c r="M1" s="54"/>
      <c r="N1" s="54"/>
      <c r="O1" s="48"/>
      <c r="P1" s="48"/>
      <c r="Q1" s="48"/>
      <c r="R1" s="48"/>
      <c r="S1" s="48"/>
      <c r="T1" s="48"/>
      <c r="U1" s="48"/>
      <c r="V1" s="48"/>
      <c r="W1" s="48"/>
    </row>
    <row r="2" spans="1:23" ht="14.4" customHeight="1">
      <c r="A2" s="48"/>
      <c r="B2" s="48"/>
      <c r="C2" s="48"/>
      <c r="D2" s="48"/>
      <c r="E2" s="48"/>
      <c r="F2" s="48"/>
      <c r="G2" s="54"/>
      <c r="H2" s="54"/>
      <c r="I2" s="54"/>
      <c r="J2" s="54"/>
      <c r="K2" s="54"/>
      <c r="L2" s="54"/>
      <c r="M2" s="54"/>
      <c r="N2" s="54"/>
      <c r="O2" s="48"/>
      <c r="P2" s="48"/>
      <c r="Q2" s="48"/>
      <c r="R2" s="48"/>
      <c r="S2" s="48"/>
      <c r="T2" s="48"/>
      <c r="U2" s="48"/>
      <c r="V2" s="48"/>
      <c r="W2" s="48"/>
    </row>
    <row r="3" spans="1:23">
      <c r="G3" s="54"/>
      <c r="H3" s="54"/>
      <c r="I3" s="54"/>
      <c r="J3" s="54"/>
      <c r="K3" s="54"/>
      <c r="L3" s="54"/>
      <c r="M3" s="54"/>
      <c r="N3" s="54"/>
    </row>
    <row r="4" spans="1:23">
      <c r="A4" s="51"/>
      <c r="B4" s="51"/>
      <c r="C4" s="51"/>
      <c r="D4" s="51"/>
      <c r="E4" s="51"/>
      <c r="F4" s="51"/>
      <c r="G4" s="55"/>
      <c r="H4" s="55"/>
      <c r="I4" s="55"/>
      <c r="J4" s="55"/>
      <c r="K4" s="55"/>
      <c r="L4" s="55"/>
      <c r="M4" s="55"/>
      <c r="N4" s="55"/>
      <c r="O4" s="51"/>
      <c r="P4" s="51"/>
      <c r="Q4" s="51"/>
      <c r="R4" s="51"/>
      <c r="S4" s="51"/>
      <c r="T4" s="51"/>
      <c r="U4" s="51"/>
    </row>
    <row r="5" spans="1:23" s="50" customFormat="1">
      <c r="V5" s="58"/>
      <c r="W5" s="58"/>
    </row>
    <row r="6" spans="1:23">
      <c r="V6" s="57"/>
    </row>
    <row r="29" spans="24:24">
      <c r="X29" s="52"/>
    </row>
    <row r="69" spans="1:22">
      <c r="A69" s="27" t="s">
        <v>0</v>
      </c>
      <c r="B69" s="27" t="s">
        <v>1</v>
      </c>
      <c r="C69" s="27" t="s">
        <v>3</v>
      </c>
      <c r="D69" s="27" t="s">
        <v>1248</v>
      </c>
      <c r="E69" s="27" t="s">
        <v>1214</v>
      </c>
      <c r="F69" s="27" t="s">
        <v>1249</v>
      </c>
      <c r="G69" s="27" t="s">
        <v>1250</v>
      </c>
      <c r="H69" s="27" t="s">
        <v>1251</v>
      </c>
      <c r="I69" s="27" t="s">
        <v>1245</v>
      </c>
      <c r="J69" s="27" t="s">
        <v>1246</v>
      </c>
      <c r="K69" s="27" t="s">
        <v>1252</v>
      </c>
      <c r="L69" s="27" t="s">
        <v>1253</v>
      </c>
      <c r="M69" s="27" t="s">
        <v>1217</v>
      </c>
      <c r="N69" s="27" t="s">
        <v>1254</v>
      </c>
      <c r="O69" s="27" t="s">
        <v>1255</v>
      </c>
      <c r="P69" s="27" t="s">
        <v>1256</v>
      </c>
      <c r="Q69" s="27" t="s">
        <v>1257</v>
      </c>
      <c r="R69" s="27" t="s">
        <v>1259</v>
      </c>
      <c r="S69" s="27" t="s">
        <v>1260</v>
      </c>
      <c r="T69" s="27" t="s">
        <v>1261</v>
      </c>
      <c r="U69" s="27" t="s">
        <v>1262</v>
      </c>
      <c r="V69" s="27" t="s">
        <v>1263</v>
      </c>
    </row>
    <row r="70" spans="1:22">
      <c r="A70" s="45" t="str">
        <f>SalesData[[#This Row],[Order_ID]]</f>
        <v>ORD-1068</v>
      </c>
      <c r="B70" s="41" cm="1">
        <f t="array" ref="B70">INDEX(SalesData[Order_Date], ROW()-1)</f>
        <v>45030</v>
      </c>
      <c r="C70" s="40" t="str" cm="1">
        <f t="array" ref="C70">INDEX(SalesData[Category], ROW()-1)</f>
        <v>Office Supplies</v>
      </c>
      <c r="D70" s="40" t="str" cm="1">
        <f t="array" ref="D70">INDEX(SalesData[Product_Name],ROW()-1)</f>
        <v>Highlighter Set</v>
      </c>
      <c r="E70" s="40" t="str" cm="1">
        <f t="array" ref="E70">INDEX(SalesData[Customer_State],ROW()-1)</f>
        <v>Tamil Nadu</v>
      </c>
      <c r="F70" s="40" t="str" cm="1">
        <f t="array" ref="F70">INDEX(SalesData[Order_Status], ROW()-1)</f>
        <v>Delivered</v>
      </c>
      <c r="G70" s="40" t="str" cm="1">
        <f t="array" ref="G70">INDEX(SalesData[Fulfillment_Type], ROW()-1)</f>
        <v>FBA</v>
      </c>
      <c r="H70" s="40" cm="1">
        <f t="array" ref="H70">INDEX(SalesData[Units_Sold], ROW()-1)</f>
        <v>1</v>
      </c>
      <c r="I70" s="44" cm="1">
        <f t="array" ref="I70">INDEX(SalesData[Gross_Sales_INR], ROW()-1)</f>
        <v>606</v>
      </c>
      <c r="J70" s="43" cm="1">
        <f t="array" ref="J70">INDEX(SalesData[Net_Profit_INR], ROW()-1)</f>
        <v>-31.13</v>
      </c>
      <c r="K70" s="42" cm="1">
        <f t="array" ref="K70">INDEX(SalesData[Profit_Margin_%], ROW()-1)</f>
        <v>-5.0999999999999996</v>
      </c>
      <c r="L70" s="46" t="str" cm="1">
        <f t="array" ref="L70">IF(INDEX(SalesData[Customer_Rating], ROW()-1)="", "—",REPT("★", INDEX(SalesData[Customer_Rating], ROW()-1)) &amp; REPT("☆", 5-INDEX(SalesData[Customer_Rating], ROW()-1)))</f>
        <v>★★★★☆</v>
      </c>
      <c r="M70" s="40" t="str" cm="1">
        <f t="array" ref="M70">IF(INDEX(SalesData[Units_Sold],ROW()-1) &lt; 5, "⚠️ Reorder", "OK")</f>
        <v>⚠️ Reorder</v>
      </c>
      <c r="N70" s="40" t="str">
        <f t="shared" ref="N70:N75" si="0">IF(J2&gt;0, "Profit", IF(J2&lt;0, "Loss", "Breakeven"))</f>
        <v>Breakeven</v>
      </c>
      <c r="O70" s="47" t="str">
        <f>SalesData[[#This Row],[Ad_Type]]</f>
        <v>Sponsored Display</v>
      </c>
      <c r="P70" s="47" t="str">
        <f>SalesData[[#This Row],[Brand]]</f>
        <v>Prestige</v>
      </c>
      <c r="Q70" s="47" t="str">
        <f>SalesData[[#This Row],[Product_Name]]</f>
        <v>Highlighter Set</v>
      </c>
      <c r="R70" s="47"/>
      <c r="S70" s="47"/>
      <c r="T70" s="47"/>
      <c r="U70" s="47"/>
      <c r="V70" s="47"/>
    </row>
    <row r="71" spans="1:22">
      <c r="A71" s="45" t="str">
        <f>SalesData[[#This Row],[Order_ID]]</f>
        <v>ORD-1069</v>
      </c>
      <c r="B71" s="41" cm="1">
        <f t="array" ref="B71">INDEX(SalesData[Order_Date], ROW()-1)</f>
        <v>45293</v>
      </c>
      <c r="C71" s="40" t="str" cm="1">
        <f t="array" ref="C71">INDEX(SalesData[Category], ROW()-1)</f>
        <v>Fashion</v>
      </c>
      <c r="D71" s="40" t="str" cm="1">
        <f t="array" ref="D71">INDEX(SalesData[Product_Name],ROW()-1)</f>
        <v>Sunglasses</v>
      </c>
      <c r="E71" s="40" t="str" cm="1">
        <f t="array" ref="E71">INDEX(SalesData[Customer_State],ROW()-1)</f>
        <v>West Bengal</v>
      </c>
      <c r="F71" s="40" t="str" cm="1">
        <f t="array" ref="F71">INDEX(SalesData[Order_Status], ROW()-1)</f>
        <v>Delivered</v>
      </c>
      <c r="G71" s="40" t="str" cm="1">
        <f t="array" ref="G71">INDEX(SalesData[Fulfillment_Type], ROW()-1)</f>
        <v>FBA</v>
      </c>
      <c r="H71" s="40" cm="1">
        <f t="array" ref="H71">INDEX(SalesData[Units_Sold], ROW()-1)</f>
        <v>9</v>
      </c>
      <c r="I71" s="44" cm="1">
        <f t="array" ref="I71">INDEX(SalesData[Gross_Sales_INR], ROW()-1)</f>
        <v>23625</v>
      </c>
      <c r="J71" s="43" cm="1">
        <f t="array" ref="J71">INDEX(SalesData[Net_Profit_INR], ROW()-1)</f>
        <v>8070.81</v>
      </c>
      <c r="K71" s="42" cm="1">
        <f t="array" ref="K71">INDEX(SalesData[Profit_Margin_%], ROW()-1)</f>
        <v>34.200000000000003</v>
      </c>
      <c r="L71" s="46" t="str" cm="1">
        <f t="array" ref="L71">IF(INDEX(SalesData[Customer_Rating], ROW()-1)="", "—",REPT("★", INDEX(SalesData[Customer_Rating], ROW()-1)) &amp; REPT("☆", 5-INDEX(SalesData[Customer_Rating], ROW()-1)))</f>
        <v>★★★★★</v>
      </c>
      <c r="M71" s="40" t="str" cm="1">
        <f t="array" ref="M71">IF(INDEX(SalesData[Units_Sold],ROW()-1) &lt; 5, "⚠️ Reorder", "OK")</f>
        <v>OK</v>
      </c>
      <c r="N71" s="40" t="str">
        <f t="shared" si="0"/>
        <v>Breakeven</v>
      </c>
      <c r="O71" s="47" t="str">
        <f>SalesData[[#This Row],[Ad_Type]]</f>
        <v>None</v>
      </c>
      <c r="P71" s="47" t="str">
        <f>SalesData[[#This Row],[Brand]]</f>
        <v>Fastrack</v>
      </c>
      <c r="Q71" s="47" t="str">
        <f>SalesData[[#This Row],[Product_Name]]</f>
        <v>Sunglasses</v>
      </c>
      <c r="R71" s="47"/>
      <c r="S71" s="47"/>
      <c r="T71" s="47"/>
      <c r="U71" s="47"/>
      <c r="V71" s="47"/>
    </row>
    <row r="72" spans="1:22">
      <c r="A72" s="45" t="str">
        <f>SalesData[[#This Row],[Order_ID]]</f>
        <v>ORD-1070</v>
      </c>
      <c r="B72" s="41" cm="1">
        <f t="array" ref="B72">INDEX(SalesData[Order_Date], ROW()-1)</f>
        <v>45464</v>
      </c>
      <c r="C72" s="40" t="str" cm="1">
        <f t="array" ref="C72">INDEX(SalesData[Category], ROW()-1)</f>
        <v>Fashion</v>
      </c>
      <c r="D72" s="40" t="str" cm="1">
        <f t="array" ref="D72">INDEX(SalesData[Product_Name],ROW()-1)</f>
        <v>Sunglasses</v>
      </c>
      <c r="E72" s="40" t="str" cm="1">
        <f t="array" ref="E72">INDEX(SalesData[Customer_State],ROW()-1)</f>
        <v>West Bengal</v>
      </c>
      <c r="F72" s="40" t="str" cm="1">
        <f t="array" ref="F72">INDEX(SalesData[Order_Status], ROW()-1)</f>
        <v>Delivered</v>
      </c>
      <c r="G72" s="40" t="str" cm="1">
        <f t="array" ref="G72">INDEX(SalesData[Fulfillment_Type], ROW()-1)</f>
        <v>FBA</v>
      </c>
      <c r="H72" s="40" cm="1">
        <f t="array" ref="H72">INDEX(SalesData[Units_Sold], ROW()-1)</f>
        <v>2</v>
      </c>
      <c r="I72" s="44" cm="1">
        <f t="array" ref="I72">INDEX(SalesData[Gross_Sales_INR], ROW()-1)</f>
        <v>1730</v>
      </c>
      <c r="J72" s="43" cm="1">
        <f t="array" ref="J72">INDEX(SalesData[Net_Profit_INR], ROW()-1)</f>
        <v>238.97</v>
      </c>
      <c r="K72" s="42" cm="1">
        <f t="array" ref="K72">INDEX(SalesData[Profit_Margin_%], ROW()-1)</f>
        <v>13.8</v>
      </c>
      <c r="L72" s="46" t="str" cm="1">
        <f t="array" ref="L72">IF(INDEX(SalesData[Customer_Rating], ROW()-1)="", "—",REPT("★", INDEX(SalesData[Customer_Rating], ROW()-1)) &amp; REPT("☆", 5-INDEX(SalesData[Customer_Rating], ROW()-1)))</f>
        <v>★★★★★</v>
      </c>
      <c r="M72" s="40" t="str" cm="1">
        <f t="array" ref="M72">IF(INDEX(SalesData[Units_Sold],ROW()-1) &lt; 5, "⚠️ Reorder", "OK")</f>
        <v>⚠️ Reorder</v>
      </c>
      <c r="N72" s="40" t="str">
        <f t="shared" si="0"/>
        <v>Breakeven</v>
      </c>
      <c r="O72" s="47" t="str">
        <f>SalesData[[#This Row],[Ad_Type]]</f>
        <v>Sponsored Brands</v>
      </c>
      <c r="P72" s="47" t="str">
        <f>SalesData[[#This Row],[Brand]]</f>
        <v>Prestige</v>
      </c>
      <c r="Q72" s="47" t="str">
        <f>SalesData[[#This Row],[Product_Name]]</f>
        <v>Sunglasses</v>
      </c>
      <c r="R72" s="47"/>
      <c r="S72" s="47"/>
      <c r="T72" s="47"/>
      <c r="U72" s="47"/>
      <c r="V72" s="47"/>
    </row>
    <row r="73" spans="1:22">
      <c r="A73" s="45" t="str">
        <f>SalesData[[#This Row],[Order_ID]]</f>
        <v>ORD-1071</v>
      </c>
      <c r="B73" s="41" cm="1">
        <f t="array" ref="B73">INDEX(SalesData[Order_Date], ROW()-1)</f>
        <v>45236</v>
      </c>
      <c r="C73" s="40" t="str" cm="1">
        <f t="array" ref="C73">INDEX(SalesData[Category], ROW()-1)</f>
        <v>Home &amp; Kitchen</v>
      </c>
      <c r="D73" s="40" t="str" cm="1">
        <f t="array" ref="D73">INDEX(SalesData[Product_Name],ROW()-1)</f>
        <v>Water Bottle</v>
      </c>
      <c r="E73" s="40" t="str" cm="1">
        <f t="array" ref="E73">INDEX(SalesData[Customer_State],ROW()-1)</f>
        <v>Karnataka</v>
      </c>
      <c r="F73" s="40" t="str" cm="1">
        <f t="array" ref="F73">INDEX(SalesData[Order_Status], ROW()-1)</f>
        <v>Pending</v>
      </c>
      <c r="G73" s="40" t="str" cm="1">
        <f t="array" ref="G73">INDEX(SalesData[Fulfillment_Type], ROW()-1)</f>
        <v>FBM</v>
      </c>
      <c r="H73" s="40" cm="1">
        <f t="array" ref="H73">INDEX(SalesData[Units_Sold], ROW()-1)</f>
        <v>5</v>
      </c>
      <c r="I73" s="44" cm="1">
        <f t="array" ref="I73">INDEX(SalesData[Gross_Sales_INR], ROW()-1)</f>
        <v>19120</v>
      </c>
      <c r="J73" s="43" cm="1">
        <f t="array" ref="J73">INDEX(SalesData[Net_Profit_INR], ROW()-1)</f>
        <v>8826.83</v>
      </c>
      <c r="K73" s="42" cm="1">
        <f t="array" ref="K73">INDEX(SalesData[Profit_Margin_%], ROW()-1)</f>
        <v>46.2</v>
      </c>
      <c r="L73" s="46" t="str" cm="1">
        <f t="array" ref="L73">IF(INDEX(SalesData[Customer_Rating], ROW()-1)="", "—",REPT("★", INDEX(SalesData[Customer_Rating], ROW()-1)) &amp; REPT("☆", 5-INDEX(SalesData[Customer_Rating], ROW()-1)))</f>
        <v>—</v>
      </c>
      <c r="M73" s="40" t="str" cm="1">
        <f t="array" ref="M73">IF(INDEX(SalesData[Units_Sold],ROW()-1) &lt; 5, "⚠️ Reorder", "OK")</f>
        <v>OK</v>
      </c>
      <c r="N73" s="40" t="str">
        <f t="shared" si="0"/>
        <v>Breakeven</v>
      </c>
      <c r="O73" s="47" t="str">
        <f>SalesData[[#This Row],[Ad_Type]]</f>
        <v>None</v>
      </c>
      <c r="P73" s="47" t="str">
        <f>SalesData[[#This Row],[Brand]]</f>
        <v>Milton</v>
      </c>
      <c r="Q73" s="47" t="str">
        <f>SalesData[[#This Row],[Product_Name]]</f>
        <v>Water Bottle</v>
      </c>
      <c r="R73" s="47"/>
      <c r="S73" s="47"/>
      <c r="T73" s="47"/>
      <c r="U73" s="47"/>
      <c r="V73" s="47"/>
    </row>
    <row r="74" spans="1:22">
      <c r="A74" s="45" t="str">
        <f>SalesData[[#This Row],[Order_ID]]</f>
        <v>ORD-1072</v>
      </c>
      <c r="B74" s="41" cm="1">
        <f t="array" ref="B74">INDEX(SalesData[Order_Date], ROW()-1)</f>
        <v>45079</v>
      </c>
      <c r="C74" s="40" t="str" cm="1">
        <f t="array" ref="C74">INDEX(SalesData[Category], ROW()-1)</f>
        <v>Home &amp; Kitchen</v>
      </c>
      <c r="D74" s="40" t="str" cm="1">
        <f t="array" ref="D74">INDEX(SalesData[Product_Name],ROW()-1)</f>
        <v>Storage Box</v>
      </c>
      <c r="E74" s="40" t="str" cm="1">
        <f t="array" ref="E74">INDEX(SalesData[Customer_State],ROW()-1)</f>
        <v>Kerala</v>
      </c>
      <c r="F74" s="40" t="str" cm="1">
        <f t="array" ref="F74">INDEX(SalesData[Order_Status], ROW()-1)</f>
        <v>Cancelled</v>
      </c>
      <c r="G74" s="40" t="str" cm="1">
        <f t="array" ref="G74">INDEX(SalesData[Fulfillment_Type], ROW()-1)</f>
        <v>FBA</v>
      </c>
      <c r="H74" s="40" cm="1">
        <f t="array" ref="H74">INDEX(SalesData[Units_Sold], ROW()-1)</f>
        <v>4</v>
      </c>
      <c r="I74" s="44" cm="1">
        <f t="array" ref="I74">INDEX(SalesData[Gross_Sales_INR], ROW()-1)</f>
        <v>5308</v>
      </c>
      <c r="J74" s="43" cm="1">
        <f t="array" ref="J74">INDEX(SalesData[Net_Profit_INR], ROW()-1)</f>
        <v>1325.03</v>
      </c>
      <c r="K74" s="42" cm="1">
        <f t="array" ref="K74">INDEX(SalesData[Profit_Margin_%], ROW()-1)</f>
        <v>25</v>
      </c>
      <c r="L74" s="46" t="str" cm="1">
        <f t="array" ref="L74">IF(INDEX(SalesData[Customer_Rating], ROW()-1)="", "—",REPT("★", INDEX(SalesData[Customer_Rating], ROW()-1)) &amp; REPT("☆", 5-INDEX(SalesData[Customer_Rating], ROW()-1)))</f>
        <v>—</v>
      </c>
      <c r="M74" s="40" t="str" cm="1">
        <f t="array" ref="M74">IF(INDEX(SalesData[Units_Sold],ROW()-1) &lt; 5, "⚠️ Reorder", "OK")</f>
        <v>⚠️ Reorder</v>
      </c>
      <c r="N74" s="40" t="str">
        <f t="shared" si="0"/>
        <v>Breakeven</v>
      </c>
      <c r="O74" s="47" t="str">
        <f>SalesData[[#This Row],[Ad_Type]]</f>
        <v>Sponsored Products</v>
      </c>
      <c r="P74" s="47" t="str">
        <f>SalesData[[#This Row],[Brand]]</f>
        <v>Cello</v>
      </c>
      <c r="Q74" s="47" t="str">
        <f>SalesData[[#This Row],[Product_Name]]</f>
        <v>Storage Box</v>
      </c>
      <c r="R74" s="47"/>
      <c r="S74" s="47"/>
      <c r="T74" s="47"/>
      <c r="U74" s="47"/>
      <c r="V74" s="47"/>
    </row>
    <row r="75" spans="1:22">
      <c r="A75" s="45" t="str">
        <f>SalesData[[#This Row],[Order_ID]]</f>
        <v>ORD-1073</v>
      </c>
      <c r="B75" s="41" cm="1">
        <f t="array" ref="B75">INDEX(SalesData[Order_Date], ROW()-1)</f>
        <v>45650</v>
      </c>
      <c r="C75" s="40" t="str" cm="1">
        <f t="array" ref="C75">INDEX(SalesData[Category], ROW()-1)</f>
        <v>Electronics</v>
      </c>
      <c r="D75" s="40" t="str" cm="1">
        <f t="array" ref="D75">INDEX(SalesData[Product_Name],ROW()-1)</f>
        <v>Webcam</v>
      </c>
      <c r="E75" s="40" t="str" cm="1">
        <f t="array" ref="E75">INDEX(SalesData[Customer_State],ROW()-1)</f>
        <v>Bihar</v>
      </c>
      <c r="F75" s="40" t="str" cm="1">
        <f t="array" ref="F75">INDEX(SalesData[Order_Status], ROW()-1)</f>
        <v>Pending</v>
      </c>
      <c r="G75" s="40" t="str" cm="1">
        <f t="array" ref="G75">INDEX(SalesData[Fulfillment_Type], ROW()-1)</f>
        <v>FBM</v>
      </c>
      <c r="H75" s="40" cm="1">
        <f t="array" ref="H75">INDEX(SalesData[Units_Sold], ROW()-1)</f>
        <v>4</v>
      </c>
      <c r="I75" s="44" cm="1">
        <f t="array" ref="I75">INDEX(SalesData[Gross_Sales_INR], ROW()-1)</f>
        <v>6556</v>
      </c>
      <c r="J75" s="43" cm="1">
        <f t="array" ref="J75">INDEX(SalesData[Net_Profit_INR], ROW()-1)</f>
        <v>3503.29</v>
      </c>
      <c r="K75" s="42" cm="1">
        <f t="array" ref="K75">INDEX(SalesData[Profit_Margin_%], ROW()-1)</f>
        <v>53.4</v>
      </c>
      <c r="L75" s="46" t="str" cm="1">
        <f t="array" ref="L75">IF(INDEX(SalesData[Customer_Rating], ROW()-1)="", "—",REPT("★", INDEX(SalesData[Customer_Rating], ROW()-1)) &amp; REPT("☆", 5-INDEX(SalesData[Customer_Rating], ROW()-1)))</f>
        <v>—</v>
      </c>
      <c r="M75" s="40" t="str" cm="1">
        <f t="array" ref="M75">IF(INDEX(SalesData[Units_Sold],ROW()-1) &lt; 5, "⚠️ Reorder", "OK")</f>
        <v>⚠️ Reorder</v>
      </c>
      <c r="N75" s="40" t="str">
        <f t="shared" si="0"/>
        <v>Breakeven</v>
      </c>
      <c r="O75" s="47" t="str">
        <f>SalesData[[#This Row],[Ad_Type]]</f>
        <v>None</v>
      </c>
      <c r="P75" s="47" t="str">
        <f>SalesData[[#This Row],[Brand]]</f>
        <v>Cello</v>
      </c>
      <c r="Q75" s="47" t="str">
        <f>SalesData[[#This Row],[Product_Name]]</f>
        <v>Webcam</v>
      </c>
      <c r="R75" s="47"/>
      <c r="S75" s="47"/>
      <c r="T75" s="47"/>
      <c r="U75" s="47"/>
      <c r="V75" s="47"/>
    </row>
    <row r="76" spans="1:22">
      <c r="A76" s="45" t="str">
        <f>SalesData[[#This Row],[Order_ID]]</f>
        <v>ORD-1074</v>
      </c>
      <c r="B76" s="41" cm="1">
        <f t="array" ref="B76">INDEX(SalesData[Order_Date], ROW()-1)</f>
        <v>44950</v>
      </c>
      <c r="C76" s="40" t="str" cm="1">
        <f t="array" ref="C76">INDEX(SalesData[Category], ROW()-1)</f>
        <v>Sports</v>
      </c>
      <c r="D76" s="40" t="str" cm="1">
        <f t="array" ref="D76">INDEX(SalesData[Product_Name],ROW()-1)</f>
        <v>Running Belt</v>
      </c>
      <c r="E76" s="40" t="str" cm="1">
        <f t="array" ref="E76">INDEX(SalesData[Customer_State],ROW()-1)</f>
        <v>Telangana</v>
      </c>
      <c r="F76" s="40" t="str" cm="1">
        <f t="array" ref="F76">INDEX(SalesData[Order_Status], ROW()-1)</f>
        <v>Delivered</v>
      </c>
      <c r="G76" s="40" t="str" cm="1">
        <f t="array" ref="G76">INDEX(SalesData[Fulfillment_Type], ROW()-1)</f>
        <v>FBA</v>
      </c>
      <c r="H76" s="40" cm="1">
        <f t="array" ref="H76">INDEX(SalesData[Units_Sold], ROW()-1)</f>
        <v>5</v>
      </c>
      <c r="I76" s="44" cm="1">
        <f t="array" ref="I76">INDEX(SalesData[Gross_Sales_INR], ROW()-1)</f>
        <v>9295</v>
      </c>
      <c r="J76" s="43" cm="1">
        <f t="array" ref="J76">INDEX(SalesData[Net_Profit_INR], ROW()-1)</f>
        <v>2802.44</v>
      </c>
      <c r="K76" s="42" cm="1">
        <f t="array" ref="K76">INDEX(SalesData[Profit_Margin_%], ROW()-1)</f>
        <v>30.1</v>
      </c>
      <c r="L76" s="46" t="str" cm="1">
        <f t="array" ref="L76">IF(INDEX(SalesData[Customer_Rating], ROW()-1)="", "—",REPT("★", INDEX(SalesData[Customer_Rating], ROW()-1)) &amp; REPT("☆", 5-INDEX(SalesData[Customer_Rating], ROW()-1)))</f>
        <v>★★☆☆☆</v>
      </c>
      <c r="M76" s="40" t="str" cm="1">
        <f t="array" ref="M76">IF(INDEX(SalesData[Units_Sold],ROW()-1) &lt; 5, "⚠️ Reorder", "OK")</f>
        <v>OK</v>
      </c>
      <c r="N76" s="40" t="str">
        <f t="shared" ref="N76:N107" si="1">IF(J12&gt;0, "Profit", IF(J12&lt;0, "Loss", "Breakeven"))</f>
        <v>Breakeven</v>
      </c>
      <c r="O76" s="47" t="str">
        <f>SalesData[[#This Row],[Ad_Type]]</f>
        <v>Sponsored Display</v>
      </c>
      <c r="P76" s="47" t="str">
        <f>SalesData[[#This Row],[Brand]]</f>
        <v>Himalaya</v>
      </c>
      <c r="Q76" s="47" t="str">
        <f>SalesData[[#This Row],[Product_Name]]</f>
        <v>Running Belt</v>
      </c>
      <c r="R76" s="47"/>
      <c r="S76" s="47"/>
      <c r="T76" s="47"/>
      <c r="U76" s="47"/>
      <c r="V76" s="47"/>
    </row>
    <row r="77" spans="1:22">
      <c r="A77" s="45" t="str">
        <f>SalesData[[#This Row],[Order_ID]]</f>
        <v>ORD-1075</v>
      </c>
      <c r="B77" s="41" cm="1">
        <f t="array" ref="B77">INDEX(SalesData[Order_Date], ROW()-1)</f>
        <v>45497</v>
      </c>
      <c r="C77" s="40" t="str" cm="1">
        <f t="array" ref="C77">INDEX(SalesData[Category], ROW()-1)</f>
        <v>Electronics</v>
      </c>
      <c r="D77" s="40" t="str" cm="1">
        <f t="array" ref="D77">INDEX(SalesData[Product_Name],ROW()-1)</f>
        <v>Bluetooth Speaker</v>
      </c>
      <c r="E77" s="40" t="str" cm="1">
        <f t="array" ref="E77">INDEX(SalesData[Customer_State],ROW()-1)</f>
        <v>Karnataka</v>
      </c>
      <c r="F77" s="40" t="str" cm="1">
        <f t="array" ref="F77">INDEX(SalesData[Order_Status], ROW()-1)</f>
        <v>Delivered</v>
      </c>
      <c r="G77" s="40" t="str" cm="1">
        <f t="array" ref="G77">INDEX(SalesData[Fulfillment_Type], ROW()-1)</f>
        <v>FBA</v>
      </c>
      <c r="H77" s="40" cm="1">
        <f t="array" ref="H77">INDEX(SalesData[Units_Sold], ROW()-1)</f>
        <v>9</v>
      </c>
      <c r="I77" s="44" cm="1">
        <f t="array" ref="I77">INDEX(SalesData[Gross_Sales_INR], ROW()-1)</f>
        <v>19377</v>
      </c>
      <c r="J77" s="43" cm="1">
        <f t="array" ref="J77">INDEX(SalesData[Net_Profit_INR], ROW()-1)</f>
        <v>6749.39</v>
      </c>
      <c r="K77" s="42" cm="1">
        <f t="array" ref="K77">INDEX(SalesData[Profit_Margin_%], ROW()-1)</f>
        <v>34.799999999999997</v>
      </c>
      <c r="L77" s="46" t="str" cm="1">
        <f t="array" ref="L77">IF(INDEX(SalesData[Customer_Rating], ROW()-1)="", "—",REPT("★", INDEX(SalesData[Customer_Rating], ROW()-1)) &amp; REPT("☆", 5-INDEX(SalesData[Customer_Rating], ROW()-1)))</f>
        <v>★★★★☆</v>
      </c>
      <c r="M77" s="40" t="str" cm="1">
        <f t="array" ref="M77">IF(INDEX(SalesData[Units_Sold],ROW()-1) &lt; 5, "⚠️ Reorder", "OK")</f>
        <v>OK</v>
      </c>
      <c r="N77" s="40" t="str">
        <f t="shared" si="1"/>
        <v>Breakeven</v>
      </c>
      <c r="O77" s="47" t="str">
        <f>SalesData[[#This Row],[Ad_Type]]</f>
        <v>None</v>
      </c>
      <c r="P77" s="47" t="str">
        <f>SalesData[[#This Row],[Brand]]</f>
        <v>Wildcraft</v>
      </c>
      <c r="Q77" s="47" t="str">
        <f>SalesData[[#This Row],[Product_Name]]</f>
        <v>Bluetooth Speaker</v>
      </c>
      <c r="R77" s="47"/>
      <c r="S77" s="47"/>
      <c r="T77" s="47"/>
      <c r="U77" s="47"/>
      <c r="V77" s="47"/>
    </row>
    <row r="78" spans="1:22">
      <c r="A78" s="45" t="str">
        <f>SalesData[[#This Row],[Order_ID]]</f>
        <v>ORD-1076</v>
      </c>
      <c r="B78" s="41" cm="1">
        <f t="array" ref="B78">INDEX(SalesData[Order_Date], ROW()-1)</f>
        <v>44950</v>
      </c>
      <c r="C78" s="40" t="str" cm="1">
        <f t="array" ref="C78">INDEX(SalesData[Category], ROW()-1)</f>
        <v>Home &amp; Kitchen</v>
      </c>
      <c r="D78" s="40" t="str" cm="1">
        <f t="array" ref="D78">INDEX(SalesData[Product_Name],ROW()-1)</f>
        <v>Knife Set</v>
      </c>
      <c r="E78" s="40" t="str" cm="1">
        <f t="array" ref="E78">INDEX(SalesData[Customer_State],ROW()-1)</f>
        <v>Rajasthan</v>
      </c>
      <c r="F78" s="40" t="str" cm="1">
        <f t="array" ref="F78">INDEX(SalesData[Order_Status], ROW()-1)</f>
        <v>Delivered</v>
      </c>
      <c r="G78" s="40" t="str" cm="1">
        <f t="array" ref="G78">INDEX(SalesData[Fulfillment_Type], ROW()-1)</f>
        <v>FBA</v>
      </c>
      <c r="H78" s="40" cm="1">
        <f t="array" ref="H78">INDEX(SalesData[Units_Sold], ROW()-1)</f>
        <v>7</v>
      </c>
      <c r="I78" s="44" cm="1">
        <f t="array" ref="I78">INDEX(SalesData[Gross_Sales_INR], ROW()-1)</f>
        <v>24409</v>
      </c>
      <c r="J78" s="43" cm="1">
        <f t="array" ref="J78">INDEX(SalesData[Net_Profit_INR], ROW()-1)</f>
        <v>11426.22</v>
      </c>
      <c r="K78" s="42" cm="1">
        <f t="array" ref="K78">INDEX(SalesData[Profit_Margin_%], ROW()-1)</f>
        <v>46.8</v>
      </c>
      <c r="L78" s="46" t="str" cm="1">
        <f t="array" ref="L78">IF(INDEX(SalesData[Customer_Rating], ROW()-1)="", "—",REPT("★", INDEX(SalesData[Customer_Rating], ROW()-1)) &amp; REPT("☆", 5-INDEX(SalesData[Customer_Rating], ROW()-1)))</f>
        <v>★★★★★</v>
      </c>
      <c r="M78" s="40" t="str" cm="1">
        <f t="array" ref="M78">IF(INDEX(SalesData[Units_Sold],ROW()-1) &lt; 5, "⚠️ Reorder", "OK")</f>
        <v>OK</v>
      </c>
      <c r="N78" s="40" t="str">
        <f t="shared" si="1"/>
        <v>Breakeven</v>
      </c>
      <c r="O78" s="47" t="str">
        <f>SalesData[[#This Row],[Ad_Type]]</f>
        <v>None</v>
      </c>
      <c r="P78" s="47" t="str">
        <f>SalesData[[#This Row],[Brand]]</f>
        <v>Decathlon</v>
      </c>
      <c r="Q78" s="47" t="str">
        <f>SalesData[[#This Row],[Product_Name]]</f>
        <v>Knife Set</v>
      </c>
      <c r="R78" s="47"/>
      <c r="S78" s="47"/>
      <c r="T78" s="47"/>
      <c r="U78" s="47"/>
      <c r="V78" s="47"/>
    </row>
    <row r="79" spans="1:22">
      <c r="A79" s="45" t="str">
        <f>SalesData[[#This Row],[Order_ID]]</f>
        <v>ORD-1077</v>
      </c>
      <c r="B79" s="41" cm="1">
        <f t="array" ref="B79">INDEX(SalesData[Order_Date], ROW()-1)</f>
        <v>45337</v>
      </c>
      <c r="C79" s="40" t="str" cm="1">
        <f t="array" ref="C79">INDEX(SalesData[Category], ROW()-1)</f>
        <v>Fashion</v>
      </c>
      <c r="D79" s="40" t="str" cm="1">
        <f t="array" ref="D79">INDEX(SalesData[Product_Name],ROW()-1)</f>
        <v>Watch Strap</v>
      </c>
      <c r="E79" s="40" t="str" cm="1">
        <f t="array" ref="E79">INDEX(SalesData[Customer_State],ROW()-1)</f>
        <v>Telangana</v>
      </c>
      <c r="F79" s="40" t="str" cm="1">
        <f t="array" ref="F79">INDEX(SalesData[Order_Status], ROW()-1)</f>
        <v>In Transit</v>
      </c>
      <c r="G79" s="40" t="str" cm="1">
        <f t="array" ref="G79">INDEX(SalesData[Fulfillment_Type], ROW()-1)</f>
        <v>FBA</v>
      </c>
      <c r="H79" s="40" cm="1">
        <f t="array" ref="H79">INDEX(SalesData[Units_Sold], ROW()-1)</f>
        <v>5</v>
      </c>
      <c r="I79" s="44" cm="1">
        <f t="array" ref="I79">INDEX(SalesData[Gross_Sales_INR], ROW()-1)</f>
        <v>16835</v>
      </c>
      <c r="J79" s="43" cm="1">
        <f t="array" ref="J79">INDEX(SalesData[Net_Profit_INR], ROW()-1)</f>
        <v>7960.75</v>
      </c>
      <c r="K79" s="42" cm="1">
        <f t="array" ref="K79">INDEX(SalesData[Profit_Margin_%], ROW()-1)</f>
        <v>47.3</v>
      </c>
      <c r="L79" s="46" t="str" cm="1">
        <f t="array" ref="L79">IF(INDEX(SalesData[Customer_Rating], ROW()-1)="", "—",REPT("★", INDEX(SalesData[Customer_Rating], ROW()-1)) &amp; REPT("☆", 5-INDEX(SalesData[Customer_Rating], ROW()-1)))</f>
        <v>—</v>
      </c>
      <c r="M79" s="40" t="str" cm="1">
        <f t="array" ref="M79">IF(INDEX(SalesData[Units_Sold],ROW()-1) &lt; 5, "⚠️ Reorder", "OK")</f>
        <v>OK</v>
      </c>
      <c r="N79" s="40" t="str">
        <f t="shared" si="1"/>
        <v>Breakeven</v>
      </c>
      <c r="O79" s="47" t="str">
        <f>SalesData[[#This Row],[Ad_Type]]</f>
        <v>None</v>
      </c>
      <c r="P79" s="47" t="str">
        <f>SalesData[[#This Row],[Brand]]</f>
        <v>Himalaya</v>
      </c>
      <c r="Q79" s="47" t="str">
        <f>SalesData[[#This Row],[Product_Name]]</f>
        <v>Watch Strap</v>
      </c>
      <c r="R79" s="47"/>
      <c r="S79" s="47"/>
      <c r="T79" s="47"/>
      <c r="U79" s="47"/>
      <c r="V79" s="47"/>
    </row>
    <row r="80" spans="1:22">
      <c r="A80" s="45" t="str">
        <f>SalesData[[#This Row],[Order_ID]]</f>
        <v>ORD-1078</v>
      </c>
      <c r="B80" s="41" cm="1">
        <f t="array" ref="B80">INDEX(SalesData[Order_Date], ROW()-1)</f>
        <v>45508</v>
      </c>
      <c r="C80" s="40" t="str" cm="1">
        <f t="array" ref="C80">INDEX(SalesData[Category], ROW()-1)</f>
        <v>Home &amp; Kitchen</v>
      </c>
      <c r="D80" s="40" t="str" cm="1">
        <f t="array" ref="D80">INDEX(SalesData[Product_Name],ROW()-1)</f>
        <v>Coffee Mug</v>
      </c>
      <c r="E80" s="40" t="str" cm="1">
        <f t="array" ref="E80">INDEX(SalesData[Customer_State],ROW()-1)</f>
        <v>Rajasthan</v>
      </c>
      <c r="F80" s="40" t="str" cm="1">
        <f t="array" ref="F80">INDEX(SalesData[Order_Status], ROW()-1)</f>
        <v>Delivered</v>
      </c>
      <c r="G80" s="40" t="str" cm="1">
        <f t="array" ref="G80">INDEX(SalesData[Fulfillment_Type], ROW()-1)</f>
        <v>FBM</v>
      </c>
      <c r="H80" s="40" cm="1">
        <f t="array" ref="H80">INDEX(SalesData[Units_Sold], ROW()-1)</f>
        <v>6</v>
      </c>
      <c r="I80" s="44" cm="1">
        <f t="array" ref="I80">INDEX(SalesData[Gross_Sales_INR], ROW()-1)</f>
        <v>14208</v>
      </c>
      <c r="J80" s="43" cm="1">
        <f t="array" ref="J80">INDEX(SalesData[Net_Profit_INR], ROW()-1)</f>
        <v>4613.3100000000004</v>
      </c>
      <c r="K80" s="42" cm="1">
        <f t="array" ref="K80">INDEX(SalesData[Profit_Margin_%], ROW()-1)</f>
        <v>32.5</v>
      </c>
      <c r="L80" s="46" t="str" cm="1">
        <f t="array" ref="L80">IF(INDEX(SalesData[Customer_Rating], ROW()-1)="", "—",REPT("★", INDEX(SalesData[Customer_Rating], ROW()-1)) &amp; REPT("☆", 5-INDEX(SalesData[Customer_Rating], ROW()-1)))</f>
        <v>★★☆☆☆</v>
      </c>
      <c r="M80" s="40" t="str" cm="1">
        <f t="array" ref="M80">IF(INDEX(SalesData[Units_Sold],ROW()-1) &lt; 5, "⚠️ Reorder", "OK")</f>
        <v>OK</v>
      </c>
      <c r="N80" s="40" t="str">
        <f t="shared" si="1"/>
        <v>Breakeven</v>
      </c>
      <c r="O80" s="47" t="str">
        <f>SalesData[[#This Row],[Ad_Type]]</f>
        <v>Sponsored Brands</v>
      </c>
      <c r="P80" s="47" t="str">
        <f>SalesData[[#This Row],[Brand]]</f>
        <v>Cello</v>
      </c>
      <c r="Q80" s="47" t="str">
        <f>SalesData[[#This Row],[Product_Name]]</f>
        <v>Coffee Mug</v>
      </c>
      <c r="R80" s="47"/>
      <c r="S80" s="47"/>
      <c r="T80" s="47"/>
      <c r="U80" s="47"/>
      <c r="V80" s="47"/>
    </row>
    <row r="81" spans="1:22">
      <c r="A81" s="45" t="str">
        <f>SalesData[[#This Row],[Order_ID]]</f>
        <v>ORD-1079</v>
      </c>
      <c r="B81" s="41" cm="1">
        <f t="array" ref="B81">INDEX(SalesData[Order_Date], ROW()-1)</f>
        <v>45291</v>
      </c>
      <c r="C81" s="40" t="str" cm="1">
        <f t="array" ref="C81">INDEX(SalesData[Category], ROW()-1)</f>
        <v>Office Supplies</v>
      </c>
      <c r="D81" s="40" t="str" cm="1">
        <f t="array" ref="D81">INDEX(SalesData[Product_Name],ROW()-1)</f>
        <v>Stapler</v>
      </c>
      <c r="E81" s="40" t="str" cm="1">
        <f t="array" ref="E81">INDEX(SalesData[Customer_State],ROW()-1)</f>
        <v>Madhya Pradesh</v>
      </c>
      <c r="F81" s="40" t="str" cm="1">
        <f t="array" ref="F81">INDEX(SalesData[Order_Status], ROW()-1)</f>
        <v>Returned</v>
      </c>
      <c r="G81" s="40" t="str" cm="1">
        <f t="array" ref="G81">INDEX(SalesData[Fulfillment_Type], ROW()-1)</f>
        <v>FBM</v>
      </c>
      <c r="H81" s="40" cm="1">
        <f t="array" ref="H81">INDEX(SalesData[Units_Sold], ROW()-1)</f>
        <v>5</v>
      </c>
      <c r="I81" s="44" cm="1">
        <f t="array" ref="I81">INDEX(SalesData[Gross_Sales_INR], ROW()-1)</f>
        <v>9360</v>
      </c>
      <c r="J81" s="43" cm="1">
        <f t="array" ref="J81">INDEX(SalesData[Net_Profit_INR], ROW()-1)</f>
        <v>-1704.94</v>
      </c>
      <c r="K81" s="42" cm="1">
        <f t="array" ref="K81">INDEX(SalesData[Profit_Margin_%], ROW()-1)</f>
        <v>-45.5</v>
      </c>
      <c r="L81" s="46" t="str" cm="1">
        <f t="array" ref="L81">IF(INDEX(SalesData[Customer_Rating], ROW()-1)="", "—",REPT("★", INDEX(SalesData[Customer_Rating], ROW()-1)) &amp; REPT("☆", 5-INDEX(SalesData[Customer_Rating], ROW()-1)))</f>
        <v>—</v>
      </c>
      <c r="M81" s="40" t="str" cm="1">
        <f t="array" ref="M81">IF(INDEX(SalesData[Units_Sold],ROW()-1) &lt; 5, "⚠️ Reorder", "OK")</f>
        <v>OK</v>
      </c>
      <c r="N81" s="40" t="str">
        <f t="shared" si="1"/>
        <v>Breakeven</v>
      </c>
      <c r="O81" s="47" t="str">
        <f>SalesData[[#This Row],[Ad_Type]]</f>
        <v>None</v>
      </c>
      <c r="P81" s="47" t="str">
        <f>SalesData[[#This Row],[Brand]]</f>
        <v>Himalaya</v>
      </c>
      <c r="Q81" s="47" t="str">
        <f>SalesData[[#This Row],[Product_Name]]</f>
        <v>Stapler</v>
      </c>
      <c r="R81" s="47"/>
      <c r="S81" s="47"/>
      <c r="T81" s="47"/>
      <c r="U81" s="47"/>
      <c r="V81" s="47"/>
    </row>
    <row r="82" spans="1:22">
      <c r="A82" s="45" t="str">
        <f>SalesData[[#This Row],[Order_ID]]</f>
        <v>ORD-1080</v>
      </c>
      <c r="B82" s="41" cm="1">
        <f t="array" ref="B82">INDEX(SalesData[Order_Date], ROW()-1)</f>
        <v>45578</v>
      </c>
      <c r="C82" s="40" t="str" cm="1">
        <f t="array" ref="C82">INDEX(SalesData[Category], ROW()-1)</f>
        <v>Fashion</v>
      </c>
      <c r="D82" s="40" t="str" cm="1">
        <f t="array" ref="D82">INDEX(SalesData[Product_Name],ROW()-1)</f>
        <v>Watch Strap</v>
      </c>
      <c r="E82" s="40" t="str" cm="1">
        <f t="array" ref="E82">INDEX(SalesData[Customer_State],ROW()-1)</f>
        <v>Kerala</v>
      </c>
      <c r="F82" s="40" t="str" cm="1">
        <f t="array" ref="F82">INDEX(SalesData[Order_Status], ROW()-1)</f>
        <v>In Transit</v>
      </c>
      <c r="G82" s="40" t="str" cm="1">
        <f t="array" ref="G82">INDEX(SalesData[Fulfillment_Type], ROW()-1)</f>
        <v>FBA</v>
      </c>
      <c r="H82" s="40" cm="1">
        <f t="array" ref="H82">INDEX(SalesData[Units_Sold], ROW()-1)</f>
        <v>5</v>
      </c>
      <c r="I82" s="44" cm="1">
        <f t="array" ref="I82">INDEX(SalesData[Gross_Sales_INR], ROW()-1)</f>
        <v>1135</v>
      </c>
      <c r="J82" s="43" cm="1">
        <f t="array" ref="J82">INDEX(SalesData[Net_Profit_INR], ROW()-1)</f>
        <v>29.8</v>
      </c>
      <c r="K82" s="42" cm="1">
        <f t="array" ref="K82">INDEX(SalesData[Profit_Margin_%], ROW()-1)</f>
        <v>2.6</v>
      </c>
      <c r="L82" s="46" t="str" cm="1">
        <f t="array" ref="L82">IF(INDEX(SalesData[Customer_Rating], ROW()-1)="", "—",REPT("★", INDEX(SalesData[Customer_Rating], ROW()-1)) &amp; REPT("☆", 5-INDEX(SalesData[Customer_Rating], ROW()-1)))</f>
        <v>—</v>
      </c>
      <c r="M82" s="40" t="str" cm="1">
        <f t="array" ref="M82">IF(INDEX(SalesData[Units_Sold],ROW()-1) &lt; 5, "⚠️ Reorder", "OK")</f>
        <v>OK</v>
      </c>
      <c r="N82" s="40" t="str">
        <f t="shared" si="1"/>
        <v>Breakeven</v>
      </c>
      <c r="O82" s="47" t="str">
        <f>SalesData[[#This Row],[Ad_Type]]</f>
        <v>Sponsored Products</v>
      </c>
      <c r="P82" s="47" t="str">
        <f>SalesData[[#This Row],[Brand]]</f>
        <v>Mamaearth</v>
      </c>
      <c r="Q82" s="47" t="str">
        <f>SalesData[[#This Row],[Product_Name]]</f>
        <v>Watch Strap</v>
      </c>
      <c r="R82" s="47"/>
      <c r="S82" s="47"/>
      <c r="T82" s="47"/>
      <c r="U82" s="47"/>
      <c r="V82" s="47"/>
    </row>
    <row r="83" spans="1:22">
      <c r="A83" s="45" t="str">
        <f>SalesData[[#This Row],[Order_ID]]</f>
        <v>ORD-1081</v>
      </c>
      <c r="B83" s="41" cm="1">
        <f t="array" ref="B83">INDEX(SalesData[Order_Date], ROW()-1)</f>
        <v>45620</v>
      </c>
      <c r="C83" s="40" t="str" cm="1">
        <f t="array" ref="C83">INDEX(SalesData[Category], ROW()-1)</f>
        <v>Fashion</v>
      </c>
      <c r="D83" s="40" t="str" cm="1">
        <f t="array" ref="D83">INDEX(SalesData[Product_Name],ROW()-1)</f>
        <v>Women's Kurti</v>
      </c>
      <c r="E83" s="40" t="str" cm="1">
        <f t="array" ref="E83">INDEX(SalesData[Customer_State],ROW()-1)</f>
        <v>West Bengal</v>
      </c>
      <c r="F83" s="40" t="str" cm="1">
        <f t="array" ref="F83">INDEX(SalesData[Order_Status], ROW()-1)</f>
        <v>Delivered</v>
      </c>
      <c r="G83" s="40" t="str" cm="1">
        <f t="array" ref="G83">INDEX(SalesData[Fulfillment_Type], ROW()-1)</f>
        <v>FBA</v>
      </c>
      <c r="H83" s="40" cm="1">
        <f t="array" ref="H83">INDEX(SalesData[Units_Sold], ROW()-1)</f>
        <v>3</v>
      </c>
      <c r="I83" s="44" cm="1">
        <f t="array" ref="I83">INDEX(SalesData[Gross_Sales_INR], ROW()-1)</f>
        <v>9954</v>
      </c>
      <c r="J83" s="43" cm="1">
        <f t="array" ref="J83">INDEX(SalesData[Net_Profit_INR], ROW()-1)</f>
        <v>2752.53</v>
      </c>
      <c r="K83" s="42" cm="1">
        <f t="array" ref="K83">INDEX(SalesData[Profit_Margin_%], ROW()-1)</f>
        <v>27.7</v>
      </c>
      <c r="L83" s="46" t="str" cm="1">
        <f t="array" ref="L83">IF(INDEX(SalesData[Customer_Rating], ROW()-1)="", "—",REPT("★", INDEX(SalesData[Customer_Rating], ROW()-1)) &amp; REPT("☆", 5-INDEX(SalesData[Customer_Rating], ROW()-1)))</f>
        <v>★★★★☆</v>
      </c>
      <c r="M83" s="40" t="str" cm="1">
        <f t="array" ref="M83">IF(INDEX(SalesData[Units_Sold],ROW()-1) &lt; 5, "⚠️ Reorder", "OK")</f>
        <v>⚠️ Reorder</v>
      </c>
      <c r="N83" s="40" t="str">
        <f t="shared" si="1"/>
        <v>Breakeven</v>
      </c>
      <c r="O83" s="47" t="str">
        <f>SalesData[[#This Row],[Ad_Type]]</f>
        <v>None</v>
      </c>
      <c r="P83" s="47" t="str">
        <f>SalesData[[#This Row],[Brand]]</f>
        <v>Milton</v>
      </c>
      <c r="Q83" s="47" t="str">
        <f>SalesData[[#This Row],[Product_Name]]</f>
        <v>Women's Kurti</v>
      </c>
      <c r="R83" s="47"/>
      <c r="S83" s="47"/>
      <c r="T83" s="47"/>
      <c r="U83" s="47"/>
      <c r="V83" s="47"/>
    </row>
    <row r="84" spans="1:22">
      <c r="A84" s="45" t="str">
        <f>SalesData[[#This Row],[Order_ID]]</f>
        <v>ORD-1082</v>
      </c>
      <c r="B84" s="41" cm="1">
        <f t="array" ref="B84">INDEX(SalesData[Order_Date], ROW()-1)</f>
        <v>45448</v>
      </c>
      <c r="C84" s="40" t="str" cm="1">
        <f t="array" ref="C84">INDEX(SalesData[Category], ROW()-1)</f>
        <v>Fashion</v>
      </c>
      <c r="D84" s="40" t="str" cm="1">
        <f t="array" ref="D84">INDEX(SalesData[Product_Name],ROW()-1)</f>
        <v>Watch Strap</v>
      </c>
      <c r="E84" s="40" t="str" cm="1">
        <f t="array" ref="E84">INDEX(SalesData[Customer_State],ROW()-1)</f>
        <v>Gujarat</v>
      </c>
      <c r="F84" s="40" t="str" cm="1">
        <f t="array" ref="F84">INDEX(SalesData[Order_Status], ROW()-1)</f>
        <v>Delivered</v>
      </c>
      <c r="G84" s="40" t="str" cm="1">
        <f t="array" ref="G84">INDEX(SalesData[Fulfillment_Type], ROW()-1)</f>
        <v>FBM</v>
      </c>
      <c r="H84" s="40" cm="1">
        <f t="array" ref="H84">INDEX(SalesData[Units_Sold], ROW()-1)</f>
        <v>8</v>
      </c>
      <c r="I84" s="44" cm="1">
        <f t="array" ref="I84">INDEX(SalesData[Gross_Sales_INR], ROW()-1)</f>
        <v>33544</v>
      </c>
      <c r="J84" s="43" cm="1">
        <f t="array" ref="J84">INDEX(SalesData[Net_Profit_INR], ROW()-1)</f>
        <v>15225.73</v>
      </c>
      <c r="K84" s="42" cm="1">
        <f t="array" ref="K84">INDEX(SalesData[Profit_Margin_%], ROW()-1)</f>
        <v>45.4</v>
      </c>
      <c r="L84" s="46" t="str" cm="1">
        <f t="array" ref="L84">IF(INDEX(SalesData[Customer_Rating], ROW()-1)="", "—",REPT("★", INDEX(SalesData[Customer_Rating], ROW()-1)) &amp; REPT("☆", 5-INDEX(SalesData[Customer_Rating], ROW()-1)))</f>
        <v>★☆☆☆☆</v>
      </c>
      <c r="M84" s="40" t="str" cm="1">
        <f t="array" ref="M84">IF(INDEX(SalesData[Units_Sold],ROW()-1) &lt; 5, "⚠️ Reorder", "OK")</f>
        <v>OK</v>
      </c>
      <c r="N84" s="40" t="str">
        <f t="shared" si="1"/>
        <v>Breakeven</v>
      </c>
      <c r="O84" s="47" t="str">
        <f>SalesData[[#This Row],[Ad_Type]]</f>
        <v>None</v>
      </c>
      <c r="P84" s="47" t="str">
        <f>SalesData[[#This Row],[Brand]]</f>
        <v>Cello</v>
      </c>
      <c r="Q84" s="47" t="str">
        <f>SalesData[[#This Row],[Product_Name]]</f>
        <v>Watch Strap</v>
      </c>
      <c r="R84" s="47"/>
      <c r="S84" s="47"/>
      <c r="T84" s="47"/>
      <c r="U84" s="47"/>
      <c r="V84" s="47"/>
    </row>
    <row r="85" spans="1:22">
      <c r="A85" s="45" t="str">
        <f>SalesData[[#This Row],[Order_ID]]</f>
        <v>ORD-1083</v>
      </c>
      <c r="B85" s="41" cm="1">
        <f t="array" ref="B85">INDEX(SalesData[Order_Date], ROW()-1)</f>
        <v>44962</v>
      </c>
      <c r="C85" s="40" t="str" cm="1">
        <f t="array" ref="C85">INDEX(SalesData[Category], ROW()-1)</f>
        <v>Office Supplies</v>
      </c>
      <c r="D85" s="40" t="str" cm="1">
        <f t="array" ref="D85">INDEX(SalesData[Product_Name],ROW()-1)</f>
        <v>Notebook</v>
      </c>
      <c r="E85" s="40" t="str" cm="1">
        <f t="array" ref="E85">INDEX(SalesData[Customer_State],ROW()-1)</f>
        <v>Maharashtra</v>
      </c>
      <c r="F85" s="40" t="str" cm="1">
        <f t="array" ref="F85">INDEX(SalesData[Order_Status], ROW()-1)</f>
        <v>In Transit</v>
      </c>
      <c r="G85" s="40" t="str" cm="1">
        <f t="array" ref="G85">INDEX(SalesData[Fulfillment_Type], ROW()-1)</f>
        <v>FBM</v>
      </c>
      <c r="H85" s="40" cm="1">
        <f t="array" ref="H85">INDEX(SalesData[Units_Sold], ROW()-1)</f>
        <v>3</v>
      </c>
      <c r="I85" s="44" cm="1">
        <f t="array" ref="I85">INDEX(SalesData[Gross_Sales_INR], ROW()-1)</f>
        <v>6684</v>
      </c>
      <c r="J85" s="43" cm="1">
        <f t="array" ref="J85">INDEX(SalesData[Net_Profit_INR], ROW()-1)</f>
        <v>2382.0300000000002</v>
      </c>
      <c r="K85" s="42" cm="1">
        <f t="array" ref="K85">INDEX(SalesData[Profit_Margin_%], ROW()-1)</f>
        <v>35.6</v>
      </c>
      <c r="L85" s="46" t="str" cm="1">
        <f t="array" ref="L85">IF(INDEX(SalesData[Customer_Rating], ROW()-1)="", "—",REPT("★", INDEX(SalesData[Customer_Rating], ROW()-1)) &amp; REPT("☆", 5-INDEX(SalesData[Customer_Rating], ROW()-1)))</f>
        <v>—</v>
      </c>
      <c r="M85" s="40" t="str" cm="1">
        <f t="array" ref="M85">IF(INDEX(SalesData[Units_Sold],ROW()-1) &lt; 5, "⚠️ Reorder", "OK")</f>
        <v>⚠️ Reorder</v>
      </c>
      <c r="N85" s="40" t="str">
        <f t="shared" si="1"/>
        <v>Breakeven</v>
      </c>
      <c r="O85" s="47" t="str">
        <f>SalesData[[#This Row],[Ad_Type]]</f>
        <v>None</v>
      </c>
      <c r="P85" s="47" t="str">
        <f>SalesData[[#This Row],[Brand]]</f>
        <v>Noise</v>
      </c>
      <c r="Q85" s="47" t="str">
        <f>SalesData[[#This Row],[Product_Name]]</f>
        <v>Notebook</v>
      </c>
      <c r="R85" s="47"/>
      <c r="S85" s="47"/>
      <c r="T85" s="47"/>
      <c r="U85" s="47"/>
      <c r="V85" s="47"/>
    </row>
    <row r="86" spans="1:22">
      <c r="A86" s="45" t="str">
        <f>SalesData[[#This Row],[Order_ID]]</f>
        <v>ORD-1084</v>
      </c>
      <c r="B86" s="41" cm="1">
        <f t="array" ref="B86">INDEX(SalesData[Order_Date], ROW()-1)</f>
        <v>45624</v>
      </c>
      <c r="C86" s="40" t="str" cm="1">
        <f t="array" ref="C86">INDEX(SalesData[Category], ROW()-1)</f>
        <v>Beauty</v>
      </c>
      <c r="D86" s="40" t="str" cm="1">
        <f t="array" ref="D86">INDEX(SalesData[Product_Name],ROW()-1)</f>
        <v>Hair Oil</v>
      </c>
      <c r="E86" s="40" t="str" cm="1">
        <f t="array" ref="E86">INDEX(SalesData[Customer_State],ROW()-1)</f>
        <v>Madhya Pradesh</v>
      </c>
      <c r="F86" s="40" t="str" cm="1">
        <f t="array" ref="F86">INDEX(SalesData[Order_Status], ROW()-1)</f>
        <v>In Transit</v>
      </c>
      <c r="G86" s="40" t="str" cm="1">
        <f t="array" ref="G86">INDEX(SalesData[Fulfillment_Type], ROW()-1)</f>
        <v>FBM</v>
      </c>
      <c r="H86" s="40" cm="1">
        <f t="array" ref="H86">INDEX(SalesData[Units_Sold], ROW()-1)</f>
        <v>6</v>
      </c>
      <c r="I86" s="44" cm="1">
        <f t="array" ref="I86">INDEX(SalesData[Gross_Sales_INR], ROW()-1)</f>
        <v>13704</v>
      </c>
      <c r="J86" s="43" cm="1">
        <f t="array" ref="J86">INDEX(SalesData[Net_Profit_INR], ROW()-1)</f>
        <v>5244.39</v>
      </c>
      <c r="K86" s="42" cm="1">
        <f t="array" ref="K86">INDEX(SalesData[Profit_Margin_%], ROW()-1)</f>
        <v>38.299999999999997</v>
      </c>
      <c r="L86" s="46" t="str" cm="1">
        <f t="array" ref="L86">IF(INDEX(SalesData[Customer_Rating], ROW()-1)="", "—",REPT("★", INDEX(SalesData[Customer_Rating], ROW()-1)) &amp; REPT("☆", 5-INDEX(SalesData[Customer_Rating], ROW()-1)))</f>
        <v>—</v>
      </c>
      <c r="M86" s="40" t="str" cm="1">
        <f t="array" ref="M86">IF(INDEX(SalesData[Units_Sold],ROW()-1) &lt; 5, "⚠️ Reorder", "OK")</f>
        <v>OK</v>
      </c>
      <c r="N86" s="40" t="str">
        <f t="shared" si="1"/>
        <v>Breakeven</v>
      </c>
      <c r="O86" s="47" t="str">
        <f>SalesData[[#This Row],[Ad_Type]]</f>
        <v>Sponsored Products</v>
      </c>
      <c r="P86" s="47" t="str">
        <f>SalesData[[#This Row],[Brand]]</f>
        <v>Mamaearth</v>
      </c>
      <c r="Q86" s="47" t="str">
        <f>SalesData[[#This Row],[Product_Name]]</f>
        <v>Hair Oil</v>
      </c>
      <c r="R86" s="47"/>
      <c r="S86" s="47"/>
      <c r="T86" s="47"/>
      <c r="U86" s="47"/>
      <c r="V86" s="47"/>
    </row>
    <row r="87" spans="1:22">
      <c r="A87" s="45" t="str">
        <f>SalesData[[#This Row],[Order_ID]]</f>
        <v>ORD-1085</v>
      </c>
      <c r="B87" s="41" cm="1">
        <f t="array" ref="B87">INDEX(SalesData[Order_Date], ROW()-1)</f>
        <v>45652</v>
      </c>
      <c r="C87" s="40" t="str" cm="1">
        <f t="array" ref="C87">INDEX(SalesData[Category], ROW()-1)</f>
        <v>Home &amp; Kitchen</v>
      </c>
      <c r="D87" s="40" t="str" cm="1">
        <f t="array" ref="D87">INDEX(SalesData[Product_Name],ROW()-1)</f>
        <v>Pillow Cover</v>
      </c>
      <c r="E87" s="40" t="str" cm="1">
        <f t="array" ref="E87">INDEX(SalesData[Customer_State],ROW()-1)</f>
        <v>Delhi</v>
      </c>
      <c r="F87" s="40" t="str" cm="1">
        <f t="array" ref="F87">INDEX(SalesData[Order_Status], ROW()-1)</f>
        <v>Cancelled</v>
      </c>
      <c r="G87" s="40" t="str" cm="1">
        <f t="array" ref="G87">INDEX(SalesData[Fulfillment_Type], ROW()-1)</f>
        <v>FBA</v>
      </c>
      <c r="H87" s="40" cm="1">
        <f t="array" ref="H87">INDEX(SalesData[Units_Sold], ROW()-1)</f>
        <v>5</v>
      </c>
      <c r="I87" s="44" cm="1">
        <f t="array" ref="I87">INDEX(SalesData[Gross_Sales_INR], ROW()-1)</f>
        <v>8875</v>
      </c>
      <c r="J87" s="43" cm="1">
        <f t="array" ref="J87">INDEX(SalesData[Net_Profit_INR], ROW()-1)</f>
        <v>3288.31</v>
      </c>
      <c r="K87" s="42" cm="1">
        <f t="array" ref="K87">INDEX(SalesData[Profit_Margin_%], ROW()-1)</f>
        <v>37.1</v>
      </c>
      <c r="L87" s="46" t="str" cm="1">
        <f t="array" ref="L87">IF(INDEX(SalesData[Customer_Rating], ROW()-1)="", "—",REPT("★", INDEX(SalesData[Customer_Rating], ROW()-1)) &amp; REPT("☆", 5-INDEX(SalesData[Customer_Rating], ROW()-1)))</f>
        <v>—</v>
      </c>
      <c r="M87" s="40" t="str" cm="1">
        <f t="array" ref="M87">IF(INDEX(SalesData[Units_Sold],ROW()-1) &lt; 5, "⚠️ Reorder", "OK")</f>
        <v>OK</v>
      </c>
      <c r="N87" s="40" t="str">
        <f t="shared" si="1"/>
        <v>Breakeven</v>
      </c>
      <c r="O87" s="47" t="str">
        <f>SalesData[[#This Row],[Ad_Type]]</f>
        <v>None</v>
      </c>
      <c r="P87" s="47" t="str">
        <f>SalesData[[#This Row],[Brand]]</f>
        <v>Himalaya</v>
      </c>
      <c r="Q87" s="47" t="str">
        <f>SalesData[[#This Row],[Product_Name]]</f>
        <v>Pillow Cover</v>
      </c>
      <c r="R87" s="47"/>
      <c r="S87" s="47"/>
      <c r="T87" s="47"/>
      <c r="U87" s="47"/>
      <c r="V87" s="47"/>
    </row>
    <row r="88" spans="1:22">
      <c r="A88" s="45" t="str">
        <f>SalesData[[#This Row],[Order_ID]]</f>
        <v>ORD-1086</v>
      </c>
      <c r="B88" s="41" cm="1">
        <f t="array" ref="B88">INDEX(SalesData[Order_Date], ROW()-1)</f>
        <v>45278</v>
      </c>
      <c r="C88" s="40" t="str" cm="1">
        <f t="array" ref="C88">INDEX(SalesData[Category], ROW()-1)</f>
        <v>Electronics</v>
      </c>
      <c r="D88" s="40" t="str" cm="1">
        <f t="array" ref="D88">INDEX(SalesData[Product_Name],ROW()-1)</f>
        <v>Smart Watch</v>
      </c>
      <c r="E88" s="40" t="str" cm="1">
        <f t="array" ref="E88">INDEX(SalesData[Customer_State],ROW()-1)</f>
        <v>Rajasthan</v>
      </c>
      <c r="F88" s="40" t="str" cm="1">
        <f t="array" ref="F88">INDEX(SalesData[Order_Status], ROW()-1)</f>
        <v>Delivered</v>
      </c>
      <c r="G88" s="40" t="str" cm="1">
        <f t="array" ref="G88">INDEX(SalesData[Fulfillment_Type], ROW()-1)</f>
        <v>FBA</v>
      </c>
      <c r="H88" s="40" cm="1">
        <f t="array" ref="H88">INDEX(SalesData[Units_Sold], ROW()-1)</f>
        <v>10</v>
      </c>
      <c r="I88" s="44" cm="1">
        <f t="array" ref="I88">INDEX(SalesData[Gross_Sales_INR], ROW()-1)</f>
        <v>35050</v>
      </c>
      <c r="J88" s="43" cm="1">
        <f t="array" ref="J88">INDEX(SalesData[Net_Profit_INR], ROW()-1)</f>
        <v>15070.67</v>
      </c>
      <c r="K88" s="42" cm="1">
        <f t="array" ref="K88">INDEX(SalesData[Profit_Margin_%], ROW()-1)</f>
        <v>43</v>
      </c>
      <c r="L88" s="46" t="str" cm="1">
        <f t="array" ref="L88">IF(INDEX(SalesData[Customer_Rating], ROW()-1)="", "—",REPT("★", INDEX(SalesData[Customer_Rating], ROW()-1)) &amp; REPT("☆", 5-INDEX(SalesData[Customer_Rating], ROW()-1)))</f>
        <v>★★★★☆</v>
      </c>
      <c r="M88" s="40" t="str" cm="1">
        <f t="array" ref="M88">IF(INDEX(SalesData[Units_Sold],ROW()-1) &lt; 5, "⚠️ Reorder", "OK")</f>
        <v>OK</v>
      </c>
      <c r="N88" s="40" t="str">
        <f t="shared" si="1"/>
        <v>Breakeven</v>
      </c>
      <c r="O88" s="47" t="str">
        <f>SalesData[[#This Row],[Ad_Type]]</f>
        <v>Sponsored Brands</v>
      </c>
      <c r="P88" s="47" t="str">
        <f>SalesData[[#This Row],[Brand]]</f>
        <v>Skullcandy</v>
      </c>
      <c r="Q88" s="47" t="str">
        <f>SalesData[[#This Row],[Product_Name]]</f>
        <v>Smart Watch</v>
      </c>
      <c r="R88" s="47"/>
      <c r="S88" s="47"/>
      <c r="T88" s="47"/>
      <c r="U88" s="47"/>
      <c r="V88" s="47"/>
    </row>
    <row r="89" spans="1:22">
      <c r="A89" s="45" t="str">
        <f>SalesData[[#This Row],[Order_ID]]</f>
        <v>ORD-1087</v>
      </c>
      <c r="B89" s="41" cm="1">
        <f t="array" ref="B89">INDEX(SalesData[Order_Date], ROW()-1)</f>
        <v>45633</v>
      </c>
      <c r="C89" s="40" t="str" cm="1">
        <f t="array" ref="C89">INDEX(SalesData[Category], ROW()-1)</f>
        <v>Electronics</v>
      </c>
      <c r="D89" s="40" t="str" cm="1">
        <f t="array" ref="D89">INDEX(SalesData[Product_Name],ROW()-1)</f>
        <v>Earbuds</v>
      </c>
      <c r="E89" s="40" t="str" cm="1">
        <f t="array" ref="E89">INDEX(SalesData[Customer_State],ROW()-1)</f>
        <v>Bihar</v>
      </c>
      <c r="F89" s="40" t="str" cm="1">
        <f t="array" ref="F89">INDEX(SalesData[Order_Status], ROW()-1)</f>
        <v>Delivered</v>
      </c>
      <c r="G89" s="40" t="str" cm="1">
        <f t="array" ref="G89">INDEX(SalesData[Fulfillment_Type], ROW()-1)</f>
        <v>FBA</v>
      </c>
      <c r="H89" s="40" cm="1">
        <f t="array" ref="H89">INDEX(SalesData[Units_Sold], ROW()-1)</f>
        <v>1</v>
      </c>
      <c r="I89" s="44" cm="1">
        <f t="array" ref="I89">INDEX(SalesData[Gross_Sales_INR], ROW()-1)</f>
        <v>1196</v>
      </c>
      <c r="J89" s="43" cm="1">
        <f t="array" ref="J89">INDEX(SalesData[Net_Profit_INR], ROW()-1)</f>
        <v>660.39</v>
      </c>
      <c r="K89" s="42" cm="1">
        <f t="array" ref="K89">INDEX(SalesData[Profit_Margin_%], ROW()-1)</f>
        <v>55.2</v>
      </c>
      <c r="L89" s="46" t="str" cm="1">
        <f t="array" ref="L89">IF(INDEX(SalesData[Customer_Rating], ROW()-1)="", "—",REPT("★", INDEX(SalesData[Customer_Rating], ROW()-1)) &amp; REPT("☆", 5-INDEX(SalesData[Customer_Rating], ROW()-1)))</f>
        <v>★☆☆☆☆</v>
      </c>
      <c r="M89" s="40" t="str" cm="1">
        <f t="array" ref="M89">IF(INDEX(SalesData[Units_Sold],ROW()-1) &lt; 5, "⚠️ Reorder", "OK")</f>
        <v>⚠️ Reorder</v>
      </c>
      <c r="N89" s="40" t="str">
        <f t="shared" si="1"/>
        <v>Breakeven</v>
      </c>
      <c r="O89" s="47" t="str">
        <f>SalesData[[#This Row],[Ad_Type]]</f>
        <v>None</v>
      </c>
      <c r="P89" s="47" t="str">
        <f>SalesData[[#This Row],[Brand]]</f>
        <v>Puma</v>
      </c>
      <c r="Q89" s="47" t="str">
        <f>SalesData[[#This Row],[Product_Name]]</f>
        <v>Earbuds</v>
      </c>
      <c r="R89" s="47"/>
      <c r="S89" s="47"/>
      <c r="T89" s="47"/>
      <c r="U89" s="47"/>
      <c r="V89" s="47"/>
    </row>
    <row r="90" spans="1:22">
      <c r="A90" s="45" t="str">
        <f>SalesData[[#This Row],[Order_ID]]</f>
        <v>ORD-1088</v>
      </c>
      <c r="B90" s="41" cm="1">
        <f t="array" ref="B90">INDEX(SalesData[Order_Date], ROW()-1)</f>
        <v>45283</v>
      </c>
      <c r="C90" s="40" t="str" cm="1">
        <f t="array" ref="C90">INDEX(SalesData[Category], ROW()-1)</f>
        <v>Electronics</v>
      </c>
      <c r="D90" s="40" t="str" cm="1">
        <f t="array" ref="D90">INDEX(SalesData[Product_Name],ROW()-1)</f>
        <v>Phone Case</v>
      </c>
      <c r="E90" s="40" t="str" cm="1">
        <f t="array" ref="E90">INDEX(SalesData[Customer_State],ROW()-1)</f>
        <v>Madhya Pradesh</v>
      </c>
      <c r="F90" s="40" t="str" cm="1">
        <f t="array" ref="F90">INDEX(SalesData[Order_Status], ROW()-1)</f>
        <v>Cancelled</v>
      </c>
      <c r="G90" s="40" t="str" cm="1">
        <f t="array" ref="G90">INDEX(SalesData[Fulfillment_Type], ROW()-1)</f>
        <v>FBM</v>
      </c>
      <c r="H90" s="40" cm="1">
        <f t="array" ref="H90">INDEX(SalesData[Units_Sold], ROW()-1)</f>
        <v>6</v>
      </c>
      <c r="I90" s="44" cm="1">
        <f t="array" ref="I90">INDEX(SalesData[Gross_Sales_INR], ROW()-1)</f>
        <v>12876</v>
      </c>
      <c r="J90" s="43" cm="1">
        <f t="array" ref="J90">INDEX(SalesData[Net_Profit_INR], ROW()-1)</f>
        <v>4364.38</v>
      </c>
      <c r="K90" s="42" cm="1">
        <f t="array" ref="K90">INDEX(SalesData[Profit_Margin_%], ROW()-1)</f>
        <v>33.9</v>
      </c>
      <c r="L90" s="46" t="str" cm="1">
        <f t="array" ref="L90">IF(INDEX(SalesData[Customer_Rating], ROW()-1)="", "—",REPT("★", INDEX(SalesData[Customer_Rating], ROW()-1)) &amp; REPT("☆", 5-INDEX(SalesData[Customer_Rating], ROW()-1)))</f>
        <v>—</v>
      </c>
      <c r="M90" s="40" t="str" cm="1">
        <f t="array" ref="M90">IF(INDEX(SalesData[Units_Sold],ROW()-1) &lt; 5, "⚠️ Reorder", "OK")</f>
        <v>OK</v>
      </c>
      <c r="N90" s="40" t="str">
        <f t="shared" si="1"/>
        <v>Breakeven</v>
      </c>
      <c r="O90" s="47" t="str">
        <f>SalesData[[#This Row],[Ad_Type]]</f>
        <v>None</v>
      </c>
      <c r="P90" s="47" t="str">
        <f>SalesData[[#This Row],[Brand]]</f>
        <v>BoAt</v>
      </c>
      <c r="Q90" s="47" t="str">
        <f>SalesData[[#This Row],[Product_Name]]</f>
        <v>Phone Case</v>
      </c>
      <c r="R90" s="47"/>
      <c r="S90" s="47"/>
      <c r="T90" s="47"/>
      <c r="U90" s="47"/>
      <c r="V90" s="47"/>
    </row>
    <row r="91" spans="1:22">
      <c r="A91" s="45" t="str">
        <f>SalesData[[#This Row],[Order_ID]]</f>
        <v>ORD-1089</v>
      </c>
      <c r="B91" s="41" cm="1">
        <f t="array" ref="B91">INDEX(SalesData[Order_Date], ROW()-1)</f>
        <v>45137</v>
      </c>
      <c r="C91" s="40" t="str" cm="1">
        <f t="array" ref="C91">INDEX(SalesData[Category], ROW()-1)</f>
        <v>Electronics</v>
      </c>
      <c r="D91" s="40" t="str" cm="1">
        <f t="array" ref="D91">INDEX(SalesData[Product_Name],ROW()-1)</f>
        <v>Webcam</v>
      </c>
      <c r="E91" s="40" t="str" cm="1">
        <f t="array" ref="E91">INDEX(SalesData[Customer_State],ROW()-1)</f>
        <v>Karnataka</v>
      </c>
      <c r="F91" s="40" t="str" cm="1">
        <f t="array" ref="F91">INDEX(SalesData[Order_Status], ROW()-1)</f>
        <v>Delivered</v>
      </c>
      <c r="G91" s="40" t="str" cm="1">
        <f t="array" ref="G91">INDEX(SalesData[Fulfillment_Type], ROW()-1)</f>
        <v>FBA</v>
      </c>
      <c r="H91" s="40" cm="1">
        <f t="array" ref="H91">INDEX(SalesData[Units_Sold], ROW()-1)</f>
        <v>5</v>
      </c>
      <c r="I91" s="44" cm="1">
        <f t="array" ref="I91">INDEX(SalesData[Gross_Sales_INR], ROW()-1)</f>
        <v>2400</v>
      </c>
      <c r="J91" s="43" cm="1">
        <f t="array" ref="J91">INDEX(SalesData[Net_Profit_INR], ROW()-1)</f>
        <v>783.71</v>
      </c>
      <c r="K91" s="42" cm="1">
        <f t="array" ref="K91">INDEX(SalesData[Profit_Margin_%], ROW()-1)</f>
        <v>32.700000000000003</v>
      </c>
      <c r="L91" s="46" t="str" cm="1">
        <f t="array" ref="L91">IF(INDEX(SalesData[Customer_Rating], ROW()-1)="", "—",REPT("★", INDEX(SalesData[Customer_Rating], ROW()-1)) &amp; REPT("☆", 5-INDEX(SalesData[Customer_Rating], ROW()-1)))</f>
        <v>★★★★★</v>
      </c>
      <c r="M91" s="40" t="str" cm="1">
        <f t="array" ref="M91">IF(INDEX(SalesData[Units_Sold],ROW()-1) &lt; 5, "⚠️ Reorder", "OK")</f>
        <v>OK</v>
      </c>
      <c r="N91" s="40" t="str">
        <f t="shared" si="1"/>
        <v>Breakeven</v>
      </c>
      <c r="O91" s="47" t="str">
        <f>SalesData[[#This Row],[Ad_Type]]</f>
        <v>Sponsored Display</v>
      </c>
      <c r="P91" s="47" t="str">
        <f>SalesData[[#This Row],[Brand]]</f>
        <v>Mamaearth</v>
      </c>
      <c r="Q91" s="47" t="str">
        <f>SalesData[[#This Row],[Product_Name]]</f>
        <v>Webcam</v>
      </c>
      <c r="R91" s="47"/>
      <c r="S91" s="47"/>
      <c r="T91" s="47"/>
      <c r="U91" s="47"/>
      <c r="V91" s="47"/>
    </row>
    <row r="92" spans="1:22">
      <c r="A92" s="45" t="str">
        <f>SalesData[[#This Row],[Order_ID]]</f>
        <v>ORD-1090</v>
      </c>
      <c r="B92" s="41" cm="1">
        <f t="array" ref="B92">INDEX(SalesData[Order_Date], ROW()-1)</f>
        <v>45469</v>
      </c>
      <c r="C92" s="40" t="str" cm="1">
        <f t="array" ref="C92">INDEX(SalesData[Category], ROW()-1)</f>
        <v>Fashion</v>
      </c>
      <c r="D92" s="40" t="str" cm="1">
        <f t="array" ref="D92">INDEX(SalesData[Product_Name],ROW()-1)</f>
        <v>Women's Kurti</v>
      </c>
      <c r="E92" s="40" t="str" cm="1">
        <f t="array" ref="E92">INDEX(SalesData[Customer_State],ROW()-1)</f>
        <v>Tamil Nadu</v>
      </c>
      <c r="F92" s="40" t="str" cm="1">
        <f t="array" ref="F92">INDEX(SalesData[Order_Status], ROW()-1)</f>
        <v>Pending</v>
      </c>
      <c r="G92" s="40" t="str" cm="1">
        <f t="array" ref="G92">INDEX(SalesData[Fulfillment_Type], ROW()-1)</f>
        <v>FBA</v>
      </c>
      <c r="H92" s="40" cm="1">
        <f t="array" ref="H92">INDEX(SalesData[Units_Sold], ROW()-1)</f>
        <v>1</v>
      </c>
      <c r="I92" s="44" cm="1">
        <f t="array" ref="I92">INDEX(SalesData[Gross_Sales_INR], ROW()-1)</f>
        <v>2633</v>
      </c>
      <c r="J92" s="43" cm="1">
        <f t="array" ref="J92">INDEX(SalesData[Net_Profit_INR], ROW()-1)</f>
        <v>592.72</v>
      </c>
      <c r="K92" s="42" cm="1">
        <f t="array" ref="K92">INDEX(SalesData[Profit_Margin_%], ROW()-1)</f>
        <v>22.5</v>
      </c>
      <c r="L92" s="46" t="str" cm="1">
        <f t="array" ref="L92">IF(INDEX(SalesData[Customer_Rating], ROW()-1)="", "—",REPT("★", INDEX(SalesData[Customer_Rating], ROW()-1)) &amp; REPT("☆", 5-INDEX(SalesData[Customer_Rating], ROW()-1)))</f>
        <v>—</v>
      </c>
      <c r="M92" s="40" t="str" cm="1">
        <f t="array" ref="M92">IF(INDEX(SalesData[Units_Sold],ROW()-1) &lt; 5, "⚠️ Reorder", "OK")</f>
        <v>⚠️ Reorder</v>
      </c>
      <c r="N92" s="40" t="str">
        <f t="shared" si="1"/>
        <v>Breakeven</v>
      </c>
      <c r="O92" s="47" t="str">
        <f>SalesData[[#This Row],[Ad_Type]]</f>
        <v>None</v>
      </c>
      <c r="P92" s="47" t="str">
        <f>SalesData[[#This Row],[Brand]]</f>
        <v>Wildcraft</v>
      </c>
      <c r="Q92" s="47" t="str">
        <f>SalesData[[#This Row],[Product_Name]]</f>
        <v>Women's Kurti</v>
      </c>
      <c r="R92" s="47"/>
      <c r="S92" s="47"/>
      <c r="T92" s="47"/>
      <c r="U92" s="47"/>
      <c r="V92" s="47"/>
    </row>
    <row r="93" spans="1:22">
      <c r="A93" s="45" t="str">
        <f>SalesData[[#This Row],[Order_ID]]</f>
        <v>ORD-1091</v>
      </c>
      <c r="B93" s="41" cm="1">
        <f t="array" ref="B93">INDEX(SalesData[Order_Date], ROW()-1)</f>
        <v>44940</v>
      </c>
      <c r="C93" s="40" t="str" cm="1">
        <f t="array" ref="C93">INDEX(SalesData[Category], ROW()-1)</f>
        <v>Beauty</v>
      </c>
      <c r="D93" s="40" t="str" cm="1">
        <f t="array" ref="D93">INDEX(SalesData[Product_Name],ROW()-1)</f>
        <v>Sunscreen</v>
      </c>
      <c r="E93" s="40" t="str" cm="1">
        <f t="array" ref="E93">INDEX(SalesData[Customer_State],ROW()-1)</f>
        <v>Madhya Pradesh</v>
      </c>
      <c r="F93" s="40" t="str" cm="1">
        <f t="array" ref="F93">INDEX(SalesData[Order_Status], ROW()-1)</f>
        <v>Delivered</v>
      </c>
      <c r="G93" s="40" t="str" cm="1">
        <f t="array" ref="G93">INDEX(SalesData[Fulfillment_Type], ROW()-1)</f>
        <v>FBA</v>
      </c>
      <c r="H93" s="40" cm="1">
        <f t="array" ref="H93">INDEX(SalesData[Units_Sold], ROW()-1)</f>
        <v>10</v>
      </c>
      <c r="I93" s="44" cm="1">
        <f t="array" ref="I93">INDEX(SalesData[Gross_Sales_INR], ROW()-1)</f>
        <v>40550</v>
      </c>
      <c r="J93" s="43" cm="1">
        <f t="array" ref="J93">INDEX(SalesData[Net_Profit_INR], ROW()-1)</f>
        <v>21938.02</v>
      </c>
      <c r="K93" s="42" cm="1">
        <f t="array" ref="K93">INDEX(SalesData[Profit_Margin_%], ROW()-1)</f>
        <v>54.1</v>
      </c>
      <c r="L93" s="46" t="str" cm="1">
        <f t="array" ref="L93">IF(INDEX(SalesData[Customer_Rating], ROW()-1)="", "—",REPT("★", INDEX(SalesData[Customer_Rating], ROW()-1)) &amp; REPT("☆", 5-INDEX(SalesData[Customer_Rating], ROW()-1)))</f>
        <v>★★★★★</v>
      </c>
      <c r="M93" s="40" t="str" cm="1">
        <f t="array" ref="M93">IF(INDEX(SalesData[Units_Sold],ROW()-1) &lt; 5, "⚠️ Reorder", "OK")</f>
        <v>OK</v>
      </c>
      <c r="N93" s="40" t="str">
        <f t="shared" si="1"/>
        <v>Breakeven</v>
      </c>
      <c r="O93" s="47" t="str">
        <f>SalesData[[#This Row],[Ad_Type]]</f>
        <v>Sponsored Display</v>
      </c>
      <c r="P93" s="47" t="str">
        <f>SalesData[[#This Row],[Brand]]</f>
        <v>Wildcraft</v>
      </c>
      <c r="Q93" s="47" t="str">
        <f>SalesData[[#This Row],[Product_Name]]</f>
        <v>Sunscreen</v>
      </c>
      <c r="R93" s="47"/>
      <c r="S93" s="47"/>
      <c r="T93" s="47"/>
      <c r="U93" s="47"/>
      <c r="V93" s="47"/>
    </row>
    <row r="94" spans="1:22">
      <c r="A94" s="45" t="str">
        <f>SalesData[[#This Row],[Order_ID]]</f>
        <v>ORD-1092</v>
      </c>
      <c r="B94" s="41" cm="1">
        <f t="array" ref="B94">INDEX(SalesData[Order_Date], ROW()-1)</f>
        <v>45168</v>
      </c>
      <c r="C94" s="40" t="str" cm="1">
        <f t="array" ref="C94">INDEX(SalesData[Category], ROW()-1)</f>
        <v>Office Supplies</v>
      </c>
      <c r="D94" s="40" t="str" cm="1">
        <f t="array" ref="D94">INDEX(SalesData[Product_Name],ROW()-1)</f>
        <v>Gel Pen Set</v>
      </c>
      <c r="E94" s="40" t="str" cm="1">
        <f t="array" ref="E94">INDEX(SalesData[Customer_State],ROW()-1)</f>
        <v>Telangana</v>
      </c>
      <c r="F94" s="40" t="str" cm="1">
        <f t="array" ref="F94">INDEX(SalesData[Order_Status], ROW()-1)</f>
        <v>In Transit</v>
      </c>
      <c r="G94" s="40" t="str" cm="1">
        <f t="array" ref="G94">INDEX(SalesData[Fulfillment_Type], ROW()-1)</f>
        <v>FBA</v>
      </c>
      <c r="H94" s="40" cm="1">
        <f t="array" ref="H94">INDEX(SalesData[Units_Sold], ROW()-1)</f>
        <v>6</v>
      </c>
      <c r="I94" s="44" cm="1">
        <f t="array" ref="I94">INDEX(SalesData[Gross_Sales_INR], ROW()-1)</f>
        <v>19290</v>
      </c>
      <c r="J94" s="43" cm="1">
        <f t="array" ref="J94">INDEX(SalesData[Net_Profit_INR], ROW()-1)</f>
        <v>6850.92</v>
      </c>
      <c r="K94" s="42" cm="1">
        <f t="array" ref="K94">INDEX(SalesData[Profit_Margin_%], ROW()-1)</f>
        <v>35.5</v>
      </c>
      <c r="L94" s="46" t="str" cm="1">
        <f t="array" ref="L94">IF(INDEX(SalesData[Customer_Rating], ROW()-1)="", "—",REPT("★", INDEX(SalesData[Customer_Rating], ROW()-1)) &amp; REPT("☆", 5-INDEX(SalesData[Customer_Rating], ROW()-1)))</f>
        <v>—</v>
      </c>
      <c r="M94" s="40" t="str" cm="1">
        <f t="array" ref="M94">IF(INDEX(SalesData[Units_Sold],ROW()-1) &lt; 5, "⚠️ Reorder", "OK")</f>
        <v>OK</v>
      </c>
      <c r="N94" s="40" t="str">
        <f t="shared" si="1"/>
        <v>Breakeven</v>
      </c>
      <c r="O94" s="47" t="str">
        <f>SalesData[[#This Row],[Ad_Type]]</f>
        <v>None</v>
      </c>
      <c r="P94" s="47" t="str">
        <f>SalesData[[#This Row],[Brand]]</f>
        <v>BoAt</v>
      </c>
      <c r="Q94" s="47" t="str">
        <f>SalesData[[#This Row],[Product_Name]]</f>
        <v>Gel Pen Set</v>
      </c>
      <c r="R94" s="47"/>
      <c r="S94" s="47"/>
      <c r="T94" s="47"/>
      <c r="U94" s="47"/>
      <c r="V94" s="47"/>
    </row>
    <row r="95" spans="1:22">
      <c r="A95" s="45" t="str">
        <f>SalesData[[#This Row],[Order_ID]]</f>
        <v>ORD-1093</v>
      </c>
      <c r="B95" s="41" cm="1">
        <f t="array" ref="B95">INDEX(SalesData[Order_Date], ROW()-1)</f>
        <v>45034</v>
      </c>
      <c r="C95" s="40" t="str" cm="1">
        <f t="array" ref="C95">INDEX(SalesData[Category], ROW()-1)</f>
        <v>Office Supplies</v>
      </c>
      <c r="D95" s="40" t="str" cm="1">
        <f t="array" ref="D95">INDEX(SalesData[Product_Name],ROW()-1)</f>
        <v>Sticky Notes</v>
      </c>
      <c r="E95" s="40" t="str" cm="1">
        <f t="array" ref="E95">INDEX(SalesData[Customer_State],ROW()-1)</f>
        <v>Karnataka</v>
      </c>
      <c r="F95" s="40" t="str" cm="1">
        <f t="array" ref="F95">INDEX(SalesData[Order_Status], ROW()-1)</f>
        <v>Delivered</v>
      </c>
      <c r="G95" s="40" t="str" cm="1">
        <f t="array" ref="G95">INDEX(SalesData[Fulfillment_Type], ROW()-1)</f>
        <v>FBM</v>
      </c>
      <c r="H95" s="40" cm="1">
        <f t="array" ref="H95">INDEX(SalesData[Units_Sold], ROW()-1)</f>
        <v>6</v>
      </c>
      <c r="I95" s="44" cm="1">
        <f t="array" ref="I95">INDEX(SalesData[Gross_Sales_INR], ROW()-1)</f>
        <v>18480</v>
      </c>
      <c r="J95" s="43" cm="1">
        <f t="array" ref="J95">INDEX(SalesData[Net_Profit_INR], ROW()-1)</f>
        <v>9354.4500000000007</v>
      </c>
      <c r="K95" s="42" cm="1">
        <f t="array" ref="K95">INDEX(SalesData[Profit_Margin_%], ROW()-1)</f>
        <v>50.6</v>
      </c>
      <c r="L95" s="46" t="str" cm="1">
        <f t="array" ref="L95">IF(INDEX(SalesData[Customer_Rating], ROW()-1)="", "—",REPT("★", INDEX(SalesData[Customer_Rating], ROW()-1)) &amp; REPT("☆", 5-INDEX(SalesData[Customer_Rating], ROW()-1)))</f>
        <v>★★★★☆</v>
      </c>
      <c r="M95" s="40" t="str" cm="1">
        <f t="array" ref="M95">IF(INDEX(SalesData[Units_Sold],ROW()-1) &lt; 5, "⚠️ Reorder", "OK")</f>
        <v>OK</v>
      </c>
      <c r="N95" s="40" t="str">
        <f t="shared" si="1"/>
        <v>Breakeven</v>
      </c>
      <c r="O95" s="47" t="str">
        <f>SalesData[[#This Row],[Ad_Type]]</f>
        <v>None</v>
      </c>
      <c r="P95" s="47" t="str">
        <f>SalesData[[#This Row],[Brand]]</f>
        <v>Mamaearth</v>
      </c>
      <c r="Q95" s="47" t="str">
        <f>SalesData[[#This Row],[Product_Name]]</f>
        <v>Sticky Notes</v>
      </c>
      <c r="R95" s="47"/>
      <c r="S95" s="47"/>
      <c r="T95" s="47"/>
      <c r="U95" s="47"/>
      <c r="V95" s="47"/>
    </row>
    <row r="96" spans="1:22">
      <c r="A96" s="45" t="str">
        <f>SalesData[[#This Row],[Order_ID]]</f>
        <v>ORD-1094</v>
      </c>
      <c r="B96" s="41" cm="1">
        <f t="array" ref="B96">INDEX(SalesData[Order_Date], ROW()-1)</f>
        <v>45475</v>
      </c>
      <c r="C96" s="40" t="str" cm="1">
        <f t="array" ref="C96">INDEX(SalesData[Category], ROW()-1)</f>
        <v>Electronics</v>
      </c>
      <c r="D96" s="40" t="str" cm="1">
        <f t="array" ref="D96">INDEX(SalesData[Product_Name],ROW()-1)</f>
        <v>USB Cable</v>
      </c>
      <c r="E96" s="40" t="str" cm="1">
        <f t="array" ref="E96">INDEX(SalesData[Customer_State],ROW()-1)</f>
        <v>Haryana</v>
      </c>
      <c r="F96" s="40" t="str" cm="1">
        <f t="array" ref="F96">INDEX(SalesData[Order_Status], ROW()-1)</f>
        <v>Pending</v>
      </c>
      <c r="G96" s="40" t="str" cm="1">
        <f t="array" ref="G96">INDEX(SalesData[Fulfillment_Type], ROW()-1)</f>
        <v>FBA</v>
      </c>
      <c r="H96" s="40" cm="1">
        <f t="array" ref="H96">INDEX(SalesData[Units_Sold], ROW()-1)</f>
        <v>1</v>
      </c>
      <c r="I96" s="44" cm="1">
        <f t="array" ref="I96">INDEX(SalesData[Gross_Sales_INR], ROW()-1)</f>
        <v>1753</v>
      </c>
      <c r="J96" s="43" cm="1">
        <f t="array" ref="J96">INDEX(SalesData[Net_Profit_INR], ROW()-1)</f>
        <v>715.82</v>
      </c>
      <c r="K96" s="42" cm="1">
        <f t="array" ref="K96">INDEX(SalesData[Profit_Margin_%], ROW()-1)</f>
        <v>40.799999999999997</v>
      </c>
      <c r="L96" s="46" t="str" cm="1">
        <f t="array" ref="L96">IF(INDEX(SalesData[Customer_Rating], ROW()-1)="", "—",REPT("★", INDEX(SalesData[Customer_Rating], ROW()-1)) &amp; REPT("☆", 5-INDEX(SalesData[Customer_Rating], ROW()-1)))</f>
        <v>—</v>
      </c>
      <c r="M96" s="40" t="str" cm="1">
        <f t="array" ref="M96">IF(INDEX(SalesData[Units_Sold],ROW()-1) &lt; 5, "⚠️ Reorder", "OK")</f>
        <v>⚠️ Reorder</v>
      </c>
      <c r="N96" s="40" t="str">
        <f t="shared" si="1"/>
        <v>Breakeven</v>
      </c>
      <c r="O96" s="47" t="str">
        <f>SalesData[[#This Row],[Ad_Type]]</f>
        <v>Sponsored Brands</v>
      </c>
      <c r="P96" s="47" t="str">
        <f>SalesData[[#This Row],[Brand]]</f>
        <v>Himalaya</v>
      </c>
      <c r="Q96" s="47" t="str">
        <f>SalesData[[#This Row],[Product_Name]]</f>
        <v>USB Cable</v>
      </c>
      <c r="R96" s="47"/>
      <c r="S96" s="47"/>
      <c r="T96" s="47"/>
      <c r="U96" s="47"/>
      <c r="V96" s="47"/>
    </row>
    <row r="97" spans="1:22">
      <c r="A97" s="45" t="str">
        <f>SalesData[[#This Row],[Order_ID]]</f>
        <v>ORD-1095</v>
      </c>
      <c r="B97" s="41" cm="1">
        <f t="array" ref="B97">INDEX(SalesData[Order_Date], ROW()-1)</f>
        <v>44927</v>
      </c>
      <c r="C97" s="40" t="str" cm="1">
        <f t="array" ref="C97">INDEX(SalesData[Category], ROW()-1)</f>
        <v>Sports</v>
      </c>
      <c r="D97" s="40" t="str" cm="1">
        <f t="array" ref="D97">INDEX(SalesData[Product_Name],ROW()-1)</f>
        <v>Yoga Mat</v>
      </c>
      <c r="E97" s="40" t="str" cm="1">
        <f t="array" ref="E97">INDEX(SalesData[Customer_State],ROW()-1)</f>
        <v>Bihar</v>
      </c>
      <c r="F97" s="40" t="str" cm="1">
        <f t="array" ref="F97">INDEX(SalesData[Order_Status], ROW()-1)</f>
        <v>Delivered</v>
      </c>
      <c r="G97" s="40" t="str" cm="1">
        <f t="array" ref="G97">INDEX(SalesData[Fulfillment_Type], ROW()-1)</f>
        <v>FBM</v>
      </c>
      <c r="H97" s="40" cm="1">
        <f t="array" ref="H97">INDEX(SalesData[Units_Sold], ROW()-1)</f>
        <v>8</v>
      </c>
      <c r="I97" s="44" cm="1">
        <f t="array" ref="I97">INDEX(SalesData[Gross_Sales_INR], ROW()-1)</f>
        <v>33920</v>
      </c>
      <c r="J97" s="43" cm="1">
        <f t="array" ref="J97">INDEX(SalesData[Net_Profit_INR], ROW()-1)</f>
        <v>18095.22</v>
      </c>
      <c r="K97" s="42" cm="1">
        <f t="array" ref="K97">INDEX(SalesData[Profit_Margin_%], ROW()-1)</f>
        <v>53.3</v>
      </c>
      <c r="L97" s="46" t="str" cm="1">
        <f t="array" ref="L97">IF(INDEX(SalesData[Customer_Rating], ROW()-1)="", "—",REPT("★", INDEX(SalesData[Customer_Rating], ROW()-1)) &amp; REPT("☆", 5-INDEX(SalesData[Customer_Rating], ROW()-1)))</f>
        <v>★★☆☆☆</v>
      </c>
      <c r="M97" s="40" t="str" cm="1">
        <f t="array" ref="M97">IF(INDEX(SalesData[Units_Sold],ROW()-1) &lt; 5, "⚠️ Reorder", "OK")</f>
        <v>OK</v>
      </c>
      <c r="N97" s="40" t="str">
        <f t="shared" si="1"/>
        <v>Breakeven</v>
      </c>
      <c r="O97" s="47" t="str">
        <f>SalesData[[#This Row],[Ad_Type]]</f>
        <v>None</v>
      </c>
      <c r="P97" s="47" t="str">
        <f>SalesData[[#This Row],[Brand]]</f>
        <v>Generic</v>
      </c>
      <c r="Q97" s="47" t="str">
        <f>SalesData[[#This Row],[Product_Name]]</f>
        <v>Yoga Mat</v>
      </c>
      <c r="R97" s="47"/>
      <c r="S97" s="47"/>
      <c r="T97" s="47"/>
      <c r="U97" s="47"/>
      <c r="V97" s="47"/>
    </row>
    <row r="98" spans="1:22">
      <c r="A98" s="45" t="str">
        <f>SalesData[[#This Row],[Order_ID]]</f>
        <v>ORD-1096</v>
      </c>
      <c r="B98" s="41" cm="1">
        <f t="array" ref="B98">INDEX(SalesData[Order_Date], ROW()-1)</f>
        <v>45135</v>
      </c>
      <c r="C98" s="40" t="str" cm="1">
        <f t="array" ref="C98">INDEX(SalesData[Category], ROW()-1)</f>
        <v>Beauty</v>
      </c>
      <c r="D98" s="40" t="str" cm="1">
        <f t="array" ref="D98">INDEX(SalesData[Product_Name],ROW()-1)</f>
        <v>Face Serum</v>
      </c>
      <c r="E98" s="40" t="str" cm="1">
        <f t="array" ref="E98">INDEX(SalesData[Customer_State],ROW()-1)</f>
        <v>Karnataka</v>
      </c>
      <c r="F98" s="40" t="str" cm="1">
        <f t="array" ref="F98">INDEX(SalesData[Order_Status], ROW()-1)</f>
        <v>Delivered</v>
      </c>
      <c r="G98" s="40" t="str" cm="1">
        <f t="array" ref="G98">INDEX(SalesData[Fulfillment_Type], ROW()-1)</f>
        <v>FBA</v>
      </c>
      <c r="H98" s="40" cm="1">
        <f t="array" ref="H98">INDEX(SalesData[Units_Sold], ROW()-1)</f>
        <v>7</v>
      </c>
      <c r="I98" s="44" cm="1">
        <f t="array" ref="I98">INDEX(SalesData[Gross_Sales_INR], ROW()-1)</f>
        <v>17031</v>
      </c>
      <c r="J98" s="43" cm="1">
        <f t="array" ref="J98">INDEX(SalesData[Net_Profit_INR], ROW()-1)</f>
        <v>7698.59</v>
      </c>
      <c r="K98" s="42" cm="1">
        <f t="array" ref="K98">INDEX(SalesData[Profit_Margin_%], ROW()-1)</f>
        <v>45.2</v>
      </c>
      <c r="L98" s="46" t="str" cm="1">
        <f t="array" ref="L98">IF(INDEX(SalesData[Customer_Rating], ROW()-1)="", "—",REPT("★", INDEX(SalesData[Customer_Rating], ROW()-1)) &amp; REPT("☆", 5-INDEX(SalesData[Customer_Rating], ROW()-1)))</f>
        <v>★★★★☆</v>
      </c>
      <c r="M98" s="40" t="str" cm="1">
        <f t="array" ref="M98">IF(INDEX(SalesData[Units_Sold],ROW()-1) &lt; 5, "⚠️ Reorder", "OK")</f>
        <v>OK</v>
      </c>
      <c r="N98" s="40" t="str">
        <f t="shared" si="1"/>
        <v>Breakeven</v>
      </c>
      <c r="O98" s="47" t="str">
        <f>SalesData[[#This Row],[Ad_Type]]</f>
        <v>Sponsored Brands</v>
      </c>
      <c r="P98" s="47" t="str">
        <f>SalesData[[#This Row],[Brand]]</f>
        <v>Generic</v>
      </c>
      <c r="Q98" s="47" t="str">
        <f>SalesData[[#This Row],[Product_Name]]</f>
        <v>Face Serum</v>
      </c>
      <c r="R98" s="47"/>
      <c r="S98" s="47"/>
      <c r="T98" s="47"/>
      <c r="U98" s="47"/>
      <c r="V98" s="47"/>
    </row>
    <row r="99" spans="1:22">
      <c r="A99" s="45" t="str">
        <f>SalesData[[#This Row],[Order_ID]]</f>
        <v>ORD-1097</v>
      </c>
      <c r="B99" s="41" cm="1">
        <f t="array" ref="B99">INDEX(SalesData[Order_Date], ROW()-1)</f>
        <v>45356</v>
      </c>
      <c r="C99" s="40" t="str" cm="1">
        <f t="array" ref="C99">INDEX(SalesData[Category], ROW()-1)</f>
        <v>Fashion</v>
      </c>
      <c r="D99" s="40" t="str" cm="1">
        <f t="array" ref="D99">INDEX(SalesData[Product_Name],ROW()-1)</f>
        <v>Men's T-Shirt</v>
      </c>
      <c r="E99" s="40" t="str" cm="1">
        <f t="array" ref="E99">INDEX(SalesData[Customer_State],ROW()-1)</f>
        <v>Rajasthan</v>
      </c>
      <c r="F99" s="40" t="str" cm="1">
        <f t="array" ref="F99">INDEX(SalesData[Order_Status], ROW()-1)</f>
        <v>Delivered</v>
      </c>
      <c r="G99" s="40" t="str" cm="1">
        <f t="array" ref="G99">INDEX(SalesData[Fulfillment_Type], ROW()-1)</f>
        <v>FBA</v>
      </c>
      <c r="H99" s="40" cm="1">
        <f t="array" ref="H99">INDEX(SalesData[Units_Sold], ROW()-1)</f>
        <v>5</v>
      </c>
      <c r="I99" s="44" cm="1">
        <f t="array" ref="I99">INDEX(SalesData[Gross_Sales_INR], ROW()-1)</f>
        <v>6030</v>
      </c>
      <c r="J99" s="43" cm="1">
        <f t="array" ref="J99">INDEX(SalesData[Net_Profit_INR], ROW()-1)</f>
        <v>1716.07</v>
      </c>
      <c r="K99" s="42" cm="1">
        <f t="array" ref="K99">INDEX(SalesData[Profit_Margin_%], ROW()-1)</f>
        <v>28.5</v>
      </c>
      <c r="L99" s="46" t="str" cm="1">
        <f t="array" ref="L99">IF(INDEX(SalesData[Customer_Rating], ROW()-1)="", "—",REPT("★", INDEX(SalesData[Customer_Rating], ROW()-1)) &amp; REPT("☆", 5-INDEX(SalesData[Customer_Rating], ROW()-1)))</f>
        <v>★★★★☆</v>
      </c>
      <c r="M99" s="40" t="str" cm="1">
        <f t="array" ref="M99">IF(INDEX(SalesData[Units_Sold],ROW()-1) &lt; 5, "⚠️ Reorder", "OK")</f>
        <v>OK</v>
      </c>
      <c r="N99" s="40" t="str">
        <f t="shared" si="1"/>
        <v>Breakeven</v>
      </c>
      <c r="O99" s="47" t="str">
        <f>SalesData[[#This Row],[Ad_Type]]</f>
        <v>None</v>
      </c>
      <c r="P99" s="47" t="str">
        <f>SalesData[[#This Row],[Brand]]</f>
        <v>Himalaya</v>
      </c>
      <c r="Q99" s="47" t="str">
        <f>SalesData[[#This Row],[Product_Name]]</f>
        <v>Men's T-Shirt</v>
      </c>
      <c r="R99" s="47"/>
      <c r="S99" s="47"/>
      <c r="T99" s="47"/>
      <c r="U99" s="47"/>
      <c r="V99" s="47"/>
    </row>
    <row r="100" spans="1:22">
      <c r="A100" s="45" t="str">
        <f>SalesData[[#This Row],[Order_ID]]</f>
        <v>ORD-1098</v>
      </c>
      <c r="B100" s="41" cm="1">
        <f t="array" ref="B100">INDEX(SalesData[Order_Date], ROW()-1)</f>
        <v>45293</v>
      </c>
      <c r="C100" s="40" t="str" cm="1">
        <f t="array" ref="C100">INDEX(SalesData[Category], ROW()-1)</f>
        <v>Beauty</v>
      </c>
      <c r="D100" s="40" t="str" cm="1">
        <f t="array" ref="D100">INDEX(SalesData[Product_Name],ROW()-1)</f>
        <v>Sunscreen</v>
      </c>
      <c r="E100" s="40" t="str" cm="1">
        <f t="array" ref="E100">INDEX(SalesData[Customer_State],ROW()-1)</f>
        <v>Haryana</v>
      </c>
      <c r="F100" s="40" t="str" cm="1">
        <f t="array" ref="F100">INDEX(SalesData[Order_Status], ROW()-1)</f>
        <v>Delivered</v>
      </c>
      <c r="G100" s="40" t="str" cm="1">
        <f t="array" ref="G100">INDEX(SalesData[Fulfillment_Type], ROW()-1)</f>
        <v>FBA</v>
      </c>
      <c r="H100" s="40" cm="1">
        <f t="array" ref="H100">INDEX(SalesData[Units_Sold], ROW()-1)</f>
        <v>6</v>
      </c>
      <c r="I100" s="44" cm="1">
        <f t="array" ref="I100">INDEX(SalesData[Gross_Sales_INR], ROW()-1)</f>
        <v>2910</v>
      </c>
      <c r="J100" s="43" cm="1">
        <f t="array" ref="J100">INDEX(SalesData[Net_Profit_INR], ROW()-1)</f>
        <v>1310.99</v>
      </c>
      <c r="K100" s="42" cm="1">
        <f t="array" ref="K100">INDEX(SalesData[Profit_Margin_%], ROW()-1)</f>
        <v>45.1</v>
      </c>
      <c r="L100" s="46" t="str" cm="1">
        <f t="array" ref="L100">IF(INDEX(SalesData[Customer_Rating], ROW()-1)="", "—",REPT("★", INDEX(SalesData[Customer_Rating], ROW()-1)) &amp; REPT("☆", 5-INDEX(SalesData[Customer_Rating], ROW()-1)))</f>
        <v>★★★★★</v>
      </c>
      <c r="M100" s="40" t="str" cm="1">
        <f t="array" ref="M100">IF(INDEX(SalesData[Units_Sold],ROW()-1) &lt; 5, "⚠️ Reorder", "OK")</f>
        <v>OK</v>
      </c>
      <c r="N100" s="40" t="str">
        <f t="shared" si="1"/>
        <v>Breakeven</v>
      </c>
      <c r="O100" s="47" t="str">
        <f>SalesData[[#This Row],[Ad_Type]]</f>
        <v>Sponsored Brands</v>
      </c>
      <c r="P100" s="47" t="str">
        <f>SalesData[[#This Row],[Brand]]</f>
        <v>Milton</v>
      </c>
      <c r="Q100" s="47" t="str">
        <f>SalesData[[#This Row],[Product_Name]]</f>
        <v>Sunscreen</v>
      </c>
      <c r="R100" s="47"/>
      <c r="S100" s="47"/>
      <c r="T100" s="47"/>
      <c r="U100" s="47"/>
      <c r="V100" s="47"/>
    </row>
    <row r="101" spans="1:22">
      <c r="A101" s="45" t="str">
        <f>SalesData[[#This Row],[Order_ID]]</f>
        <v>ORD-1099</v>
      </c>
      <c r="B101" s="41" cm="1">
        <f t="array" ref="B101">INDEX(SalesData[Order_Date], ROW()-1)</f>
        <v>45582</v>
      </c>
      <c r="C101" s="40" t="str" cm="1">
        <f t="array" ref="C101">INDEX(SalesData[Category], ROW()-1)</f>
        <v>Home &amp; Kitchen</v>
      </c>
      <c r="D101" s="40" t="str" cm="1">
        <f t="array" ref="D101">INDEX(SalesData[Product_Name],ROW()-1)</f>
        <v>Knife Set</v>
      </c>
      <c r="E101" s="40" t="str" cm="1">
        <f t="array" ref="E101">INDEX(SalesData[Customer_State],ROW()-1)</f>
        <v>Madhya Pradesh</v>
      </c>
      <c r="F101" s="40" t="str" cm="1">
        <f t="array" ref="F101">INDEX(SalesData[Order_Status], ROW()-1)</f>
        <v>Cancelled</v>
      </c>
      <c r="G101" s="40" t="str" cm="1">
        <f t="array" ref="G101">INDEX(SalesData[Fulfillment_Type], ROW()-1)</f>
        <v>FBM</v>
      </c>
      <c r="H101" s="40" cm="1">
        <f t="array" ref="H101">INDEX(SalesData[Units_Sold], ROW()-1)</f>
        <v>6</v>
      </c>
      <c r="I101" s="44" cm="1">
        <f t="array" ref="I101">INDEX(SalesData[Gross_Sales_INR], ROW()-1)</f>
        <v>19938</v>
      </c>
      <c r="J101" s="43" cm="1">
        <f t="array" ref="J101">INDEX(SalesData[Net_Profit_INR], ROW()-1)</f>
        <v>8804.6</v>
      </c>
      <c r="K101" s="42" cm="1">
        <f t="array" ref="K101">INDEX(SalesData[Profit_Margin_%], ROW()-1)</f>
        <v>44.2</v>
      </c>
      <c r="L101" s="46" t="str" cm="1">
        <f t="array" ref="L101">IF(INDEX(SalesData[Customer_Rating], ROW()-1)="", "—",REPT("★", INDEX(SalesData[Customer_Rating], ROW()-1)) &amp; REPT("☆", 5-INDEX(SalesData[Customer_Rating], ROW()-1)))</f>
        <v>—</v>
      </c>
      <c r="M101" s="40" t="str" cm="1">
        <f t="array" ref="M101">IF(INDEX(SalesData[Units_Sold],ROW()-1) &lt; 5, "⚠️ Reorder", "OK")</f>
        <v>OK</v>
      </c>
      <c r="N101" s="40" t="str">
        <f t="shared" si="1"/>
        <v>Breakeven</v>
      </c>
      <c r="O101" s="47" t="str">
        <f>SalesData[[#This Row],[Ad_Type]]</f>
        <v>Sponsored Products</v>
      </c>
      <c r="P101" s="47" t="str">
        <f>SalesData[[#This Row],[Brand]]</f>
        <v>Puma</v>
      </c>
      <c r="Q101" s="47" t="str">
        <f>SalesData[[#This Row],[Product_Name]]</f>
        <v>Knife Set</v>
      </c>
      <c r="R101" s="47"/>
      <c r="S101" s="47"/>
      <c r="T101" s="47"/>
      <c r="U101" s="47"/>
      <c r="V101" s="47"/>
    </row>
    <row r="102" spans="1:22">
      <c r="A102" s="45" t="str">
        <f>SalesData[[#This Row],[Order_ID]]</f>
        <v>ORD-1100</v>
      </c>
      <c r="B102" s="41" cm="1">
        <f t="array" ref="B102">INDEX(SalesData[Order_Date], ROW()-1)</f>
        <v>45117</v>
      </c>
      <c r="C102" s="40" t="str" cm="1">
        <f t="array" ref="C102">INDEX(SalesData[Category], ROW()-1)</f>
        <v>Beauty</v>
      </c>
      <c r="D102" s="40" t="str" cm="1">
        <f t="array" ref="D102">INDEX(SalesData[Product_Name],ROW()-1)</f>
        <v>Moisturizer</v>
      </c>
      <c r="E102" s="40" t="str" cm="1">
        <f t="array" ref="E102">INDEX(SalesData[Customer_State],ROW()-1)</f>
        <v>Tamil Nadu</v>
      </c>
      <c r="F102" s="40" t="str" cm="1">
        <f t="array" ref="F102">INDEX(SalesData[Order_Status], ROW()-1)</f>
        <v>Cancelled</v>
      </c>
      <c r="G102" s="40" t="str" cm="1">
        <f t="array" ref="G102">INDEX(SalesData[Fulfillment_Type], ROW()-1)</f>
        <v>FBA</v>
      </c>
      <c r="H102" s="40" cm="1">
        <f t="array" ref="H102">INDEX(SalesData[Units_Sold], ROW()-1)</f>
        <v>3</v>
      </c>
      <c r="I102" s="44" cm="1">
        <f t="array" ref="I102">INDEX(SalesData[Gross_Sales_INR], ROW()-1)</f>
        <v>11991</v>
      </c>
      <c r="J102" s="43" cm="1">
        <f t="array" ref="J102">INDEX(SalesData[Net_Profit_INR], ROW()-1)</f>
        <v>5862</v>
      </c>
      <c r="K102" s="42" cm="1">
        <f t="array" ref="K102">INDEX(SalesData[Profit_Margin_%], ROW()-1)</f>
        <v>48.9</v>
      </c>
      <c r="L102" s="46" t="str" cm="1">
        <f t="array" ref="L102">IF(INDEX(SalesData[Customer_Rating], ROW()-1)="", "—",REPT("★", INDEX(SalesData[Customer_Rating], ROW()-1)) &amp; REPT("☆", 5-INDEX(SalesData[Customer_Rating], ROW()-1)))</f>
        <v>—</v>
      </c>
      <c r="M102" s="40" t="str" cm="1">
        <f t="array" ref="M102">IF(INDEX(SalesData[Units_Sold],ROW()-1) &lt; 5, "⚠️ Reorder", "OK")</f>
        <v>⚠️ Reorder</v>
      </c>
      <c r="N102" s="40" t="str">
        <f t="shared" si="1"/>
        <v>Breakeven</v>
      </c>
      <c r="O102" s="47" t="str">
        <f>SalesData[[#This Row],[Ad_Type]]</f>
        <v>Sponsored Products</v>
      </c>
      <c r="P102" s="47" t="str">
        <f>SalesData[[#This Row],[Brand]]</f>
        <v>Himalaya</v>
      </c>
      <c r="Q102" s="47" t="str">
        <f>SalesData[[#This Row],[Product_Name]]</f>
        <v>Moisturizer</v>
      </c>
      <c r="R102" s="47"/>
      <c r="S102" s="47"/>
      <c r="T102" s="47"/>
      <c r="U102" s="47"/>
      <c r="V102" s="47"/>
    </row>
    <row r="103" spans="1:22">
      <c r="A103" s="45" t="str">
        <f>SalesData[[#This Row],[Order_ID]]</f>
        <v>ORD-1101</v>
      </c>
      <c r="B103" s="41" cm="1">
        <f t="array" ref="B103">INDEX(SalesData[Order_Date], ROW()-1)</f>
        <v>45404</v>
      </c>
      <c r="C103" s="40" t="str" cm="1">
        <f t="array" ref="C103">INDEX(SalesData[Category], ROW()-1)</f>
        <v>Electronics</v>
      </c>
      <c r="D103" s="40" t="str" cm="1">
        <f t="array" ref="D103">INDEX(SalesData[Product_Name],ROW()-1)</f>
        <v>USB Cable</v>
      </c>
      <c r="E103" s="40" t="str" cm="1">
        <f t="array" ref="E103">INDEX(SalesData[Customer_State],ROW()-1)</f>
        <v>Tamil Nadu</v>
      </c>
      <c r="F103" s="40" t="str" cm="1">
        <f t="array" ref="F103">INDEX(SalesData[Order_Status], ROW()-1)</f>
        <v>Pending</v>
      </c>
      <c r="G103" s="40" t="str" cm="1">
        <f t="array" ref="G103">INDEX(SalesData[Fulfillment_Type], ROW()-1)</f>
        <v>FBA</v>
      </c>
      <c r="H103" s="40" cm="1">
        <f t="array" ref="H103">INDEX(SalesData[Units_Sold], ROW()-1)</f>
        <v>10</v>
      </c>
      <c r="I103" s="44" cm="1">
        <f t="array" ref="I103">INDEX(SalesData[Gross_Sales_INR], ROW()-1)</f>
        <v>27780</v>
      </c>
      <c r="J103" s="43" cm="1">
        <f t="array" ref="J103">INDEX(SalesData[Net_Profit_INR], ROW()-1)</f>
        <v>10399.73</v>
      </c>
      <c r="K103" s="42" cm="1">
        <f t="array" ref="K103">INDEX(SalesData[Profit_Margin_%], ROW()-1)</f>
        <v>37.4</v>
      </c>
      <c r="L103" s="46" t="str" cm="1">
        <f t="array" ref="L103">IF(INDEX(SalesData[Customer_Rating], ROW()-1)="", "—",REPT("★", INDEX(SalesData[Customer_Rating], ROW()-1)) &amp; REPT("☆", 5-INDEX(SalesData[Customer_Rating], ROW()-1)))</f>
        <v>—</v>
      </c>
      <c r="M103" s="40" t="str" cm="1">
        <f t="array" ref="M103">IF(INDEX(SalesData[Units_Sold],ROW()-1) &lt; 5, "⚠️ Reorder", "OK")</f>
        <v>OK</v>
      </c>
      <c r="N103" s="40" t="str">
        <f t="shared" si="1"/>
        <v>Breakeven</v>
      </c>
      <c r="O103" s="47" t="str">
        <f>SalesData[[#This Row],[Ad_Type]]</f>
        <v>None</v>
      </c>
      <c r="P103" s="47" t="str">
        <f>SalesData[[#This Row],[Brand]]</f>
        <v>Milton</v>
      </c>
      <c r="Q103" s="47" t="str">
        <f>SalesData[[#This Row],[Product_Name]]</f>
        <v>USB Cable</v>
      </c>
      <c r="R103" s="47"/>
      <c r="S103" s="47"/>
      <c r="T103" s="47"/>
      <c r="U103" s="47"/>
      <c r="V103" s="47"/>
    </row>
    <row r="104" spans="1:22">
      <c r="A104" s="45" t="str">
        <f>SalesData[[#This Row],[Order_ID]]</f>
        <v>ORD-1102</v>
      </c>
      <c r="B104" s="41" cm="1">
        <f t="array" ref="B104">INDEX(SalesData[Order_Date], ROW()-1)</f>
        <v>45250</v>
      </c>
      <c r="C104" s="40" t="str" cm="1">
        <f t="array" ref="C104">INDEX(SalesData[Category], ROW()-1)</f>
        <v>Home &amp; Kitchen</v>
      </c>
      <c r="D104" s="40" t="str" cm="1">
        <f t="array" ref="D104">INDEX(SalesData[Product_Name],ROW()-1)</f>
        <v>Coffee Mug</v>
      </c>
      <c r="E104" s="40" t="str" cm="1">
        <f t="array" ref="E104">INDEX(SalesData[Customer_State],ROW()-1)</f>
        <v>Tamil Nadu</v>
      </c>
      <c r="F104" s="40" t="str" cm="1">
        <f t="array" ref="F104">INDEX(SalesData[Order_Status], ROW()-1)</f>
        <v>Delivered</v>
      </c>
      <c r="G104" s="40" t="str" cm="1">
        <f t="array" ref="G104">INDEX(SalesData[Fulfillment_Type], ROW()-1)</f>
        <v>FBA</v>
      </c>
      <c r="H104" s="40" cm="1">
        <f t="array" ref="H104">INDEX(SalesData[Units_Sold], ROW()-1)</f>
        <v>2</v>
      </c>
      <c r="I104" s="44" cm="1">
        <f t="array" ref="I104">INDEX(SalesData[Gross_Sales_INR], ROW()-1)</f>
        <v>560</v>
      </c>
      <c r="J104" s="43" cm="1">
        <f t="array" ref="J104">INDEX(SalesData[Net_Profit_INR], ROW()-1)</f>
        <v>-63.56</v>
      </c>
      <c r="K104" s="42" cm="1">
        <f t="array" ref="K104">INDEX(SalesData[Profit_Margin_%], ROW()-1)</f>
        <v>-11.3</v>
      </c>
      <c r="L104" s="46" t="str" cm="1">
        <f t="array" ref="L104">IF(INDEX(SalesData[Customer_Rating], ROW()-1)="", "—",REPT("★", INDEX(SalesData[Customer_Rating], ROW()-1)) &amp; REPT("☆", 5-INDEX(SalesData[Customer_Rating], ROW()-1)))</f>
        <v>★★★★☆</v>
      </c>
      <c r="M104" s="40" t="str" cm="1">
        <f t="array" ref="M104">IF(INDEX(SalesData[Units_Sold],ROW()-1) &lt; 5, "⚠️ Reorder", "OK")</f>
        <v>⚠️ Reorder</v>
      </c>
      <c r="N104" s="40" t="str">
        <f t="shared" si="1"/>
        <v>Breakeven</v>
      </c>
      <c r="O104" s="47" t="str">
        <f>SalesData[[#This Row],[Ad_Type]]</f>
        <v>None</v>
      </c>
      <c r="P104" s="47" t="str">
        <f>SalesData[[#This Row],[Brand]]</f>
        <v>Generic</v>
      </c>
      <c r="Q104" s="47" t="str">
        <f>SalesData[[#This Row],[Product_Name]]</f>
        <v>Coffee Mug</v>
      </c>
      <c r="R104" s="47"/>
      <c r="S104" s="47"/>
      <c r="T104" s="47"/>
      <c r="U104" s="47"/>
      <c r="V104" s="47"/>
    </row>
    <row r="105" spans="1:22">
      <c r="A105" s="45" t="str">
        <f>SalesData[[#This Row],[Order_ID]]</f>
        <v>ORD-1103</v>
      </c>
      <c r="B105" s="41" cm="1">
        <f t="array" ref="B105">INDEX(SalesData[Order_Date], ROW()-1)</f>
        <v>45546</v>
      </c>
      <c r="C105" s="40" t="str" cm="1">
        <f t="array" ref="C105">INDEX(SalesData[Category], ROW()-1)</f>
        <v>Beauty</v>
      </c>
      <c r="D105" s="40" t="str" cm="1">
        <f t="array" ref="D105">INDEX(SalesData[Product_Name],ROW()-1)</f>
        <v>Lip Balm</v>
      </c>
      <c r="E105" s="40" t="str" cm="1">
        <f t="array" ref="E105">INDEX(SalesData[Customer_State],ROW()-1)</f>
        <v>Gujarat</v>
      </c>
      <c r="F105" s="40" t="str" cm="1">
        <f t="array" ref="F105">INDEX(SalesData[Order_Status], ROW()-1)</f>
        <v>Delivered</v>
      </c>
      <c r="G105" s="40" t="str" cm="1">
        <f t="array" ref="G105">INDEX(SalesData[Fulfillment_Type], ROW()-1)</f>
        <v>FBA</v>
      </c>
      <c r="H105" s="40" cm="1">
        <f t="array" ref="H105">INDEX(SalesData[Units_Sold], ROW()-1)</f>
        <v>10</v>
      </c>
      <c r="I105" s="44" cm="1">
        <f t="array" ref="I105">INDEX(SalesData[Gross_Sales_INR], ROW()-1)</f>
        <v>12480</v>
      </c>
      <c r="J105" s="43" cm="1">
        <f t="array" ref="J105">INDEX(SalesData[Net_Profit_INR], ROW()-1)</f>
        <v>3864.68</v>
      </c>
      <c r="K105" s="42" cm="1">
        <f t="array" ref="K105">INDEX(SalesData[Profit_Margin_%], ROW()-1)</f>
        <v>31</v>
      </c>
      <c r="L105" s="46" t="str" cm="1">
        <f t="array" ref="L105">IF(INDEX(SalesData[Customer_Rating], ROW()-1)="", "—",REPT("★", INDEX(SalesData[Customer_Rating], ROW()-1)) &amp; REPT("☆", 5-INDEX(SalesData[Customer_Rating], ROW()-1)))</f>
        <v>★★★★★</v>
      </c>
      <c r="M105" s="40" t="str" cm="1">
        <f t="array" ref="M105">IF(INDEX(SalesData[Units_Sold],ROW()-1) &lt; 5, "⚠️ Reorder", "OK")</f>
        <v>OK</v>
      </c>
      <c r="N105" s="40" t="str">
        <f t="shared" si="1"/>
        <v>Breakeven</v>
      </c>
      <c r="O105" s="47" t="str">
        <f>SalesData[[#This Row],[Ad_Type]]</f>
        <v>None</v>
      </c>
      <c r="P105" s="47" t="str">
        <f>SalesData[[#This Row],[Brand]]</f>
        <v>Generic</v>
      </c>
      <c r="Q105" s="47" t="str">
        <f>SalesData[[#This Row],[Product_Name]]</f>
        <v>Lip Balm</v>
      </c>
      <c r="R105" s="47"/>
      <c r="S105" s="47"/>
      <c r="T105" s="47"/>
      <c r="U105" s="47"/>
      <c r="V105" s="47"/>
    </row>
    <row r="106" spans="1:22">
      <c r="A106" s="45" t="str">
        <f>SalesData[[#This Row],[Order_ID]]</f>
        <v>ORD-1104</v>
      </c>
      <c r="B106" s="41" cm="1">
        <f t="array" ref="B106">INDEX(SalesData[Order_Date], ROW()-1)</f>
        <v>45067</v>
      </c>
      <c r="C106" s="40" t="str" cm="1">
        <f t="array" ref="C106">INDEX(SalesData[Category], ROW()-1)</f>
        <v>Beauty</v>
      </c>
      <c r="D106" s="40" t="str" cm="1">
        <f t="array" ref="D106">INDEX(SalesData[Product_Name],ROW()-1)</f>
        <v>Body Lotion</v>
      </c>
      <c r="E106" s="40" t="str" cm="1">
        <f t="array" ref="E106">INDEX(SalesData[Customer_State],ROW()-1)</f>
        <v>Madhya Pradesh</v>
      </c>
      <c r="F106" s="40" t="str" cm="1">
        <f t="array" ref="F106">INDEX(SalesData[Order_Status], ROW()-1)</f>
        <v>In Transit</v>
      </c>
      <c r="G106" s="40" t="str" cm="1">
        <f t="array" ref="G106">INDEX(SalesData[Fulfillment_Type], ROW()-1)</f>
        <v>FBA</v>
      </c>
      <c r="H106" s="40" cm="1">
        <f t="array" ref="H106">INDEX(SalesData[Units_Sold], ROW()-1)</f>
        <v>7</v>
      </c>
      <c r="I106" s="44" cm="1">
        <f t="array" ref="I106">INDEX(SalesData[Gross_Sales_INR], ROW()-1)</f>
        <v>8141</v>
      </c>
      <c r="J106" s="43" cm="1">
        <f t="array" ref="J106">INDEX(SalesData[Net_Profit_INR], ROW()-1)</f>
        <v>2926.71</v>
      </c>
      <c r="K106" s="42" cm="1">
        <f t="array" ref="K106">INDEX(SalesData[Profit_Margin_%], ROW()-1)</f>
        <v>36</v>
      </c>
      <c r="L106" s="46" t="str" cm="1">
        <f t="array" ref="L106">IF(INDEX(SalesData[Customer_Rating], ROW()-1)="", "—",REPT("★", INDEX(SalesData[Customer_Rating], ROW()-1)) &amp; REPT("☆", 5-INDEX(SalesData[Customer_Rating], ROW()-1)))</f>
        <v>—</v>
      </c>
      <c r="M106" s="40" t="str" cm="1">
        <f t="array" ref="M106">IF(INDEX(SalesData[Units_Sold],ROW()-1) &lt; 5, "⚠️ Reorder", "OK")</f>
        <v>OK</v>
      </c>
      <c r="N106" s="40" t="str">
        <f t="shared" si="1"/>
        <v>Breakeven</v>
      </c>
      <c r="O106" s="47" t="str">
        <f>SalesData[[#This Row],[Ad_Type]]</f>
        <v>None</v>
      </c>
      <c r="P106" s="47" t="str">
        <f>SalesData[[#This Row],[Brand]]</f>
        <v>Milton</v>
      </c>
      <c r="Q106" s="47" t="str">
        <f>SalesData[[#This Row],[Product_Name]]</f>
        <v>Body Lotion</v>
      </c>
      <c r="R106" s="47"/>
      <c r="S106" s="47"/>
      <c r="T106" s="47"/>
      <c r="U106" s="47"/>
      <c r="V106" s="47"/>
    </row>
    <row r="107" spans="1:22">
      <c r="A107" s="45" t="str">
        <f>SalesData[[#This Row],[Order_ID]]</f>
        <v>ORD-1105</v>
      </c>
      <c r="B107" s="41" cm="1">
        <f t="array" ref="B107">INDEX(SalesData[Order_Date], ROW()-1)</f>
        <v>45559</v>
      </c>
      <c r="C107" s="40" t="str" cm="1">
        <f t="array" ref="C107">INDEX(SalesData[Category], ROW()-1)</f>
        <v>Office Supplies</v>
      </c>
      <c r="D107" s="40" t="str" cm="1">
        <f t="array" ref="D107">INDEX(SalesData[Product_Name],ROW()-1)</f>
        <v>File Folder</v>
      </c>
      <c r="E107" s="40" t="str" cm="1">
        <f t="array" ref="E107">INDEX(SalesData[Customer_State],ROW()-1)</f>
        <v>Punjab</v>
      </c>
      <c r="F107" s="40" t="str" cm="1">
        <f t="array" ref="F107">INDEX(SalesData[Order_Status], ROW()-1)</f>
        <v>Delivered</v>
      </c>
      <c r="G107" s="40" t="str" cm="1">
        <f t="array" ref="G107">INDEX(SalesData[Fulfillment_Type], ROW()-1)</f>
        <v>FBA</v>
      </c>
      <c r="H107" s="40" cm="1">
        <f t="array" ref="H107">INDEX(SalesData[Units_Sold], ROW()-1)</f>
        <v>10</v>
      </c>
      <c r="I107" s="44" cm="1">
        <f t="array" ref="I107">INDEX(SalesData[Gross_Sales_INR], ROW()-1)</f>
        <v>7450</v>
      </c>
      <c r="J107" s="43" cm="1">
        <f t="array" ref="J107">INDEX(SalesData[Net_Profit_INR], ROW()-1)</f>
        <v>3282.3</v>
      </c>
      <c r="K107" s="42" cm="1">
        <f t="array" ref="K107">INDEX(SalesData[Profit_Margin_%], ROW()-1)</f>
        <v>44.1</v>
      </c>
      <c r="L107" s="46" t="str" cm="1">
        <f t="array" ref="L107">IF(INDEX(SalesData[Customer_Rating], ROW()-1)="", "—",REPT("★", INDEX(SalesData[Customer_Rating], ROW()-1)) &amp; REPT("☆", 5-INDEX(SalesData[Customer_Rating], ROW()-1)))</f>
        <v>★★☆☆☆</v>
      </c>
      <c r="M107" s="40" t="str" cm="1">
        <f t="array" ref="M107">IF(INDEX(SalesData[Units_Sold],ROW()-1) &lt; 5, "⚠️ Reorder", "OK")</f>
        <v>OK</v>
      </c>
      <c r="N107" s="40" t="str">
        <f t="shared" si="1"/>
        <v>Breakeven</v>
      </c>
      <c r="O107" s="47" t="str">
        <f>SalesData[[#This Row],[Ad_Type]]</f>
        <v>Sponsored Products</v>
      </c>
      <c r="P107" s="47" t="str">
        <f>SalesData[[#This Row],[Brand]]</f>
        <v>Decathlon</v>
      </c>
      <c r="Q107" s="47" t="str">
        <f>SalesData[[#This Row],[Product_Name]]</f>
        <v>File Folder</v>
      </c>
      <c r="R107" s="47"/>
      <c r="S107" s="47"/>
      <c r="T107" s="47"/>
      <c r="U107" s="47"/>
      <c r="V107" s="47"/>
    </row>
    <row r="108" spans="1:22">
      <c r="A108" s="45" t="str">
        <f>SalesData[[#This Row],[Order_ID]]</f>
        <v>ORD-1106</v>
      </c>
      <c r="B108" s="41" cm="1">
        <f t="array" ref="B108">INDEX(SalesData[Order_Date], ROW()-1)</f>
        <v>45058</v>
      </c>
      <c r="C108" s="40" t="str" cm="1">
        <f t="array" ref="C108">INDEX(SalesData[Category], ROW()-1)</f>
        <v>Home &amp; Kitchen</v>
      </c>
      <c r="D108" s="40" t="str" cm="1">
        <f t="array" ref="D108">INDEX(SalesData[Product_Name],ROW()-1)</f>
        <v>Knife Set</v>
      </c>
      <c r="E108" s="40" t="str" cm="1">
        <f t="array" ref="E108">INDEX(SalesData[Customer_State],ROW()-1)</f>
        <v>Kerala</v>
      </c>
      <c r="F108" s="40" t="str" cm="1">
        <f t="array" ref="F108">INDEX(SalesData[Order_Status], ROW()-1)</f>
        <v>Cancelled</v>
      </c>
      <c r="G108" s="40" t="str" cm="1">
        <f t="array" ref="G108">INDEX(SalesData[Fulfillment_Type], ROW()-1)</f>
        <v>FBM</v>
      </c>
      <c r="H108" s="40" cm="1">
        <f t="array" ref="H108">INDEX(SalesData[Units_Sold], ROW()-1)</f>
        <v>2</v>
      </c>
      <c r="I108" s="44" cm="1">
        <f t="array" ref="I108">INDEX(SalesData[Gross_Sales_INR], ROW()-1)</f>
        <v>4612</v>
      </c>
      <c r="J108" s="43" cm="1">
        <f t="array" ref="J108">INDEX(SalesData[Net_Profit_INR], ROW()-1)</f>
        <v>1620.1</v>
      </c>
      <c r="K108" s="42" cm="1">
        <f t="array" ref="K108">INDEX(SalesData[Profit_Margin_%], ROW()-1)</f>
        <v>35.1</v>
      </c>
      <c r="L108" s="46" t="str" cm="1">
        <f t="array" ref="L108">IF(INDEX(SalesData[Customer_Rating], ROW()-1)="", "—",REPT("★", INDEX(SalesData[Customer_Rating], ROW()-1)) &amp; REPT("☆", 5-INDEX(SalesData[Customer_Rating], ROW()-1)))</f>
        <v>—</v>
      </c>
      <c r="M108" s="40" t="str" cm="1">
        <f t="array" ref="M108">IF(INDEX(SalesData[Units_Sold],ROW()-1) &lt; 5, "⚠️ Reorder", "OK")</f>
        <v>⚠️ Reorder</v>
      </c>
      <c r="N108" s="40" t="str">
        <f t="shared" ref="N108:N139" si="2">IF(J44&gt;0, "Profit", IF(J44&lt;0, "Loss", "Breakeven"))</f>
        <v>Breakeven</v>
      </c>
      <c r="O108" s="47" t="str">
        <f>SalesData[[#This Row],[Ad_Type]]</f>
        <v>None</v>
      </c>
      <c r="P108" s="47" t="str">
        <f>SalesData[[#This Row],[Brand]]</f>
        <v>Fastrack</v>
      </c>
      <c r="Q108" s="47" t="str">
        <f>SalesData[[#This Row],[Product_Name]]</f>
        <v>Knife Set</v>
      </c>
      <c r="R108" s="47"/>
      <c r="S108" s="47"/>
      <c r="T108" s="47"/>
      <c r="U108" s="47"/>
      <c r="V108" s="47"/>
    </row>
    <row r="109" spans="1:22">
      <c r="A109" s="45" t="str">
        <f>SalesData[[#This Row],[Order_ID]]</f>
        <v>ORD-1107</v>
      </c>
      <c r="B109" s="41" cm="1">
        <f t="array" ref="B109">INDEX(SalesData[Order_Date], ROW()-1)</f>
        <v>45097</v>
      </c>
      <c r="C109" s="40" t="str" cm="1">
        <f t="array" ref="C109">INDEX(SalesData[Category], ROW()-1)</f>
        <v>Home &amp; Kitchen</v>
      </c>
      <c r="D109" s="40" t="str" cm="1">
        <f t="array" ref="D109">INDEX(SalesData[Product_Name],ROW()-1)</f>
        <v>Pillow Cover</v>
      </c>
      <c r="E109" s="40" t="str" cm="1">
        <f t="array" ref="E109">INDEX(SalesData[Customer_State],ROW()-1)</f>
        <v>Tamil Nadu</v>
      </c>
      <c r="F109" s="40" t="str" cm="1">
        <f t="array" ref="F109">INDEX(SalesData[Order_Status], ROW()-1)</f>
        <v>Delivered</v>
      </c>
      <c r="G109" s="40" t="str" cm="1">
        <f t="array" ref="G109">INDEX(SalesData[Fulfillment_Type], ROW()-1)</f>
        <v>FBA</v>
      </c>
      <c r="H109" s="40" cm="1">
        <f t="array" ref="H109">INDEX(SalesData[Units_Sold], ROW()-1)</f>
        <v>10</v>
      </c>
      <c r="I109" s="44" cm="1">
        <f t="array" ref="I109">INDEX(SalesData[Gross_Sales_INR], ROW()-1)</f>
        <v>32510</v>
      </c>
      <c r="J109" s="43" cm="1">
        <f t="array" ref="J109">INDEX(SalesData[Net_Profit_INR], ROW()-1)</f>
        <v>10294.48</v>
      </c>
      <c r="K109" s="42" cm="1">
        <f t="array" ref="K109">INDEX(SalesData[Profit_Margin_%], ROW()-1)</f>
        <v>31.7</v>
      </c>
      <c r="L109" s="46" t="str" cm="1">
        <f t="array" ref="L109">IF(INDEX(SalesData[Customer_Rating], ROW()-1)="", "—",REPT("★", INDEX(SalesData[Customer_Rating], ROW()-1)) &amp; REPT("☆", 5-INDEX(SalesData[Customer_Rating], ROW()-1)))</f>
        <v>★★★☆☆</v>
      </c>
      <c r="M109" s="40" t="str" cm="1">
        <f t="array" ref="M109">IF(INDEX(SalesData[Units_Sold],ROW()-1) &lt; 5, "⚠️ Reorder", "OK")</f>
        <v>OK</v>
      </c>
      <c r="N109" s="40" t="str">
        <f t="shared" si="2"/>
        <v>Breakeven</v>
      </c>
      <c r="O109" s="47" t="str">
        <f>SalesData[[#This Row],[Ad_Type]]</f>
        <v>None</v>
      </c>
      <c r="P109" s="47" t="str">
        <f>SalesData[[#This Row],[Brand]]</f>
        <v>Fastrack</v>
      </c>
      <c r="Q109" s="47" t="str">
        <f>SalesData[[#This Row],[Product_Name]]</f>
        <v>Pillow Cover</v>
      </c>
      <c r="R109" s="47"/>
      <c r="S109" s="47"/>
      <c r="T109" s="47"/>
      <c r="U109" s="47"/>
      <c r="V109" s="47"/>
    </row>
    <row r="110" spans="1:22">
      <c r="A110" s="45" t="str">
        <f>SalesData[[#This Row],[Order_ID]]</f>
        <v>ORD-1108</v>
      </c>
      <c r="B110" s="41" cm="1">
        <f t="array" ref="B110">INDEX(SalesData[Order_Date], ROW()-1)</f>
        <v>45383</v>
      </c>
      <c r="C110" s="40" t="str" cm="1">
        <f t="array" ref="C110">INDEX(SalesData[Category], ROW()-1)</f>
        <v>Beauty</v>
      </c>
      <c r="D110" s="40" t="str" cm="1">
        <f t="array" ref="D110">INDEX(SalesData[Product_Name],ROW()-1)</f>
        <v>Face Wash</v>
      </c>
      <c r="E110" s="40" t="str" cm="1">
        <f t="array" ref="E110">INDEX(SalesData[Customer_State],ROW()-1)</f>
        <v>Maharashtra</v>
      </c>
      <c r="F110" s="40" t="str" cm="1">
        <f t="array" ref="F110">INDEX(SalesData[Order_Status], ROW()-1)</f>
        <v>Pending</v>
      </c>
      <c r="G110" s="40" t="str" cm="1">
        <f t="array" ref="G110">INDEX(SalesData[Fulfillment_Type], ROW()-1)</f>
        <v>FBA</v>
      </c>
      <c r="H110" s="40" cm="1">
        <f t="array" ref="H110">INDEX(SalesData[Units_Sold], ROW()-1)</f>
        <v>9</v>
      </c>
      <c r="I110" s="44" cm="1">
        <f t="array" ref="I110">INDEX(SalesData[Gross_Sales_INR], ROW()-1)</f>
        <v>3033</v>
      </c>
      <c r="J110" s="43" cm="1">
        <f t="array" ref="J110">INDEX(SalesData[Net_Profit_INR], ROW()-1)</f>
        <v>596.64</v>
      </c>
      <c r="K110" s="42" cm="1">
        <f t="array" ref="K110">INDEX(SalesData[Profit_Margin_%], ROW()-1)</f>
        <v>19.7</v>
      </c>
      <c r="L110" s="46" t="str" cm="1">
        <f t="array" ref="L110">IF(INDEX(SalesData[Customer_Rating], ROW()-1)="", "—",REPT("★", INDEX(SalesData[Customer_Rating], ROW()-1)) &amp; REPT("☆", 5-INDEX(SalesData[Customer_Rating], ROW()-1)))</f>
        <v>—</v>
      </c>
      <c r="M110" s="40" t="str" cm="1">
        <f t="array" ref="M110">IF(INDEX(SalesData[Units_Sold],ROW()-1) &lt; 5, "⚠️ Reorder", "OK")</f>
        <v>OK</v>
      </c>
      <c r="N110" s="40" t="str">
        <f t="shared" si="2"/>
        <v>Breakeven</v>
      </c>
      <c r="O110" s="47" t="str">
        <f>SalesData[[#This Row],[Ad_Type]]</f>
        <v>Sponsored Products</v>
      </c>
      <c r="P110" s="47" t="str">
        <f>SalesData[[#This Row],[Brand]]</f>
        <v>Generic</v>
      </c>
      <c r="Q110" s="47" t="str">
        <f>SalesData[[#This Row],[Product_Name]]</f>
        <v>Face Wash</v>
      </c>
      <c r="R110" s="47"/>
      <c r="S110" s="47"/>
      <c r="T110" s="47"/>
      <c r="U110" s="47"/>
      <c r="V110" s="47"/>
    </row>
    <row r="111" spans="1:22">
      <c r="A111" s="45" t="str">
        <f>SalesData[[#This Row],[Order_ID]]</f>
        <v>ORD-1109</v>
      </c>
      <c r="B111" s="41" cm="1">
        <f t="array" ref="B111">INDEX(SalesData[Order_Date], ROW()-1)</f>
        <v>45066</v>
      </c>
      <c r="C111" s="40" t="str" cm="1">
        <f t="array" ref="C111">INDEX(SalesData[Category], ROW()-1)</f>
        <v>Office Supplies</v>
      </c>
      <c r="D111" s="40" t="str" cm="1">
        <f t="array" ref="D111">INDEX(SalesData[Product_Name],ROW()-1)</f>
        <v>Stapler</v>
      </c>
      <c r="E111" s="40" t="str" cm="1">
        <f t="array" ref="E111">INDEX(SalesData[Customer_State],ROW()-1)</f>
        <v>Gujarat</v>
      </c>
      <c r="F111" s="40" t="str" cm="1">
        <f t="array" ref="F111">INDEX(SalesData[Order_Status], ROW()-1)</f>
        <v>Pending</v>
      </c>
      <c r="G111" s="40" t="str" cm="1">
        <f t="array" ref="G111">INDEX(SalesData[Fulfillment_Type], ROW()-1)</f>
        <v>FBM</v>
      </c>
      <c r="H111" s="40" cm="1">
        <f t="array" ref="H111">INDEX(SalesData[Units_Sold], ROW()-1)</f>
        <v>3</v>
      </c>
      <c r="I111" s="44" cm="1">
        <f t="array" ref="I111">INDEX(SalesData[Gross_Sales_INR], ROW()-1)</f>
        <v>2664</v>
      </c>
      <c r="J111" s="43" cm="1">
        <f t="array" ref="J111">INDEX(SalesData[Net_Profit_INR], ROW()-1)</f>
        <v>732.56</v>
      </c>
      <c r="K111" s="42" cm="1">
        <f t="array" ref="K111">INDEX(SalesData[Profit_Margin_%], ROW()-1)</f>
        <v>27.5</v>
      </c>
      <c r="L111" s="46" t="str" cm="1">
        <f t="array" ref="L111">IF(INDEX(SalesData[Customer_Rating], ROW()-1)="", "—",REPT("★", INDEX(SalesData[Customer_Rating], ROW()-1)) &amp; REPT("☆", 5-INDEX(SalesData[Customer_Rating], ROW()-1)))</f>
        <v>—</v>
      </c>
      <c r="M111" s="40" t="str" cm="1">
        <f t="array" ref="M111">IF(INDEX(SalesData[Units_Sold],ROW()-1) &lt; 5, "⚠️ Reorder", "OK")</f>
        <v>⚠️ Reorder</v>
      </c>
      <c r="N111" s="40" t="str">
        <f t="shared" si="2"/>
        <v>Breakeven</v>
      </c>
      <c r="O111" s="47" t="str">
        <f>SalesData[[#This Row],[Ad_Type]]</f>
        <v>None</v>
      </c>
      <c r="P111" s="47" t="str">
        <f>SalesData[[#This Row],[Brand]]</f>
        <v>Puma</v>
      </c>
      <c r="Q111" s="47" t="str">
        <f>SalesData[[#This Row],[Product_Name]]</f>
        <v>Stapler</v>
      </c>
      <c r="R111" s="47"/>
      <c r="S111" s="47"/>
      <c r="T111" s="47"/>
      <c r="U111" s="47"/>
      <c r="V111" s="47"/>
    </row>
    <row r="112" spans="1:22">
      <c r="A112" s="45" t="str">
        <f>SalesData[[#This Row],[Order_ID]]</f>
        <v>ORD-1110</v>
      </c>
      <c r="B112" s="41" cm="1">
        <f t="array" ref="B112">INDEX(SalesData[Order_Date], ROW()-1)</f>
        <v>45556</v>
      </c>
      <c r="C112" s="40" t="str" cm="1">
        <f t="array" ref="C112">INDEX(SalesData[Category], ROW()-1)</f>
        <v>Home &amp; Kitchen</v>
      </c>
      <c r="D112" s="40" t="str" cm="1">
        <f t="array" ref="D112">INDEX(SalesData[Product_Name],ROW()-1)</f>
        <v>Water Bottle</v>
      </c>
      <c r="E112" s="40" t="str" cm="1">
        <f t="array" ref="E112">INDEX(SalesData[Customer_State],ROW()-1)</f>
        <v>Rajasthan</v>
      </c>
      <c r="F112" s="40" t="str" cm="1">
        <f t="array" ref="F112">INDEX(SalesData[Order_Status], ROW()-1)</f>
        <v>Pending</v>
      </c>
      <c r="G112" s="40" t="str" cm="1">
        <f t="array" ref="G112">INDEX(SalesData[Fulfillment_Type], ROW()-1)</f>
        <v>FBA</v>
      </c>
      <c r="H112" s="40" cm="1">
        <f t="array" ref="H112">INDEX(SalesData[Units_Sold], ROW()-1)</f>
        <v>4</v>
      </c>
      <c r="I112" s="44" cm="1">
        <f t="array" ref="I112">INDEX(SalesData[Gross_Sales_INR], ROW()-1)</f>
        <v>4364</v>
      </c>
      <c r="J112" s="43" cm="1">
        <f t="array" ref="J112">INDEX(SalesData[Net_Profit_INR], ROW()-1)</f>
        <v>2289.59</v>
      </c>
      <c r="K112" s="42" cm="1">
        <f t="array" ref="K112">INDEX(SalesData[Profit_Margin_%], ROW()-1)</f>
        <v>52.5</v>
      </c>
      <c r="L112" s="46" t="str" cm="1">
        <f t="array" ref="L112">IF(INDEX(SalesData[Customer_Rating], ROW()-1)="", "—",REPT("★", INDEX(SalesData[Customer_Rating], ROW()-1)) &amp; REPT("☆", 5-INDEX(SalesData[Customer_Rating], ROW()-1)))</f>
        <v>—</v>
      </c>
      <c r="M112" s="40" t="str" cm="1">
        <f t="array" ref="M112">IF(INDEX(SalesData[Units_Sold],ROW()-1) &lt; 5, "⚠️ Reorder", "OK")</f>
        <v>⚠️ Reorder</v>
      </c>
      <c r="N112" s="40" t="str">
        <f t="shared" si="2"/>
        <v>Breakeven</v>
      </c>
      <c r="O112" s="47" t="str">
        <f>SalesData[[#This Row],[Ad_Type]]</f>
        <v>None</v>
      </c>
      <c r="P112" s="47" t="str">
        <f>SalesData[[#This Row],[Brand]]</f>
        <v>Classmate</v>
      </c>
      <c r="Q112" s="47" t="str">
        <f>SalesData[[#This Row],[Product_Name]]</f>
        <v>Water Bottle</v>
      </c>
      <c r="R112" s="47"/>
      <c r="S112" s="47"/>
      <c r="T112" s="47"/>
      <c r="U112" s="47"/>
      <c r="V112" s="47"/>
    </row>
    <row r="113" spans="1:22">
      <c r="A113" s="45" t="str">
        <f>SalesData[[#This Row],[Order_ID]]</f>
        <v>ORD-1111</v>
      </c>
      <c r="B113" s="41" cm="1">
        <f t="array" ref="B113">INDEX(SalesData[Order_Date], ROW()-1)</f>
        <v>45542</v>
      </c>
      <c r="C113" s="40" t="str" cm="1">
        <f t="array" ref="C113">INDEX(SalesData[Category], ROW()-1)</f>
        <v>Beauty</v>
      </c>
      <c r="D113" s="40" t="str" cm="1">
        <f t="array" ref="D113">INDEX(SalesData[Product_Name],ROW()-1)</f>
        <v>Face Serum</v>
      </c>
      <c r="E113" s="40" t="str" cm="1">
        <f t="array" ref="E113">INDEX(SalesData[Customer_State],ROW()-1)</f>
        <v>Maharashtra</v>
      </c>
      <c r="F113" s="40" t="str" cm="1">
        <f t="array" ref="F113">INDEX(SalesData[Order_Status], ROW()-1)</f>
        <v>Cancelled</v>
      </c>
      <c r="G113" s="40" t="str" cm="1">
        <f t="array" ref="G113">INDEX(SalesData[Fulfillment_Type], ROW()-1)</f>
        <v>FBA</v>
      </c>
      <c r="H113" s="40" cm="1">
        <f t="array" ref="H113">INDEX(SalesData[Units_Sold], ROW()-1)</f>
        <v>9</v>
      </c>
      <c r="I113" s="44" cm="1">
        <f t="array" ref="I113">INDEX(SalesData[Gross_Sales_INR], ROW()-1)</f>
        <v>14517</v>
      </c>
      <c r="J113" s="43" cm="1">
        <f t="array" ref="J113">INDEX(SalesData[Net_Profit_INR], ROW()-1)</f>
        <v>5574.24</v>
      </c>
      <c r="K113" s="42" cm="1">
        <f t="array" ref="K113">INDEX(SalesData[Profit_Margin_%], ROW()-1)</f>
        <v>38.4</v>
      </c>
      <c r="L113" s="46" t="str" cm="1">
        <f t="array" ref="L113">IF(INDEX(SalesData[Customer_Rating], ROW()-1)="", "—",REPT("★", INDEX(SalesData[Customer_Rating], ROW()-1)) &amp; REPT("☆", 5-INDEX(SalesData[Customer_Rating], ROW()-1)))</f>
        <v>—</v>
      </c>
      <c r="M113" s="40" t="str" cm="1">
        <f t="array" ref="M113">IF(INDEX(SalesData[Units_Sold],ROW()-1) &lt; 5, "⚠️ Reorder", "OK")</f>
        <v>OK</v>
      </c>
      <c r="N113" s="40" t="str">
        <f t="shared" si="2"/>
        <v>Breakeven</v>
      </c>
      <c r="O113" s="47" t="str">
        <f>SalesData[[#This Row],[Ad_Type]]</f>
        <v>Sponsored Brands</v>
      </c>
      <c r="P113" s="47" t="str">
        <f>SalesData[[#This Row],[Brand]]</f>
        <v>Lakme</v>
      </c>
      <c r="Q113" s="47" t="str">
        <f>SalesData[[#This Row],[Product_Name]]</f>
        <v>Face Serum</v>
      </c>
      <c r="R113" s="47"/>
      <c r="S113" s="47"/>
      <c r="T113" s="47"/>
      <c r="U113" s="47"/>
      <c r="V113" s="47"/>
    </row>
    <row r="114" spans="1:22">
      <c r="A114" s="45" t="str">
        <f>SalesData[[#This Row],[Order_ID]]</f>
        <v>ORD-1112</v>
      </c>
      <c r="B114" s="41" cm="1">
        <f t="array" ref="B114">INDEX(SalesData[Order_Date], ROW()-1)</f>
        <v>45624</v>
      </c>
      <c r="C114" s="40" t="str" cm="1">
        <f t="array" ref="C114">INDEX(SalesData[Category], ROW()-1)</f>
        <v>Electronics</v>
      </c>
      <c r="D114" s="40" t="str" cm="1">
        <f t="array" ref="D114">INDEX(SalesData[Product_Name],ROW()-1)</f>
        <v>Phone Case</v>
      </c>
      <c r="E114" s="40" t="str" cm="1">
        <f t="array" ref="E114">INDEX(SalesData[Customer_State],ROW()-1)</f>
        <v>Kerala</v>
      </c>
      <c r="F114" s="40" t="str" cm="1">
        <f t="array" ref="F114">INDEX(SalesData[Order_Status], ROW()-1)</f>
        <v>Cancelled</v>
      </c>
      <c r="G114" s="40" t="str" cm="1">
        <f t="array" ref="G114">INDEX(SalesData[Fulfillment_Type], ROW()-1)</f>
        <v>FBM</v>
      </c>
      <c r="H114" s="40" cm="1">
        <f t="array" ref="H114">INDEX(SalesData[Units_Sold], ROW()-1)</f>
        <v>3</v>
      </c>
      <c r="I114" s="44" cm="1">
        <f t="array" ref="I114">INDEX(SalesData[Gross_Sales_INR], ROW()-1)</f>
        <v>10122</v>
      </c>
      <c r="J114" s="43" cm="1">
        <f t="array" ref="J114">INDEX(SalesData[Net_Profit_INR], ROW()-1)</f>
        <v>3894.46</v>
      </c>
      <c r="K114" s="42" cm="1">
        <f t="array" ref="K114">INDEX(SalesData[Profit_Margin_%], ROW()-1)</f>
        <v>38.5</v>
      </c>
      <c r="L114" s="46" t="str" cm="1">
        <f t="array" ref="L114">IF(INDEX(SalesData[Customer_Rating], ROW()-1)="", "—",REPT("★", INDEX(SalesData[Customer_Rating], ROW()-1)) &amp; REPT("☆", 5-INDEX(SalesData[Customer_Rating], ROW()-1)))</f>
        <v>—</v>
      </c>
      <c r="M114" s="40" t="str" cm="1">
        <f t="array" ref="M114">IF(INDEX(SalesData[Units_Sold],ROW()-1) &lt; 5, "⚠️ Reorder", "OK")</f>
        <v>⚠️ Reorder</v>
      </c>
      <c r="N114" s="40" t="str">
        <f t="shared" si="2"/>
        <v>Breakeven</v>
      </c>
      <c r="O114" s="47" t="str">
        <f>SalesData[[#This Row],[Ad_Type]]</f>
        <v>None</v>
      </c>
      <c r="P114" s="47" t="str">
        <f>SalesData[[#This Row],[Brand]]</f>
        <v>Prestige</v>
      </c>
      <c r="Q114" s="47" t="str">
        <f>SalesData[[#This Row],[Product_Name]]</f>
        <v>Phone Case</v>
      </c>
      <c r="R114" s="47"/>
      <c r="S114" s="47"/>
      <c r="T114" s="47"/>
      <c r="U114" s="47"/>
      <c r="V114" s="47"/>
    </row>
    <row r="115" spans="1:22">
      <c r="A115" s="45" t="str">
        <f>SalesData[[#This Row],[Order_ID]]</f>
        <v>ORD-1113</v>
      </c>
      <c r="B115" s="41" cm="1">
        <f t="array" ref="B115">INDEX(SalesData[Order_Date], ROW()-1)</f>
        <v>44937</v>
      </c>
      <c r="C115" s="40" t="str" cm="1">
        <f t="array" ref="C115">INDEX(SalesData[Category], ROW()-1)</f>
        <v>Office Supplies</v>
      </c>
      <c r="D115" s="40" t="str" cm="1">
        <f t="array" ref="D115">INDEX(SalesData[Product_Name],ROW()-1)</f>
        <v>Desk Organizer</v>
      </c>
      <c r="E115" s="40" t="str" cm="1">
        <f t="array" ref="E115">INDEX(SalesData[Customer_State],ROW()-1)</f>
        <v>Kerala</v>
      </c>
      <c r="F115" s="40" t="str" cm="1">
        <f t="array" ref="F115">INDEX(SalesData[Order_Status], ROW()-1)</f>
        <v>Pending</v>
      </c>
      <c r="G115" s="40" t="str" cm="1">
        <f t="array" ref="G115">INDEX(SalesData[Fulfillment_Type], ROW()-1)</f>
        <v>FBM</v>
      </c>
      <c r="H115" s="40" cm="1">
        <f t="array" ref="H115">INDEX(SalesData[Units_Sold], ROW()-1)</f>
        <v>9</v>
      </c>
      <c r="I115" s="44" cm="1">
        <f t="array" ref="I115">INDEX(SalesData[Gross_Sales_INR], ROW()-1)</f>
        <v>20538</v>
      </c>
      <c r="J115" s="43" cm="1">
        <f t="array" ref="J115">INDEX(SalesData[Net_Profit_INR], ROW()-1)</f>
        <v>9665.52</v>
      </c>
      <c r="K115" s="42" cm="1">
        <f t="array" ref="K115">INDEX(SalesData[Profit_Margin_%], ROW()-1)</f>
        <v>47.1</v>
      </c>
      <c r="L115" s="46" t="str" cm="1">
        <f t="array" ref="L115">IF(INDEX(SalesData[Customer_Rating], ROW()-1)="", "—",REPT("★", INDEX(SalesData[Customer_Rating], ROW()-1)) &amp; REPT("☆", 5-INDEX(SalesData[Customer_Rating], ROW()-1)))</f>
        <v>—</v>
      </c>
      <c r="M115" s="40" t="str" cm="1">
        <f t="array" ref="M115">IF(INDEX(SalesData[Units_Sold],ROW()-1) &lt; 5, "⚠️ Reorder", "OK")</f>
        <v>OK</v>
      </c>
      <c r="N115" s="40" t="str">
        <f t="shared" si="2"/>
        <v>Breakeven</v>
      </c>
      <c r="O115" s="47" t="str">
        <f>SalesData[[#This Row],[Ad_Type]]</f>
        <v>None</v>
      </c>
      <c r="P115" s="47" t="str">
        <f>SalesData[[#This Row],[Brand]]</f>
        <v>Skullcandy</v>
      </c>
      <c r="Q115" s="47" t="str">
        <f>SalesData[[#This Row],[Product_Name]]</f>
        <v>Desk Organizer</v>
      </c>
      <c r="R115" s="47"/>
      <c r="S115" s="47"/>
      <c r="T115" s="47"/>
      <c r="U115" s="47"/>
      <c r="V115" s="47"/>
    </row>
    <row r="116" spans="1:22">
      <c r="A116" s="45" t="str">
        <f>SalesData[[#This Row],[Order_ID]]</f>
        <v>ORD-1114</v>
      </c>
      <c r="B116" s="41" cm="1">
        <f t="array" ref="B116">INDEX(SalesData[Order_Date], ROW()-1)</f>
        <v>45238</v>
      </c>
      <c r="C116" s="40" t="str" cm="1">
        <f t="array" ref="C116">INDEX(SalesData[Category], ROW()-1)</f>
        <v>Sports</v>
      </c>
      <c r="D116" s="40" t="str" cm="1">
        <f t="array" ref="D116">INDEX(SalesData[Product_Name],ROW()-1)</f>
        <v>Dumbbell Set</v>
      </c>
      <c r="E116" s="40" t="str" cm="1">
        <f t="array" ref="E116">INDEX(SalesData[Customer_State],ROW()-1)</f>
        <v>Rajasthan</v>
      </c>
      <c r="F116" s="40" t="str" cm="1">
        <f t="array" ref="F116">INDEX(SalesData[Order_Status], ROW()-1)</f>
        <v>Returned</v>
      </c>
      <c r="G116" s="40" t="str" cm="1">
        <f t="array" ref="G116">INDEX(SalesData[Fulfillment_Type], ROW()-1)</f>
        <v>FBA</v>
      </c>
      <c r="H116" s="40" cm="1">
        <f t="array" ref="H116">INDEX(SalesData[Units_Sold], ROW()-1)</f>
        <v>3</v>
      </c>
      <c r="I116" s="44" cm="1">
        <f t="array" ref="I116">INDEX(SalesData[Gross_Sales_INR], ROW()-1)</f>
        <v>6294</v>
      </c>
      <c r="J116" s="43" cm="1">
        <f t="array" ref="J116">INDEX(SalesData[Net_Profit_INR], ROW()-1)</f>
        <v>926.28</v>
      </c>
      <c r="K116" s="42" cm="1">
        <f t="array" ref="K116">INDEX(SalesData[Profit_Margin_%], ROW()-1)</f>
        <v>22.1</v>
      </c>
      <c r="L116" s="46" t="str" cm="1">
        <f t="array" ref="L116">IF(INDEX(SalesData[Customer_Rating], ROW()-1)="", "—",REPT("★", INDEX(SalesData[Customer_Rating], ROW()-1)) &amp; REPT("☆", 5-INDEX(SalesData[Customer_Rating], ROW()-1)))</f>
        <v>—</v>
      </c>
      <c r="M116" s="40" t="str" cm="1">
        <f t="array" ref="M116">IF(INDEX(SalesData[Units_Sold],ROW()-1) &lt; 5, "⚠️ Reorder", "OK")</f>
        <v>⚠️ Reorder</v>
      </c>
      <c r="N116" s="40" t="str">
        <f t="shared" si="2"/>
        <v>Breakeven</v>
      </c>
      <c r="O116" s="47" t="str">
        <f>SalesData[[#This Row],[Ad_Type]]</f>
        <v>None</v>
      </c>
      <c r="P116" s="47" t="str">
        <f>SalesData[[#This Row],[Brand]]</f>
        <v>Decathlon</v>
      </c>
      <c r="Q116" s="47" t="str">
        <f>SalesData[[#This Row],[Product_Name]]</f>
        <v>Dumbbell Set</v>
      </c>
      <c r="R116" s="47"/>
      <c r="S116" s="47"/>
      <c r="T116" s="47"/>
      <c r="U116" s="47"/>
      <c r="V116" s="47"/>
    </row>
    <row r="117" spans="1:22">
      <c r="A117" s="45" t="str">
        <f>SalesData[[#This Row],[Order_ID]]</f>
        <v>ORD-1115</v>
      </c>
      <c r="B117" s="41" cm="1">
        <f t="array" ref="B117">INDEX(SalesData[Order_Date], ROW()-1)</f>
        <v>44997</v>
      </c>
      <c r="C117" s="40" t="str" cm="1">
        <f t="array" ref="C117">INDEX(SalesData[Category], ROW()-1)</f>
        <v>Office Supplies</v>
      </c>
      <c r="D117" s="40" t="str" cm="1">
        <f t="array" ref="D117">INDEX(SalesData[Product_Name],ROW()-1)</f>
        <v>Desk Organizer</v>
      </c>
      <c r="E117" s="40" t="str" cm="1">
        <f t="array" ref="E117">INDEX(SalesData[Customer_State],ROW()-1)</f>
        <v>Gujarat</v>
      </c>
      <c r="F117" s="40" t="str" cm="1">
        <f t="array" ref="F117">INDEX(SalesData[Order_Status], ROW()-1)</f>
        <v>Returned</v>
      </c>
      <c r="G117" s="40" t="str" cm="1">
        <f t="array" ref="G117">INDEX(SalesData[Fulfillment_Type], ROW()-1)</f>
        <v>FBM</v>
      </c>
      <c r="H117" s="40" cm="1">
        <f t="array" ref="H117">INDEX(SalesData[Units_Sold], ROW()-1)</f>
        <v>6</v>
      </c>
      <c r="I117" s="44" cm="1">
        <f t="array" ref="I117">INDEX(SalesData[Gross_Sales_INR], ROW()-1)</f>
        <v>25848</v>
      </c>
      <c r="J117" s="43" cm="1">
        <f t="array" ref="J117">INDEX(SalesData[Net_Profit_INR], ROW()-1)</f>
        <v>3879.19</v>
      </c>
      <c r="K117" s="42" cm="1">
        <f t="array" ref="K117">INDEX(SalesData[Profit_Margin_%], ROW()-1)</f>
        <v>22.5</v>
      </c>
      <c r="L117" s="46" t="str" cm="1">
        <f t="array" ref="L117">IF(INDEX(SalesData[Customer_Rating], ROW()-1)="", "—",REPT("★", INDEX(SalesData[Customer_Rating], ROW()-1)) &amp; REPT("☆", 5-INDEX(SalesData[Customer_Rating], ROW()-1)))</f>
        <v>—</v>
      </c>
      <c r="M117" s="40" t="str" cm="1">
        <f t="array" ref="M117">IF(INDEX(SalesData[Units_Sold],ROW()-1) &lt; 5, "⚠️ Reorder", "OK")</f>
        <v>OK</v>
      </c>
      <c r="N117" s="40" t="str">
        <f t="shared" si="2"/>
        <v>Breakeven</v>
      </c>
      <c r="O117" s="47" t="str">
        <f>SalesData[[#This Row],[Ad_Type]]</f>
        <v>Sponsored Products</v>
      </c>
      <c r="P117" s="47" t="str">
        <f>SalesData[[#This Row],[Brand]]</f>
        <v>Classmate</v>
      </c>
      <c r="Q117" s="47" t="str">
        <f>SalesData[[#This Row],[Product_Name]]</f>
        <v>Desk Organizer</v>
      </c>
      <c r="R117" s="47"/>
      <c r="S117" s="47"/>
      <c r="T117" s="47"/>
      <c r="U117" s="47"/>
      <c r="V117" s="47"/>
    </row>
    <row r="118" spans="1:22">
      <c r="A118" s="45" t="str">
        <f>SalesData[[#This Row],[Order_ID]]</f>
        <v>ORD-1116</v>
      </c>
      <c r="B118" s="41" cm="1">
        <f t="array" ref="B118">INDEX(SalesData[Order_Date], ROW()-1)</f>
        <v>45397</v>
      </c>
      <c r="C118" s="40" t="str" cm="1">
        <f t="array" ref="C118">INDEX(SalesData[Category], ROW()-1)</f>
        <v>Fashion</v>
      </c>
      <c r="D118" s="40" t="str" cm="1">
        <f t="array" ref="D118">INDEX(SalesData[Product_Name],ROW()-1)</f>
        <v>Cap</v>
      </c>
      <c r="E118" s="40" t="str" cm="1">
        <f t="array" ref="E118">INDEX(SalesData[Customer_State],ROW()-1)</f>
        <v>Gujarat</v>
      </c>
      <c r="F118" s="40" t="str" cm="1">
        <f t="array" ref="F118">INDEX(SalesData[Order_Status], ROW()-1)</f>
        <v>Delivered</v>
      </c>
      <c r="G118" s="40" t="str" cm="1">
        <f t="array" ref="G118">INDEX(SalesData[Fulfillment_Type], ROW()-1)</f>
        <v>FBA</v>
      </c>
      <c r="H118" s="40" cm="1">
        <f t="array" ref="H118">INDEX(SalesData[Units_Sold], ROW()-1)</f>
        <v>4</v>
      </c>
      <c r="I118" s="44" cm="1">
        <f t="array" ref="I118">INDEX(SalesData[Gross_Sales_INR], ROW()-1)</f>
        <v>12444</v>
      </c>
      <c r="J118" s="43" cm="1">
        <f t="array" ref="J118">INDEX(SalesData[Net_Profit_INR], ROW()-1)</f>
        <v>4240.1099999999997</v>
      </c>
      <c r="K118" s="42" cm="1">
        <f t="array" ref="K118">INDEX(SalesData[Profit_Margin_%], ROW()-1)</f>
        <v>34.1</v>
      </c>
      <c r="L118" s="46" t="str" cm="1">
        <f t="array" ref="L118">IF(INDEX(SalesData[Customer_Rating], ROW()-1)="", "—",REPT("★", INDEX(SalesData[Customer_Rating], ROW()-1)) &amp; REPT("☆", 5-INDEX(SalesData[Customer_Rating], ROW()-1)))</f>
        <v>★★★★★</v>
      </c>
      <c r="M118" s="40" t="str" cm="1">
        <f t="array" ref="M118">IF(INDEX(SalesData[Units_Sold],ROW()-1) &lt; 5, "⚠️ Reorder", "OK")</f>
        <v>⚠️ Reorder</v>
      </c>
      <c r="N118" s="40" t="str">
        <f t="shared" si="2"/>
        <v>Breakeven</v>
      </c>
      <c r="O118" s="47" t="str">
        <f>SalesData[[#This Row],[Ad_Type]]</f>
        <v>None</v>
      </c>
      <c r="P118" s="47" t="str">
        <f>SalesData[[#This Row],[Brand]]</f>
        <v>Lakme</v>
      </c>
      <c r="Q118" s="47" t="str">
        <f>SalesData[[#This Row],[Product_Name]]</f>
        <v>Cap</v>
      </c>
      <c r="R118" s="47"/>
      <c r="S118" s="47"/>
      <c r="T118" s="47"/>
      <c r="U118" s="47"/>
      <c r="V118" s="47"/>
    </row>
    <row r="119" spans="1:22">
      <c r="A119" s="45" t="str">
        <f>SalesData[[#This Row],[Order_ID]]</f>
        <v>ORD-1117</v>
      </c>
      <c r="B119" s="41" cm="1">
        <f t="array" ref="B119">INDEX(SalesData[Order_Date], ROW()-1)</f>
        <v>45581</v>
      </c>
      <c r="C119" s="40" t="str" cm="1">
        <f t="array" ref="C119">INDEX(SalesData[Category], ROW()-1)</f>
        <v>Office Supplies</v>
      </c>
      <c r="D119" s="40" t="str" cm="1">
        <f t="array" ref="D119">INDEX(SalesData[Product_Name],ROW()-1)</f>
        <v>Stapler</v>
      </c>
      <c r="E119" s="40" t="str" cm="1">
        <f t="array" ref="E119">INDEX(SalesData[Customer_State],ROW()-1)</f>
        <v>Uttar Pradesh</v>
      </c>
      <c r="F119" s="40" t="str" cm="1">
        <f t="array" ref="F119">INDEX(SalesData[Order_Status], ROW()-1)</f>
        <v>Delivered</v>
      </c>
      <c r="G119" s="40" t="str" cm="1">
        <f t="array" ref="G119">INDEX(SalesData[Fulfillment_Type], ROW()-1)</f>
        <v>FBA</v>
      </c>
      <c r="H119" s="40" cm="1">
        <f t="array" ref="H119">INDEX(SalesData[Units_Sold], ROW()-1)</f>
        <v>1</v>
      </c>
      <c r="I119" s="44" cm="1">
        <f t="array" ref="I119">INDEX(SalesData[Gross_Sales_INR], ROW()-1)</f>
        <v>2193</v>
      </c>
      <c r="J119" s="43" cm="1">
        <f t="array" ref="J119">INDEX(SalesData[Net_Profit_INR], ROW()-1)</f>
        <v>556.87</v>
      </c>
      <c r="K119" s="42" cm="1">
        <f t="array" ref="K119">INDEX(SalesData[Profit_Margin_%], ROW()-1)</f>
        <v>25.4</v>
      </c>
      <c r="L119" s="46" t="str" cm="1">
        <f t="array" ref="L119">IF(INDEX(SalesData[Customer_Rating], ROW()-1)="", "—",REPT("★", INDEX(SalesData[Customer_Rating], ROW()-1)) &amp; REPT("☆", 5-INDEX(SalesData[Customer_Rating], ROW()-1)))</f>
        <v>★★★☆☆</v>
      </c>
      <c r="M119" s="40" t="str" cm="1">
        <f t="array" ref="M119">IF(INDEX(SalesData[Units_Sold],ROW()-1) &lt; 5, "⚠️ Reorder", "OK")</f>
        <v>⚠️ Reorder</v>
      </c>
      <c r="N119" s="40" t="str">
        <f t="shared" si="2"/>
        <v>Breakeven</v>
      </c>
      <c r="O119" s="47" t="str">
        <f>SalesData[[#This Row],[Ad_Type]]</f>
        <v>None</v>
      </c>
      <c r="P119" s="47" t="str">
        <f>SalesData[[#This Row],[Brand]]</f>
        <v>Puma</v>
      </c>
      <c r="Q119" s="47" t="str">
        <f>SalesData[[#This Row],[Product_Name]]</f>
        <v>Stapler</v>
      </c>
      <c r="R119" s="47"/>
      <c r="S119" s="47"/>
      <c r="T119" s="47"/>
      <c r="U119" s="47"/>
      <c r="V119" s="47"/>
    </row>
    <row r="120" spans="1:22">
      <c r="A120" s="45" t="str">
        <f>SalesData[[#This Row],[Order_ID]]</f>
        <v>ORD-1118</v>
      </c>
      <c r="B120" s="41" cm="1">
        <f t="array" ref="B120">INDEX(SalesData[Order_Date], ROW()-1)</f>
        <v>45236</v>
      </c>
      <c r="C120" s="40" t="str" cm="1">
        <f t="array" ref="C120">INDEX(SalesData[Category], ROW()-1)</f>
        <v>Fashion</v>
      </c>
      <c r="D120" s="40" t="str" cm="1">
        <f t="array" ref="D120">INDEX(SalesData[Product_Name],ROW()-1)</f>
        <v>Sports Shoes</v>
      </c>
      <c r="E120" s="40" t="str" cm="1">
        <f t="array" ref="E120">INDEX(SalesData[Customer_State],ROW()-1)</f>
        <v>Punjab</v>
      </c>
      <c r="F120" s="40" t="str" cm="1">
        <f t="array" ref="F120">INDEX(SalesData[Order_Status], ROW()-1)</f>
        <v>Delivered</v>
      </c>
      <c r="G120" s="40" t="str" cm="1">
        <f t="array" ref="G120">INDEX(SalesData[Fulfillment_Type], ROW()-1)</f>
        <v>FBM</v>
      </c>
      <c r="H120" s="40" cm="1">
        <f t="array" ref="H120">INDEX(SalesData[Units_Sold], ROW()-1)</f>
        <v>3</v>
      </c>
      <c r="I120" s="44" cm="1">
        <f t="array" ref="I120">INDEX(SalesData[Gross_Sales_INR], ROW()-1)</f>
        <v>7590</v>
      </c>
      <c r="J120" s="43" cm="1">
        <f t="array" ref="J120">INDEX(SalesData[Net_Profit_INR], ROW()-1)</f>
        <v>2892.98</v>
      </c>
      <c r="K120" s="42" cm="1">
        <f t="array" ref="K120">INDEX(SalesData[Profit_Margin_%], ROW()-1)</f>
        <v>38.1</v>
      </c>
      <c r="L120" s="46" t="str" cm="1">
        <f t="array" ref="L120">IF(INDEX(SalesData[Customer_Rating], ROW()-1)="", "—",REPT("★", INDEX(SalesData[Customer_Rating], ROW()-1)) &amp; REPT("☆", 5-INDEX(SalesData[Customer_Rating], ROW()-1)))</f>
        <v>★★★★☆</v>
      </c>
      <c r="M120" s="40" t="str" cm="1">
        <f t="array" ref="M120">IF(INDEX(SalesData[Units_Sold],ROW()-1) &lt; 5, "⚠️ Reorder", "OK")</f>
        <v>⚠️ Reorder</v>
      </c>
      <c r="N120" s="40" t="str">
        <f t="shared" si="2"/>
        <v>Breakeven</v>
      </c>
      <c r="O120" s="47" t="str">
        <f>SalesData[[#This Row],[Ad_Type]]</f>
        <v>None</v>
      </c>
      <c r="P120" s="47" t="str">
        <f>SalesData[[#This Row],[Brand]]</f>
        <v>Himalaya</v>
      </c>
      <c r="Q120" s="47" t="str">
        <f>SalesData[[#This Row],[Product_Name]]</f>
        <v>Sports Shoes</v>
      </c>
      <c r="R120" s="47"/>
      <c r="S120" s="47"/>
      <c r="T120" s="47"/>
      <c r="U120" s="47"/>
      <c r="V120" s="47"/>
    </row>
    <row r="121" spans="1:22">
      <c r="A121" s="45" t="str">
        <f>SalesData[[#This Row],[Order_ID]]</f>
        <v>ORD-1119</v>
      </c>
      <c r="B121" s="41" cm="1">
        <f t="array" ref="B121">INDEX(SalesData[Order_Date], ROW()-1)</f>
        <v>45407</v>
      </c>
      <c r="C121" s="40" t="str" cm="1">
        <f t="array" ref="C121">INDEX(SalesData[Category], ROW()-1)</f>
        <v>Home &amp; Kitchen</v>
      </c>
      <c r="D121" s="40" t="str" cm="1">
        <f t="array" ref="D121">INDEX(SalesData[Product_Name],ROW()-1)</f>
        <v>Coffee Mug</v>
      </c>
      <c r="E121" s="40" t="str" cm="1">
        <f t="array" ref="E121">INDEX(SalesData[Customer_State],ROW()-1)</f>
        <v>Telangana</v>
      </c>
      <c r="F121" s="40" t="str" cm="1">
        <f t="array" ref="F121">INDEX(SalesData[Order_Status], ROW()-1)</f>
        <v>Cancelled</v>
      </c>
      <c r="G121" s="40" t="str" cm="1">
        <f t="array" ref="G121">INDEX(SalesData[Fulfillment_Type], ROW()-1)</f>
        <v>FBM</v>
      </c>
      <c r="H121" s="40" cm="1">
        <f t="array" ref="H121">INDEX(SalesData[Units_Sold], ROW()-1)</f>
        <v>7</v>
      </c>
      <c r="I121" s="44" cm="1">
        <f t="array" ref="I121">INDEX(SalesData[Gross_Sales_INR], ROW()-1)</f>
        <v>13251</v>
      </c>
      <c r="J121" s="43" cm="1">
        <f t="array" ref="J121">INDEX(SalesData[Net_Profit_INR], ROW()-1)</f>
        <v>5231.37</v>
      </c>
      <c r="K121" s="42" cm="1">
        <f t="array" ref="K121">INDEX(SalesData[Profit_Margin_%], ROW()-1)</f>
        <v>39.5</v>
      </c>
      <c r="L121" s="46" t="str" cm="1">
        <f t="array" ref="L121">IF(INDEX(SalesData[Customer_Rating], ROW()-1)="", "—",REPT("★", INDEX(SalesData[Customer_Rating], ROW()-1)) &amp; REPT("☆", 5-INDEX(SalesData[Customer_Rating], ROW()-1)))</f>
        <v>—</v>
      </c>
      <c r="M121" s="40" t="str" cm="1">
        <f t="array" ref="M121">IF(INDEX(SalesData[Units_Sold],ROW()-1) &lt; 5, "⚠️ Reorder", "OK")</f>
        <v>OK</v>
      </c>
      <c r="N121" s="40" t="str">
        <f t="shared" si="2"/>
        <v>Breakeven</v>
      </c>
      <c r="O121" s="47" t="str">
        <f>SalesData[[#This Row],[Ad_Type]]</f>
        <v>None</v>
      </c>
      <c r="P121" s="47" t="str">
        <f>SalesData[[#This Row],[Brand]]</f>
        <v>Puma</v>
      </c>
      <c r="Q121" s="47" t="str">
        <f>SalesData[[#This Row],[Product_Name]]</f>
        <v>Coffee Mug</v>
      </c>
      <c r="R121" s="47"/>
      <c r="S121" s="47"/>
      <c r="T121" s="47"/>
      <c r="U121" s="47"/>
      <c r="V121" s="47"/>
    </row>
    <row r="122" spans="1:22">
      <c r="A122" s="45" t="str">
        <f>SalesData[[#This Row],[Order_ID]]</f>
        <v>ORD-1120</v>
      </c>
      <c r="B122" s="41" cm="1">
        <f t="array" ref="B122">INDEX(SalesData[Order_Date], ROW()-1)</f>
        <v>45276</v>
      </c>
      <c r="C122" s="40" t="str" cm="1">
        <f t="array" ref="C122">INDEX(SalesData[Category], ROW()-1)</f>
        <v>Office Supplies</v>
      </c>
      <c r="D122" s="40" t="str" cm="1">
        <f t="array" ref="D122">INDEX(SalesData[Product_Name],ROW()-1)</f>
        <v>Notebook</v>
      </c>
      <c r="E122" s="40" t="str" cm="1">
        <f t="array" ref="E122">INDEX(SalesData[Customer_State],ROW()-1)</f>
        <v>Maharashtra</v>
      </c>
      <c r="F122" s="40" t="str" cm="1">
        <f t="array" ref="F122">INDEX(SalesData[Order_Status], ROW()-1)</f>
        <v>Delivered</v>
      </c>
      <c r="G122" s="40" t="str" cm="1">
        <f t="array" ref="G122">INDEX(SalesData[Fulfillment_Type], ROW()-1)</f>
        <v>FBA</v>
      </c>
      <c r="H122" s="40" cm="1">
        <f t="array" ref="H122">INDEX(SalesData[Units_Sold], ROW()-1)</f>
        <v>3</v>
      </c>
      <c r="I122" s="44" cm="1">
        <f t="array" ref="I122">INDEX(SalesData[Gross_Sales_INR], ROW()-1)</f>
        <v>6369</v>
      </c>
      <c r="J122" s="43" cm="1">
        <f t="array" ref="J122">INDEX(SalesData[Net_Profit_INR], ROW()-1)</f>
        <v>2461.16</v>
      </c>
      <c r="K122" s="42" cm="1">
        <f t="array" ref="K122">INDEX(SalesData[Profit_Margin_%], ROW()-1)</f>
        <v>38.6</v>
      </c>
      <c r="L122" s="46" t="str" cm="1">
        <f t="array" ref="L122">IF(INDEX(SalesData[Customer_Rating], ROW()-1)="", "—",REPT("★", INDEX(SalesData[Customer_Rating], ROW()-1)) &amp; REPT("☆", 5-INDEX(SalesData[Customer_Rating], ROW()-1)))</f>
        <v>★★☆☆☆</v>
      </c>
      <c r="M122" s="40" t="str" cm="1">
        <f t="array" ref="M122">IF(INDEX(SalesData[Units_Sold],ROW()-1) &lt; 5, "⚠️ Reorder", "OK")</f>
        <v>⚠️ Reorder</v>
      </c>
      <c r="N122" s="40" t="str">
        <f t="shared" si="2"/>
        <v>Breakeven</v>
      </c>
      <c r="O122" s="47" t="str">
        <f>SalesData[[#This Row],[Ad_Type]]</f>
        <v>Sponsored Brands</v>
      </c>
      <c r="P122" s="47" t="str">
        <f>SalesData[[#This Row],[Brand]]</f>
        <v>Amazon Basics</v>
      </c>
      <c r="Q122" s="47" t="str">
        <f>SalesData[[#This Row],[Product_Name]]</f>
        <v>Notebook</v>
      </c>
      <c r="R122" s="47"/>
      <c r="S122" s="47"/>
      <c r="T122" s="47"/>
      <c r="U122" s="47"/>
      <c r="V122" s="47"/>
    </row>
    <row r="123" spans="1:22">
      <c r="A123" s="45" t="str">
        <f>SalesData[[#This Row],[Order_ID]]</f>
        <v>ORD-1121</v>
      </c>
      <c r="B123" s="41" cm="1">
        <f t="array" ref="B123">INDEX(SalesData[Order_Date], ROW()-1)</f>
        <v>45374</v>
      </c>
      <c r="C123" s="40" t="str" cm="1">
        <f t="array" ref="C123">INDEX(SalesData[Category], ROW()-1)</f>
        <v>Sports</v>
      </c>
      <c r="D123" s="40" t="str" cm="1">
        <f t="array" ref="D123">INDEX(SalesData[Product_Name],ROW()-1)</f>
        <v>Cycling Gloves</v>
      </c>
      <c r="E123" s="40" t="str" cm="1">
        <f t="array" ref="E123">INDEX(SalesData[Customer_State],ROW()-1)</f>
        <v>Delhi</v>
      </c>
      <c r="F123" s="40" t="str" cm="1">
        <f t="array" ref="F123">INDEX(SalesData[Order_Status], ROW()-1)</f>
        <v>In Transit</v>
      </c>
      <c r="G123" s="40" t="str" cm="1">
        <f t="array" ref="G123">INDEX(SalesData[Fulfillment_Type], ROW()-1)</f>
        <v>FBM</v>
      </c>
      <c r="H123" s="40" cm="1">
        <f t="array" ref="H123">INDEX(SalesData[Units_Sold], ROW()-1)</f>
        <v>6</v>
      </c>
      <c r="I123" s="44" cm="1">
        <f t="array" ref="I123">INDEX(SalesData[Gross_Sales_INR], ROW()-1)</f>
        <v>9246</v>
      </c>
      <c r="J123" s="43" cm="1">
        <f t="array" ref="J123">INDEX(SalesData[Net_Profit_INR], ROW()-1)</f>
        <v>4209.76</v>
      </c>
      <c r="K123" s="42" cm="1">
        <f t="array" ref="K123">INDEX(SalesData[Profit_Margin_%], ROW()-1)</f>
        <v>45.5</v>
      </c>
      <c r="L123" s="46" t="str" cm="1">
        <f t="array" ref="L123">IF(INDEX(SalesData[Customer_Rating], ROW()-1)="", "—",REPT("★", INDEX(SalesData[Customer_Rating], ROW()-1)) &amp; REPT("☆", 5-INDEX(SalesData[Customer_Rating], ROW()-1)))</f>
        <v>—</v>
      </c>
      <c r="M123" s="40" t="str" cm="1">
        <f t="array" ref="M123">IF(INDEX(SalesData[Units_Sold],ROW()-1) &lt; 5, "⚠️ Reorder", "OK")</f>
        <v>OK</v>
      </c>
      <c r="N123" s="40" t="str">
        <f t="shared" si="2"/>
        <v>Breakeven</v>
      </c>
      <c r="O123" s="47" t="str">
        <f>SalesData[[#This Row],[Ad_Type]]</f>
        <v>Sponsored Brands</v>
      </c>
      <c r="P123" s="47" t="str">
        <f>SalesData[[#This Row],[Brand]]</f>
        <v>Prestige</v>
      </c>
      <c r="Q123" s="47" t="str">
        <f>SalesData[[#This Row],[Product_Name]]</f>
        <v>Cycling Gloves</v>
      </c>
      <c r="R123" s="47"/>
      <c r="S123" s="47"/>
      <c r="T123" s="47"/>
      <c r="U123" s="47"/>
      <c r="V123" s="47"/>
    </row>
    <row r="124" spans="1:22">
      <c r="A124" s="45" t="str">
        <f>SalesData[[#This Row],[Order_ID]]</f>
        <v>ORD-1122</v>
      </c>
      <c r="B124" s="41" cm="1">
        <f t="array" ref="B124">INDEX(SalesData[Order_Date], ROW()-1)</f>
        <v>44930</v>
      </c>
      <c r="C124" s="40" t="str" cm="1">
        <f t="array" ref="C124">INDEX(SalesData[Category], ROW()-1)</f>
        <v>Sports</v>
      </c>
      <c r="D124" s="40" t="str" cm="1">
        <f t="array" ref="D124">INDEX(SalesData[Product_Name],ROW()-1)</f>
        <v>Cycling Gloves</v>
      </c>
      <c r="E124" s="40" t="str" cm="1">
        <f t="array" ref="E124">INDEX(SalesData[Customer_State],ROW()-1)</f>
        <v>Madhya Pradesh</v>
      </c>
      <c r="F124" s="40" t="str" cm="1">
        <f t="array" ref="F124">INDEX(SalesData[Order_Status], ROW()-1)</f>
        <v>Delivered</v>
      </c>
      <c r="G124" s="40" t="str" cm="1">
        <f t="array" ref="G124">INDEX(SalesData[Fulfillment_Type], ROW()-1)</f>
        <v>FBM</v>
      </c>
      <c r="H124" s="40" cm="1">
        <f t="array" ref="H124">INDEX(SalesData[Units_Sold], ROW()-1)</f>
        <v>5</v>
      </c>
      <c r="I124" s="44" cm="1">
        <f t="array" ref="I124">INDEX(SalesData[Gross_Sales_INR], ROW()-1)</f>
        <v>8370</v>
      </c>
      <c r="J124" s="43" cm="1">
        <f t="array" ref="J124">INDEX(SalesData[Net_Profit_INR], ROW()-1)</f>
        <v>3099.23</v>
      </c>
      <c r="K124" s="42" cm="1">
        <f t="array" ref="K124">INDEX(SalesData[Profit_Margin_%], ROW()-1)</f>
        <v>37</v>
      </c>
      <c r="L124" s="46" t="str" cm="1">
        <f t="array" ref="L124">IF(INDEX(SalesData[Customer_Rating], ROW()-1)="", "—",REPT("★", INDEX(SalesData[Customer_Rating], ROW()-1)) &amp; REPT("☆", 5-INDEX(SalesData[Customer_Rating], ROW()-1)))</f>
        <v>★★★★☆</v>
      </c>
      <c r="M124" s="40" t="str" cm="1">
        <f t="array" ref="M124">IF(INDEX(SalesData[Units_Sold],ROW()-1) &lt; 5, "⚠️ Reorder", "OK")</f>
        <v>OK</v>
      </c>
      <c r="N124" s="40" t="str">
        <f t="shared" si="2"/>
        <v>Breakeven</v>
      </c>
      <c r="O124" s="47" t="str">
        <f>SalesData[[#This Row],[Ad_Type]]</f>
        <v>None</v>
      </c>
      <c r="P124" s="47" t="str">
        <f>SalesData[[#This Row],[Brand]]</f>
        <v>Cello</v>
      </c>
      <c r="Q124" s="47" t="str">
        <f>SalesData[[#This Row],[Product_Name]]</f>
        <v>Cycling Gloves</v>
      </c>
      <c r="R124" s="47"/>
      <c r="S124" s="47"/>
      <c r="T124" s="47"/>
      <c r="U124" s="47"/>
      <c r="V124" s="47"/>
    </row>
    <row r="125" spans="1:22">
      <c r="A125" s="45" t="str">
        <f>SalesData[[#This Row],[Order_ID]]</f>
        <v>ORD-1123</v>
      </c>
      <c r="B125" s="41" cm="1">
        <f t="array" ref="B125">INDEX(SalesData[Order_Date], ROW()-1)</f>
        <v>45500</v>
      </c>
      <c r="C125" s="40" t="str" cm="1">
        <f t="array" ref="C125">INDEX(SalesData[Category], ROW()-1)</f>
        <v>Home &amp; Kitchen</v>
      </c>
      <c r="D125" s="40" t="str" cm="1">
        <f t="array" ref="D125">INDEX(SalesData[Product_Name],ROW()-1)</f>
        <v>Pillow Cover</v>
      </c>
      <c r="E125" s="40" t="str" cm="1">
        <f t="array" ref="E125">INDEX(SalesData[Customer_State],ROW()-1)</f>
        <v>Rajasthan</v>
      </c>
      <c r="F125" s="40" t="str" cm="1">
        <f t="array" ref="F125">INDEX(SalesData[Order_Status], ROW()-1)</f>
        <v>Delivered</v>
      </c>
      <c r="G125" s="40" t="str" cm="1">
        <f t="array" ref="G125">INDEX(SalesData[Fulfillment_Type], ROW()-1)</f>
        <v>FBM</v>
      </c>
      <c r="H125" s="40" cm="1">
        <f t="array" ref="H125">INDEX(SalesData[Units_Sold], ROW()-1)</f>
        <v>4</v>
      </c>
      <c r="I125" s="44" cm="1">
        <f t="array" ref="I125">INDEX(SalesData[Gross_Sales_INR], ROW()-1)</f>
        <v>9820</v>
      </c>
      <c r="J125" s="43" cm="1">
        <f t="array" ref="J125">INDEX(SalesData[Net_Profit_INR], ROW()-1)</f>
        <v>5212.6400000000003</v>
      </c>
      <c r="K125" s="42" cm="1">
        <f t="array" ref="K125">INDEX(SalesData[Profit_Margin_%], ROW()-1)</f>
        <v>53.1</v>
      </c>
      <c r="L125" s="46" t="str" cm="1">
        <f t="array" ref="L125">IF(INDEX(SalesData[Customer_Rating], ROW()-1)="", "—",REPT("★", INDEX(SalesData[Customer_Rating], ROW()-1)) &amp; REPT("☆", 5-INDEX(SalesData[Customer_Rating], ROW()-1)))</f>
        <v>★★★☆☆</v>
      </c>
      <c r="M125" s="40" t="str" cm="1">
        <f t="array" ref="M125">IF(INDEX(SalesData[Units_Sold],ROW()-1) &lt; 5, "⚠️ Reorder", "OK")</f>
        <v>⚠️ Reorder</v>
      </c>
      <c r="N125" s="40" t="str">
        <f t="shared" si="2"/>
        <v>Breakeven</v>
      </c>
      <c r="O125" s="47" t="str">
        <f>SalesData[[#This Row],[Ad_Type]]</f>
        <v>None</v>
      </c>
      <c r="P125" s="47" t="str">
        <f>SalesData[[#This Row],[Brand]]</f>
        <v>Cello</v>
      </c>
      <c r="Q125" s="47" t="str">
        <f>SalesData[[#This Row],[Product_Name]]</f>
        <v>Pillow Cover</v>
      </c>
      <c r="R125" s="47"/>
      <c r="S125" s="47"/>
      <c r="T125" s="47"/>
      <c r="U125" s="47"/>
      <c r="V125" s="47"/>
    </row>
    <row r="126" spans="1:22">
      <c r="A126" s="45" t="str">
        <f>SalesData[[#This Row],[Order_ID]]</f>
        <v>ORD-1124</v>
      </c>
      <c r="B126" s="41" cm="1">
        <f t="array" ref="B126">INDEX(SalesData[Order_Date], ROW()-1)</f>
        <v>44992</v>
      </c>
      <c r="C126" s="40" t="str" cm="1">
        <f t="array" ref="C126">INDEX(SalesData[Category], ROW()-1)</f>
        <v>Electronics</v>
      </c>
      <c r="D126" s="40" t="str" cm="1">
        <f t="array" ref="D126">INDEX(SalesData[Product_Name],ROW()-1)</f>
        <v>Smart Watch</v>
      </c>
      <c r="E126" s="40" t="str" cm="1">
        <f t="array" ref="E126">INDEX(SalesData[Customer_State],ROW()-1)</f>
        <v>Punjab</v>
      </c>
      <c r="F126" s="40" t="str" cm="1">
        <f t="array" ref="F126">INDEX(SalesData[Order_Status], ROW()-1)</f>
        <v>Pending</v>
      </c>
      <c r="G126" s="40" t="str" cm="1">
        <f t="array" ref="G126">INDEX(SalesData[Fulfillment_Type], ROW()-1)</f>
        <v>FBM</v>
      </c>
      <c r="H126" s="40" cm="1">
        <f t="array" ref="H126">INDEX(SalesData[Units_Sold], ROW()-1)</f>
        <v>9</v>
      </c>
      <c r="I126" s="44" cm="1">
        <f t="array" ref="I126">INDEX(SalesData[Gross_Sales_INR], ROW()-1)</f>
        <v>4617</v>
      </c>
      <c r="J126" s="43" cm="1">
        <f t="array" ref="J126">INDEX(SalesData[Net_Profit_INR], ROW()-1)</f>
        <v>2367.9</v>
      </c>
      <c r="K126" s="42" cm="1">
        <f t="array" ref="K126">INDEX(SalesData[Profit_Margin_%], ROW()-1)</f>
        <v>51.3</v>
      </c>
      <c r="L126" s="46" t="str" cm="1">
        <f t="array" ref="L126">IF(INDEX(SalesData[Customer_Rating], ROW()-1)="", "—",REPT("★", INDEX(SalesData[Customer_Rating], ROW()-1)) &amp; REPT("☆", 5-INDEX(SalesData[Customer_Rating], ROW()-1)))</f>
        <v>—</v>
      </c>
      <c r="M126" s="40" t="str" cm="1">
        <f t="array" ref="M126">IF(INDEX(SalesData[Units_Sold],ROW()-1) &lt; 5, "⚠️ Reorder", "OK")</f>
        <v>OK</v>
      </c>
      <c r="N126" s="40" t="str">
        <f t="shared" si="2"/>
        <v>Breakeven</v>
      </c>
      <c r="O126" s="47" t="str">
        <f>SalesData[[#This Row],[Ad_Type]]</f>
        <v>Sponsored Brands</v>
      </c>
      <c r="P126" s="47" t="str">
        <f>SalesData[[#This Row],[Brand]]</f>
        <v>Noise</v>
      </c>
      <c r="Q126" s="47" t="str">
        <f>SalesData[[#This Row],[Product_Name]]</f>
        <v>Smart Watch</v>
      </c>
      <c r="R126" s="47"/>
      <c r="S126" s="47"/>
      <c r="T126" s="47"/>
      <c r="U126" s="47"/>
      <c r="V126" s="47"/>
    </row>
    <row r="127" spans="1:22">
      <c r="A127" s="45" t="str">
        <f>SalesData[[#This Row],[Order_ID]]</f>
        <v>ORD-1125</v>
      </c>
      <c r="B127" s="41" cm="1">
        <f t="array" ref="B127">INDEX(SalesData[Order_Date], ROW()-1)</f>
        <v>45594</v>
      </c>
      <c r="C127" s="40" t="str" cm="1">
        <f t="array" ref="C127">INDEX(SalesData[Category], ROW()-1)</f>
        <v>Electronics</v>
      </c>
      <c r="D127" s="40" t="str" cm="1">
        <f t="array" ref="D127">INDEX(SalesData[Product_Name],ROW()-1)</f>
        <v>Earbuds</v>
      </c>
      <c r="E127" s="40" t="str" cm="1">
        <f t="array" ref="E127">INDEX(SalesData[Customer_State],ROW()-1)</f>
        <v>Rajasthan</v>
      </c>
      <c r="F127" s="40" t="str" cm="1">
        <f t="array" ref="F127">INDEX(SalesData[Order_Status], ROW()-1)</f>
        <v>Pending</v>
      </c>
      <c r="G127" s="40" t="str" cm="1">
        <f t="array" ref="G127">INDEX(SalesData[Fulfillment_Type], ROW()-1)</f>
        <v>FBM</v>
      </c>
      <c r="H127" s="40" cm="1">
        <f t="array" ref="H127">INDEX(SalesData[Units_Sold], ROW()-1)</f>
        <v>6</v>
      </c>
      <c r="I127" s="44" cm="1">
        <f t="array" ref="I127">INDEX(SalesData[Gross_Sales_INR], ROW()-1)</f>
        <v>10452</v>
      </c>
      <c r="J127" s="43" cm="1">
        <f t="array" ref="J127">INDEX(SalesData[Net_Profit_INR], ROW()-1)</f>
        <v>5897.49</v>
      </c>
      <c r="K127" s="42" cm="1">
        <f t="array" ref="K127">INDEX(SalesData[Profit_Margin_%], ROW()-1)</f>
        <v>56.4</v>
      </c>
      <c r="L127" s="46" t="str" cm="1">
        <f t="array" ref="L127">IF(INDEX(SalesData[Customer_Rating], ROW()-1)="", "—",REPT("★", INDEX(SalesData[Customer_Rating], ROW()-1)) &amp; REPT("☆", 5-INDEX(SalesData[Customer_Rating], ROW()-1)))</f>
        <v>—</v>
      </c>
      <c r="M127" s="40" t="str" cm="1">
        <f t="array" ref="M127">IF(INDEX(SalesData[Units_Sold],ROW()-1) &lt; 5, "⚠️ Reorder", "OK")</f>
        <v>OK</v>
      </c>
      <c r="N127" s="40" t="str">
        <f t="shared" si="2"/>
        <v>Breakeven</v>
      </c>
      <c r="O127" s="47" t="str">
        <f>SalesData[[#This Row],[Ad_Type]]</f>
        <v>None</v>
      </c>
      <c r="P127" s="47" t="str">
        <f>SalesData[[#This Row],[Brand]]</f>
        <v>Classmate</v>
      </c>
      <c r="Q127" s="47" t="str">
        <f>SalesData[[#This Row],[Product_Name]]</f>
        <v>Earbuds</v>
      </c>
      <c r="R127" s="47"/>
      <c r="S127" s="47"/>
      <c r="T127" s="47"/>
      <c r="U127" s="47"/>
      <c r="V127" s="47"/>
    </row>
    <row r="128" spans="1:22">
      <c r="A128" s="45" t="str">
        <f>SalesData[[#This Row],[Order_ID]]</f>
        <v>ORD-1126</v>
      </c>
      <c r="B128" s="41" cm="1">
        <f t="array" ref="B128">INDEX(SalesData[Order_Date], ROW()-1)</f>
        <v>45346</v>
      </c>
      <c r="C128" s="40" t="str" cm="1">
        <f t="array" ref="C128">INDEX(SalesData[Category], ROW()-1)</f>
        <v>Electronics</v>
      </c>
      <c r="D128" s="40" t="str" cm="1">
        <f t="array" ref="D128">INDEX(SalesData[Product_Name],ROW()-1)</f>
        <v>Earbuds</v>
      </c>
      <c r="E128" s="40" t="str" cm="1">
        <f t="array" ref="E128">INDEX(SalesData[Customer_State],ROW()-1)</f>
        <v>Maharashtra</v>
      </c>
      <c r="F128" s="40" t="str" cm="1">
        <f t="array" ref="F128">INDEX(SalesData[Order_Status], ROW()-1)</f>
        <v>Cancelled</v>
      </c>
      <c r="G128" s="40" t="str" cm="1">
        <f t="array" ref="G128">INDEX(SalesData[Fulfillment_Type], ROW()-1)</f>
        <v>FBA</v>
      </c>
      <c r="H128" s="40" cm="1">
        <f t="array" ref="H128">INDEX(SalesData[Units_Sold], ROW()-1)</f>
        <v>3</v>
      </c>
      <c r="I128" s="44" cm="1">
        <f t="array" ref="I128">INDEX(SalesData[Gross_Sales_INR], ROW()-1)</f>
        <v>4233</v>
      </c>
      <c r="J128" s="43" cm="1">
        <f t="array" ref="J128">INDEX(SalesData[Net_Profit_INR], ROW()-1)</f>
        <v>860.13</v>
      </c>
      <c r="K128" s="42" cm="1">
        <f t="array" ref="K128">INDEX(SalesData[Profit_Margin_%], ROW()-1)</f>
        <v>20.3</v>
      </c>
      <c r="L128" s="46" t="str" cm="1">
        <f t="array" ref="L128">IF(INDEX(SalesData[Customer_Rating], ROW()-1)="", "—",REPT("★", INDEX(SalesData[Customer_Rating], ROW()-1)) &amp; REPT("☆", 5-INDEX(SalesData[Customer_Rating], ROW()-1)))</f>
        <v>—</v>
      </c>
      <c r="M128" s="40" t="str" cm="1">
        <f t="array" ref="M128">IF(INDEX(SalesData[Units_Sold],ROW()-1) &lt; 5, "⚠️ Reorder", "OK")</f>
        <v>⚠️ Reorder</v>
      </c>
      <c r="N128" s="40" t="str">
        <f t="shared" si="2"/>
        <v>Breakeven</v>
      </c>
      <c r="O128" s="47" t="str">
        <f>SalesData[[#This Row],[Ad_Type]]</f>
        <v>None</v>
      </c>
      <c r="P128" s="47" t="str">
        <f>SalesData[[#This Row],[Brand]]</f>
        <v>Milton</v>
      </c>
      <c r="Q128" s="47" t="str">
        <f>SalesData[[#This Row],[Product_Name]]</f>
        <v>Earbuds</v>
      </c>
      <c r="R128" s="47"/>
      <c r="S128" s="47"/>
      <c r="T128" s="47"/>
      <c r="U128" s="47"/>
      <c r="V128" s="47"/>
    </row>
    <row r="129" spans="1:22">
      <c r="A129" s="45" t="str">
        <f>SalesData[[#This Row],[Order_ID]]</f>
        <v>ORD-1127</v>
      </c>
      <c r="B129" s="41" cm="1">
        <f t="array" ref="B129">INDEX(SalesData[Order_Date], ROW()-1)</f>
        <v>45186</v>
      </c>
      <c r="C129" s="40" t="str" cm="1">
        <f t="array" ref="C129">INDEX(SalesData[Category], ROW()-1)</f>
        <v>Office Supplies</v>
      </c>
      <c r="D129" s="40" t="str" cm="1">
        <f t="array" ref="D129">INDEX(SalesData[Product_Name],ROW()-1)</f>
        <v>Desk Organizer</v>
      </c>
      <c r="E129" s="40" t="str" cm="1">
        <f t="array" ref="E129">INDEX(SalesData[Customer_State],ROW()-1)</f>
        <v>Rajasthan</v>
      </c>
      <c r="F129" s="40" t="str" cm="1">
        <f t="array" ref="F129">INDEX(SalesData[Order_Status], ROW()-1)</f>
        <v>Returned</v>
      </c>
      <c r="G129" s="40" t="str" cm="1">
        <f t="array" ref="G129">INDEX(SalesData[Fulfillment_Type], ROW()-1)</f>
        <v>FBA</v>
      </c>
      <c r="H129" s="40" cm="1">
        <f t="array" ref="H129">INDEX(SalesData[Units_Sold], ROW()-1)</f>
        <v>5</v>
      </c>
      <c r="I129" s="44" cm="1">
        <f t="array" ref="I129">INDEX(SalesData[Gross_Sales_INR], ROW()-1)</f>
        <v>14325</v>
      </c>
      <c r="J129" s="43" cm="1">
        <f t="array" ref="J129">INDEX(SalesData[Net_Profit_INR], ROW()-1)</f>
        <v>-9596.2800000000007</v>
      </c>
      <c r="K129" s="42" cm="1">
        <f t="array" ref="K129">INDEX(SalesData[Profit_Margin_%], ROW()-1)</f>
        <v>0</v>
      </c>
      <c r="L129" s="46" t="str" cm="1">
        <f t="array" ref="L129">IF(INDEX(SalesData[Customer_Rating], ROW()-1)="", "—",REPT("★", INDEX(SalesData[Customer_Rating], ROW()-1)) &amp; REPT("☆", 5-INDEX(SalesData[Customer_Rating], ROW()-1)))</f>
        <v>—</v>
      </c>
      <c r="M129" s="40" t="str" cm="1">
        <f t="array" ref="M129">IF(INDEX(SalesData[Units_Sold],ROW()-1) &lt; 5, "⚠️ Reorder", "OK")</f>
        <v>OK</v>
      </c>
      <c r="N129" s="40" t="str">
        <f t="shared" si="2"/>
        <v>Breakeven</v>
      </c>
      <c r="O129" s="47" t="str">
        <f>SalesData[[#This Row],[Ad_Type]]</f>
        <v>None</v>
      </c>
      <c r="P129" s="47" t="str">
        <f>SalesData[[#This Row],[Brand]]</f>
        <v>Wildcraft</v>
      </c>
      <c r="Q129" s="47" t="str">
        <f>SalesData[[#This Row],[Product_Name]]</f>
        <v>Desk Organizer</v>
      </c>
      <c r="R129" s="47"/>
      <c r="S129" s="47"/>
      <c r="T129" s="47"/>
      <c r="U129" s="47"/>
      <c r="V129" s="47"/>
    </row>
    <row r="130" spans="1:22">
      <c r="A130" s="45" t="str">
        <f>SalesData[[#This Row],[Order_ID]]</f>
        <v>ORD-1128</v>
      </c>
      <c r="B130" s="41" cm="1">
        <f t="array" ref="B130">INDEX(SalesData[Order_Date], ROW()-1)</f>
        <v>45180</v>
      </c>
      <c r="C130" s="40" t="str" cm="1">
        <f t="array" ref="C130">INDEX(SalesData[Category], ROW()-1)</f>
        <v>Sports</v>
      </c>
      <c r="D130" s="40" t="str" cm="1">
        <f t="array" ref="D130">INDEX(SalesData[Product_Name],ROW()-1)</f>
        <v>Yoga Mat</v>
      </c>
      <c r="E130" s="40" t="str" cm="1">
        <f t="array" ref="E130">INDEX(SalesData[Customer_State],ROW()-1)</f>
        <v>Uttar Pradesh</v>
      </c>
      <c r="F130" s="40" t="str" cm="1">
        <f t="array" ref="F130">INDEX(SalesData[Order_Status], ROW()-1)</f>
        <v>Delivered</v>
      </c>
      <c r="G130" s="40" t="str" cm="1">
        <f t="array" ref="G130">INDEX(SalesData[Fulfillment_Type], ROW()-1)</f>
        <v>FBA</v>
      </c>
      <c r="H130" s="40" cm="1">
        <f t="array" ref="H130">INDEX(SalesData[Units_Sold], ROW()-1)</f>
        <v>9</v>
      </c>
      <c r="I130" s="44" cm="1">
        <f t="array" ref="I130">INDEX(SalesData[Gross_Sales_INR], ROW()-1)</f>
        <v>18540</v>
      </c>
      <c r="J130" s="43" cm="1">
        <f t="array" ref="J130">INDEX(SalesData[Net_Profit_INR], ROW()-1)</f>
        <v>5168.42</v>
      </c>
      <c r="K130" s="42" cm="1">
        <f t="array" ref="K130">INDEX(SalesData[Profit_Margin_%], ROW()-1)</f>
        <v>27.9</v>
      </c>
      <c r="L130" s="46" t="str" cm="1">
        <f t="array" ref="L130">IF(INDEX(SalesData[Customer_Rating], ROW()-1)="", "—",REPT("★", INDEX(SalesData[Customer_Rating], ROW()-1)) &amp; REPT("☆", 5-INDEX(SalesData[Customer_Rating], ROW()-1)))</f>
        <v>★★☆☆☆</v>
      </c>
      <c r="M130" s="40" t="str" cm="1">
        <f t="array" ref="M130">IF(INDEX(SalesData[Units_Sold],ROW()-1) &lt; 5, "⚠️ Reorder", "OK")</f>
        <v>OK</v>
      </c>
      <c r="N130" s="40" t="str">
        <f t="shared" si="2"/>
        <v>Breakeven</v>
      </c>
      <c r="O130" s="47" t="str">
        <f>SalesData[[#This Row],[Ad_Type]]</f>
        <v>Sponsored Products</v>
      </c>
      <c r="P130" s="47" t="str">
        <f>SalesData[[#This Row],[Brand]]</f>
        <v>Milton</v>
      </c>
      <c r="Q130" s="47" t="str">
        <f>SalesData[[#This Row],[Product_Name]]</f>
        <v>Yoga Mat</v>
      </c>
      <c r="R130" s="47"/>
      <c r="S130" s="47"/>
      <c r="T130" s="47"/>
      <c r="U130" s="47"/>
      <c r="V130" s="47"/>
    </row>
    <row r="131" spans="1:22">
      <c r="A131" s="45" t="str">
        <f>SalesData[[#This Row],[Order_ID]]</f>
        <v>ORD-1129</v>
      </c>
      <c r="B131" s="41" cm="1">
        <f t="array" ref="B131">INDEX(SalesData[Order_Date], ROW()-1)</f>
        <v>44979</v>
      </c>
      <c r="C131" s="40" t="str" cm="1">
        <f t="array" ref="C131">INDEX(SalesData[Category], ROW()-1)</f>
        <v>Fashion</v>
      </c>
      <c r="D131" s="40" t="str" cm="1">
        <f t="array" ref="D131">INDEX(SalesData[Product_Name],ROW()-1)</f>
        <v>Casual Bag</v>
      </c>
      <c r="E131" s="40" t="str" cm="1">
        <f t="array" ref="E131">INDEX(SalesData[Customer_State],ROW()-1)</f>
        <v>Uttar Pradesh</v>
      </c>
      <c r="F131" s="40" t="str" cm="1">
        <f t="array" ref="F131">INDEX(SalesData[Order_Status], ROW()-1)</f>
        <v>Pending</v>
      </c>
      <c r="G131" s="40" t="str" cm="1">
        <f t="array" ref="G131">INDEX(SalesData[Fulfillment_Type], ROW()-1)</f>
        <v>FBA</v>
      </c>
      <c r="H131" s="40" cm="1">
        <f t="array" ref="H131">INDEX(SalesData[Units_Sold], ROW()-1)</f>
        <v>2</v>
      </c>
      <c r="I131" s="44" cm="1">
        <f t="array" ref="I131">INDEX(SalesData[Gross_Sales_INR], ROW()-1)</f>
        <v>5334</v>
      </c>
      <c r="J131" s="43" cm="1">
        <f t="array" ref="J131">INDEX(SalesData[Net_Profit_INR], ROW()-1)</f>
        <v>2501.2199999999998</v>
      </c>
      <c r="K131" s="42" cm="1">
        <f t="array" ref="K131">INDEX(SalesData[Profit_Margin_%], ROW()-1)</f>
        <v>46.9</v>
      </c>
      <c r="L131" s="46" t="str" cm="1">
        <f t="array" ref="L131">IF(INDEX(SalesData[Customer_Rating], ROW()-1)="", "—",REPT("★", INDEX(SalesData[Customer_Rating], ROW()-1)) &amp; REPT("☆", 5-INDEX(SalesData[Customer_Rating], ROW()-1)))</f>
        <v>—</v>
      </c>
      <c r="M131" s="40" t="str" cm="1">
        <f t="array" ref="M131">IF(INDEX(SalesData[Units_Sold],ROW()-1) &lt; 5, "⚠️ Reorder", "OK")</f>
        <v>⚠️ Reorder</v>
      </c>
      <c r="N131" s="40" t="str">
        <f t="shared" ref="N131:N133" si="3">IF(J69&gt;0, "Profit", IF(J69&lt;0, "Loss", "Breakeven"))</f>
        <v>Profit</v>
      </c>
      <c r="O131" s="47" t="str">
        <f>SalesData[[#This Row],[Ad_Type]]</f>
        <v>None</v>
      </c>
      <c r="P131" s="47" t="str">
        <f>SalesData[[#This Row],[Brand]]</f>
        <v>Mamaearth</v>
      </c>
      <c r="Q131" s="47" t="str">
        <f>SalesData[[#This Row],[Product_Name]]</f>
        <v>Casual Bag</v>
      </c>
      <c r="R131" s="47"/>
      <c r="S131" s="47"/>
      <c r="T131" s="47"/>
      <c r="U131" s="47"/>
      <c r="V131" s="47"/>
    </row>
    <row r="132" spans="1:22">
      <c r="A132" s="45" t="str">
        <f>SalesData[[#This Row],[Order_ID]]</f>
        <v>ORD-1130</v>
      </c>
      <c r="B132" s="41" cm="1">
        <f t="array" ref="B132">INDEX(SalesData[Order_Date], ROW()-1)</f>
        <v>45202</v>
      </c>
      <c r="C132" s="40" t="str" cm="1">
        <f t="array" ref="C132">INDEX(SalesData[Category], ROW()-1)</f>
        <v>Beauty</v>
      </c>
      <c r="D132" s="40" t="str" cm="1">
        <f t="array" ref="D132">INDEX(SalesData[Product_Name],ROW()-1)</f>
        <v>Face Wash</v>
      </c>
      <c r="E132" s="40" t="str" cm="1">
        <f t="array" ref="E132">INDEX(SalesData[Customer_State],ROW()-1)</f>
        <v>Uttar Pradesh</v>
      </c>
      <c r="F132" s="40" t="str" cm="1">
        <f t="array" ref="F132">INDEX(SalesData[Order_Status], ROW()-1)</f>
        <v>Delivered</v>
      </c>
      <c r="G132" s="40" t="str" cm="1">
        <f t="array" ref="G132">INDEX(SalesData[Fulfillment_Type], ROW()-1)</f>
        <v>FBM</v>
      </c>
      <c r="H132" s="40" cm="1">
        <f t="array" ref="H132">INDEX(SalesData[Units_Sold], ROW()-1)</f>
        <v>9</v>
      </c>
      <c r="I132" s="44" cm="1">
        <f t="array" ref="I132">INDEX(SalesData[Gross_Sales_INR], ROW()-1)</f>
        <v>16803</v>
      </c>
      <c r="J132" s="43" cm="1">
        <f t="array" ref="J132">INDEX(SalesData[Net_Profit_INR], ROW()-1)</f>
        <v>6787.36</v>
      </c>
      <c r="K132" s="42" cm="1">
        <f t="array" ref="K132">INDEX(SalesData[Profit_Margin_%], ROW()-1)</f>
        <v>40.4</v>
      </c>
      <c r="L132" s="46" t="str" cm="1">
        <f t="array" ref="L132">IF(INDEX(SalesData[Customer_Rating], ROW()-1)="", "—",REPT("★", INDEX(SalesData[Customer_Rating], ROW()-1)) &amp; REPT("☆", 5-INDEX(SalesData[Customer_Rating], ROW()-1)))</f>
        <v>★★★★★</v>
      </c>
      <c r="M132" s="40" t="str" cm="1">
        <f t="array" ref="M132">IF(INDEX(SalesData[Units_Sold],ROW()-1) &lt; 5, "⚠️ Reorder", "OK")</f>
        <v>OK</v>
      </c>
      <c r="N132" s="40" t="str">
        <f t="shared" si="3"/>
        <v>Loss</v>
      </c>
      <c r="O132" s="47" t="str">
        <f>SalesData[[#This Row],[Ad_Type]]</f>
        <v>Sponsored Brands</v>
      </c>
      <c r="P132" s="47" t="str">
        <f>SalesData[[#This Row],[Brand]]</f>
        <v>Classmate</v>
      </c>
      <c r="Q132" s="47" t="str">
        <f>SalesData[[#This Row],[Product_Name]]</f>
        <v>Face Wash</v>
      </c>
      <c r="R132" s="47"/>
      <c r="S132" s="47"/>
      <c r="T132" s="47"/>
      <c r="U132" s="47"/>
      <c r="V132" s="47"/>
    </row>
    <row r="133" spans="1:22">
      <c r="A133" s="45" t="str">
        <f>SalesData[[#This Row],[Order_ID]]</f>
        <v>ORD-1131</v>
      </c>
      <c r="B133" s="41" cm="1">
        <f t="array" ref="B133">INDEX(SalesData[Order_Date], ROW()-1)</f>
        <v>45120</v>
      </c>
      <c r="C133" s="40" t="str" cm="1">
        <f t="array" ref="C133">INDEX(SalesData[Category], ROW()-1)</f>
        <v>Sports</v>
      </c>
      <c r="D133" s="40" t="str" cm="1">
        <f t="array" ref="D133">INDEX(SalesData[Product_Name],ROW()-1)</f>
        <v>Dumbbell Set</v>
      </c>
      <c r="E133" s="40" t="str" cm="1">
        <f t="array" ref="E133">INDEX(SalesData[Customer_State],ROW()-1)</f>
        <v>Tamil Nadu</v>
      </c>
      <c r="F133" s="40" t="str" cm="1">
        <f t="array" ref="F133">INDEX(SalesData[Order_Status], ROW()-1)</f>
        <v>Cancelled</v>
      </c>
      <c r="G133" s="40" t="str" cm="1">
        <f t="array" ref="G133">INDEX(SalesData[Fulfillment_Type], ROW()-1)</f>
        <v>FBA</v>
      </c>
      <c r="H133" s="40" cm="1">
        <f t="array" ref="H133">INDEX(SalesData[Units_Sold], ROW()-1)</f>
        <v>9</v>
      </c>
      <c r="I133" s="44" cm="1">
        <f t="array" ref="I133">INDEX(SalesData[Gross_Sales_INR], ROW()-1)</f>
        <v>13590</v>
      </c>
      <c r="J133" s="43" cm="1">
        <f t="array" ref="J133">INDEX(SalesData[Net_Profit_INR], ROW()-1)</f>
        <v>3523.47</v>
      </c>
      <c r="K133" s="42" cm="1">
        <f t="array" ref="K133">INDEX(SalesData[Profit_Margin_%], ROW()-1)</f>
        <v>25.9</v>
      </c>
      <c r="L133" s="46" t="str" cm="1">
        <f t="array" ref="L133">IF(INDEX(SalesData[Customer_Rating], ROW()-1)="", "—",REPT("★", INDEX(SalesData[Customer_Rating], ROW()-1)) &amp; REPT("☆", 5-INDEX(SalesData[Customer_Rating], ROW()-1)))</f>
        <v>—</v>
      </c>
      <c r="M133" s="40" t="str" cm="1">
        <f t="array" ref="M133">IF(INDEX(SalesData[Units_Sold],ROW()-1) &lt; 5, "⚠️ Reorder", "OK")</f>
        <v>OK</v>
      </c>
      <c r="N133" s="40" t="str">
        <f t="shared" si="3"/>
        <v>Profit</v>
      </c>
      <c r="O133" s="47" t="str">
        <f>SalesData[[#This Row],[Ad_Type]]</f>
        <v>Sponsored Display</v>
      </c>
      <c r="P133" s="47" t="str">
        <f>SalesData[[#This Row],[Brand]]</f>
        <v>Classmate</v>
      </c>
      <c r="Q133" s="47" t="str">
        <f>SalesData[[#This Row],[Product_Name]]</f>
        <v>Dumbbell Set</v>
      </c>
      <c r="R133" s="47"/>
      <c r="S133" s="47"/>
      <c r="T133" s="47"/>
      <c r="U133" s="47"/>
      <c r="V133" s="47"/>
    </row>
    <row r="134" spans="1:22">
      <c r="A134" s="45" t="str">
        <f>SalesData[[#This Row],[Order_ID]]</f>
        <v>ORD-1132</v>
      </c>
      <c r="B134" s="41" cm="1">
        <f t="array" ref="B134">INDEX(SalesData[Order_Date], ROW()-1)</f>
        <v>45150</v>
      </c>
      <c r="C134" s="40" t="str" cm="1">
        <f t="array" ref="C134">INDEX(SalesData[Category], ROW()-1)</f>
        <v>Sports</v>
      </c>
      <c r="D134" s="40" t="str" cm="1">
        <f t="array" ref="D134">INDEX(SalesData[Product_Name],ROW()-1)</f>
        <v>Resistance Band</v>
      </c>
      <c r="E134" s="40" t="str" cm="1">
        <f t="array" ref="E134">INDEX(SalesData[Customer_State],ROW()-1)</f>
        <v>Haryana</v>
      </c>
      <c r="F134" s="40" t="str" cm="1">
        <f t="array" ref="F134">INDEX(SalesData[Order_Status], ROW()-1)</f>
        <v>Delivered</v>
      </c>
      <c r="G134" s="40" t="str" cm="1">
        <f t="array" ref="G134">INDEX(SalesData[Fulfillment_Type], ROW()-1)</f>
        <v>FBM</v>
      </c>
      <c r="H134" s="40" cm="1">
        <f t="array" ref="H134">INDEX(SalesData[Units_Sold], ROW()-1)</f>
        <v>2</v>
      </c>
      <c r="I134" s="44" cm="1">
        <f t="array" ref="I134">INDEX(SalesData[Gross_Sales_INR], ROW()-1)</f>
        <v>1646</v>
      </c>
      <c r="J134" s="43" cm="1">
        <f t="array" ref="J134">INDEX(SalesData[Net_Profit_INR], ROW()-1)</f>
        <v>788.05</v>
      </c>
      <c r="K134" s="42" cm="1">
        <f t="array" ref="K134">INDEX(SalesData[Profit_Margin_%], ROW()-1)</f>
        <v>47.9</v>
      </c>
      <c r="L134" s="46" t="str" cm="1">
        <f t="array" ref="L134">IF(INDEX(SalesData[Customer_Rating], ROW()-1)="", "—",REPT("★", INDEX(SalesData[Customer_Rating], ROW()-1)) &amp; REPT("☆", 5-INDEX(SalesData[Customer_Rating], ROW()-1)))</f>
        <v>★★★☆☆</v>
      </c>
      <c r="M134" s="40" t="str" cm="1">
        <f t="array" ref="M134">IF(INDEX(SalesData[Units_Sold],ROW()-1) &lt; 5, "⚠️ Reorder", "OK")</f>
        <v>⚠️ Reorder</v>
      </c>
      <c r="N134" s="40" t="str">
        <f t="shared" ref="N134:N197" si="4">IF(J72&gt;0, "Profit", IF(J72&lt;0, "Loss", "Breakeven"))</f>
        <v>Profit</v>
      </c>
      <c r="O134" s="47" t="str">
        <f>SalesData[[#This Row],[Ad_Type]]</f>
        <v>None</v>
      </c>
      <c r="P134" s="47" t="str">
        <f>SalesData[[#This Row],[Brand]]</f>
        <v>Skullcandy</v>
      </c>
      <c r="Q134" s="47" t="str">
        <f>SalesData[[#This Row],[Product_Name]]</f>
        <v>Resistance Band</v>
      </c>
      <c r="R134" s="47"/>
      <c r="S134" s="47"/>
      <c r="T134" s="47"/>
      <c r="U134" s="47"/>
      <c r="V134" s="47"/>
    </row>
    <row r="135" spans="1:22">
      <c r="A135" s="45" t="str">
        <f>SalesData[[#This Row],[Order_ID]]</f>
        <v>ORD-1133</v>
      </c>
      <c r="B135" s="41" cm="1">
        <f t="array" ref="B135">INDEX(SalesData[Order_Date], ROW()-1)</f>
        <v>45113</v>
      </c>
      <c r="C135" s="40" t="str" cm="1">
        <f t="array" ref="C135">INDEX(SalesData[Category], ROW()-1)</f>
        <v>Beauty</v>
      </c>
      <c r="D135" s="40" t="str" cm="1">
        <f t="array" ref="D135">INDEX(SalesData[Product_Name],ROW()-1)</f>
        <v>Hair Oil</v>
      </c>
      <c r="E135" s="40" t="str" cm="1">
        <f t="array" ref="E135">INDEX(SalesData[Customer_State],ROW()-1)</f>
        <v>Haryana</v>
      </c>
      <c r="F135" s="40" t="str" cm="1">
        <f t="array" ref="F135">INDEX(SalesData[Order_Status], ROW()-1)</f>
        <v>In Transit</v>
      </c>
      <c r="G135" s="40" t="str" cm="1">
        <f t="array" ref="G135">INDEX(SalesData[Fulfillment_Type], ROW()-1)</f>
        <v>FBA</v>
      </c>
      <c r="H135" s="40" cm="1">
        <f t="array" ref="H135">INDEX(SalesData[Units_Sold], ROW()-1)</f>
        <v>3</v>
      </c>
      <c r="I135" s="44" cm="1">
        <f t="array" ref="I135">INDEX(SalesData[Gross_Sales_INR], ROW()-1)</f>
        <v>4536</v>
      </c>
      <c r="J135" s="43" cm="1">
        <f t="array" ref="J135">INDEX(SalesData[Net_Profit_INR], ROW()-1)</f>
        <v>889.34</v>
      </c>
      <c r="K135" s="42" cm="1">
        <f t="array" ref="K135">INDEX(SalesData[Profit_Margin_%], ROW()-1)</f>
        <v>19.600000000000001</v>
      </c>
      <c r="L135" s="46" t="str" cm="1">
        <f t="array" ref="L135">IF(INDEX(SalesData[Customer_Rating], ROW()-1)="", "—",REPT("★", INDEX(SalesData[Customer_Rating], ROW()-1)) &amp; REPT("☆", 5-INDEX(SalesData[Customer_Rating], ROW()-1)))</f>
        <v>—</v>
      </c>
      <c r="M135" s="40" t="str" cm="1">
        <f t="array" ref="M135">IF(INDEX(SalesData[Units_Sold],ROW()-1) &lt; 5, "⚠️ Reorder", "OK")</f>
        <v>⚠️ Reorder</v>
      </c>
      <c r="N135" s="40" t="str">
        <f t="shared" si="4"/>
        <v>Profit</v>
      </c>
      <c r="O135" s="47" t="str">
        <f>SalesData[[#This Row],[Ad_Type]]</f>
        <v>Sponsored Display</v>
      </c>
      <c r="P135" s="47" t="str">
        <f>SalesData[[#This Row],[Brand]]</f>
        <v>Decathlon</v>
      </c>
      <c r="Q135" s="47" t="str">
        <f>SalesData[[#This Row],[Product_Name]]</f>
        <v>Hair Oil</v>
      </c>
      <c r="R135" s="47"/>
      <c r="S135" s="47"/>
      <c r="T135" s="47"/>
      <c r="U135" s="47"/>
      <c r="V135" s="47"/>
    </row>
    <row r="136" spans="1:22">
      <c r="A136" s="45" t="str">
        <f>SalesData[[#This Row],[Order_ID]]</f>
        <v>ORD-1134</v>
      </c>
      <c r="B136" s="41" cm="1">
        <f t="array" ref="B136">INDEX(SalesData[Order_Date], ROW()-1)</f>
        <v>45572</v>
      </c>
      <c r="C136" s="40" t="str" cm="1">
        <f t="array" ref="C136">INDEX(SalesData[Category], ROW()-1)</f>
        <v>Sports</v>
      </c>
      <c r="D136" s="40" t="str" cm="1">
        <f t="array" ref="D136">INDEX(SalesData[Product_Name],ROW()-1)</f>
        <v>Protein Shaker</v>
      </c>
      <c r="E136" s="40" t="str" cm="1">
        <f t="array" ref="E136">INDEX(SalesData[Customer_State],ROW()-1)</f>
        <v>Kerala</v>
      </c>
      <c r="F136" s="40" t="str" cm="1">
        <f t="array" ref="F136">INDEX(SalesData[Order_Status], ROW()-1)</f>
        <v>In Transit</v>
      </c>
      <c r="G136" s="40" t="str" cm="1">
        <f t="array" ref="G136">INDEX(SalesData[Fulfillment_Type], ROW()-1)</f>
        <v>FBA</v>
      </c>
      <c r="H136" s="40" cm="1">
        <f t="array" ref="H136">INDEX(SalesData[Units_Sold], ROW()-1)</f>
        <v>9</v>
      </c>
      <c r="I136" s="44" cm="1">
        <f t="array" ref="I136">INDEX(SalesData[Gross_Sales_INR], ROW()-1)</f>
        <v>37773</v>
      </c>
      <c r="J136" s="43" cm="1">
        <f t="array" ref="J136">INDEX(SalesData[Net_Profit_INR], ROW()-1)</f>
        <v>16235.68</v>
      </c>
      <c r="K136" s="42" cm="1">
        <f t="array" ref="K136">INDEX(SalesData[Profit_Margin_%], ROW()-1)</f>
        <v>43</v>
      </c>
      <c r="L136" s="46" t="str" cm="1">
        <f t="array" ref="L136">IF(INDEX(SalesData[Customer_Rating], ROW()-1)="", "—",REPT("★", INDEX(SalesData[Customer_Rating], ROW()-1)) &amp; REPT("☆", 5-INDEX(SalesData[Customer_Rating], ROW()-1)))</f>
        <v>—</v>
      </c>
      <c r="M136" s="40" t="str" cm="1">
        <f t="array" ref="M136">IF(INDEX(SalesData[Units_Sold],ROW()-1) &lt; 5, "⚠️ Reorder", "OK")</f>
        <v>OK</v>
      </c>
      <c r="N136" s="40" t="str">
        <f t="shared" si="4"/>
        <v>Profit</v>
      </c>
      <c r="O136" s="47" t="str">
        <f>SalesData[[#This Row],[Ad_Type]]</f>
        <v>None</v>
      </c>
      <c r="P136" s="47" t="str">
        <f>SalesData[[#This Row],[Brand]]</f>
        <v>BoAt</v>
      </c>
      <c r="Q136" s="47" t="str">
        <f>SalesData[[#This Row],[Product_Name]]</f>
        <v>Protein Shaker</v>
      </c>
      <c r="R136" s="47"/>
      <c r="S136" s="47"/>
      <c r="T136" s="47"/>
      <c r="U136" s="47"/>
      <c r="V136" s="47"/>
    </row>
    <row r="137" spans="1:22">
      <c r="A137" s="45" t="str">
        <f>SalesData[[#This Row],[Order_ID]]</f>
        <v>ORD-1135</v>
      </c>
      <c r="B137" s="41" cm="1">
        <f t="array" ref="B137">INDEX(SalesData[Order_Date], ROW()-1)</f>
        <v>45175</v>
      </c>
      <c r="C137" s="40" t="str" cm="1">
        <f t="array" ref="C137">INDEX(SalesData[Category], ROW()-1)</f>
        <v>Beauty</v>
      </c>
      <c r="D137" s="40" t="str" cm="1">
        <f t="array" ref="D137">INDEX(SalesData[Product_Name],ROW()-1)</f>
        <v>Face Serum</v>
      </c>
      <c r="E137" s="40" t="str" cm="1">
        <f t="array" ref="E137">INDEX(SalesData[Customer_State],ROW()-1)</f>
        <v>Uttar Pradesh</v>
      </c>
      <c r="F137" s="40" t="str" cm="1">
        <f t="array" ref="F137">INDEX(SalesData[Order_Status], ROW()-1)</f>
        <v>In Transit</v>
      </c>
      <c r="G137" s="40" t="str" cm="1">
        <f t="array" ref="G137">INDEX(SalesData[Fulfillment_Type], ROW()-1)</f>
        <v>FBM</v>
      </c>
      <c r="H137" s="40" cm="1">
        <f t="array" ref="H137">INDEX(SalesData[Units_Sold], ROW()-1)</f>
        <v>1</v>
      </c>
      <c r="I137" s="44" cm="1">
        <f t="array" ref="I137">INDEX(SalesData[Gross_Sales_INR], ROW()-1)</f>
        <v>2351</v>
      </c>
      <c r="J137" s="43" cm="1">
        <f t="array" ref="J137">INDEX(SalesData[Net_Profit_INR], ROW()-1)</f>
        <v>666.54</v>
      </c>
      <c r="K137" s="42" cm="1">
        <f t="array" ref="K137">INDEX(SalesData[Profit_Margin_%], ROW()-1)</f>
        <v>28.4</v>
      </c>
      <c r="L137" s="46" t="str" cm="1">
        <f t="array" ref="L137">IF(INDEX(SalesData[Customer_Rating], ROW()-1)="", "—",REPT("★", INDEX(SalesData[Customer_Rating], ROW()-1)) &amp; REPT("☆", 5-INDEX(SalesData[Customer_Rating], ROW()-1)))</f>
        <v>—</v>
      </c>
      <c r="M137" s="40" t="str" cm="1">
        <f t="array" ref="M137">IF(INDEX(SalesData[Units_Sold],ROW()-1) &lt; 5, "⚠️ Reorder", "OK")</f>
        <v>⚠️ Reorder</v>
      </c>
      <c r="N137" s="40" t="str">
        <f t="shared" si="4"/>
        <v>Profit</v>
      </c>
      <c r="O137" s="47" t="str">
        <f>SalesData[[#This Row],[Ad_Type]]</f>
        <v>Sponsored Products</v>
      </c>
      <c r="P137" s="47" t="str">
        <f>SalesData[[#This Row],[Brand]]</f>
        <v>Milton</v>
      </c>
      <c r="Q137" s="47" t="str">
        <f>SalesData[[#This Row],[Product_Name]]</f>
        <v>Face Serum</v>
      </c>
      <c r="R137" s="47"/>
      <c r="S137" s="47"/>
      <c r="T137" s="47"/>
      <c r="U137" s="47"/>
      <c r="V137" s="47"/>
    </row>
    <row r="138" spans="1:22">
      <c r="A138" s="45" t="str">
        <f>SalesData[[#This Row],[Order_ID]]</f>
        <v>ORD-1136</v>
      </c>
      <c r="B138" s="41" cm="1">
        <f t="array" ref="B138">INDEX(SalesData[Order_Date], ROW()-1)</f>
        <v>45053</v>
      </c>
      <c r="C138" s="40" t="str" cm="1">
        <f t="array" ref="C138">INDEX(SalesData[Category], ROW()-1)</f>
        <v>Office Supplies</v>
      </c>
      <c r="D138" s="40" t="str" cm="1">
        <f t="array" ref="D138">INDEX(SalesData[Product_Name],ROW()-1)</f>
        <v>Gel Pen Set</v>
      </c>
      <c r="E138" s="40" t="str" cm="1">
        <f t="array" ref="E138">INDEX(SalesData[Customer_State],ROW()-1)</f>
        <v>Haryana</v>
      </c>
      <c r="F138" s="40" t="str" cm="1">
        <f t="array" ref="F138">INDEX(SalesData[Order_Status], ROW()-1)</f>
        <v>Delivered</v>
      </c>
      <c r="G138" s="40" t="str" cm="1">
        <f t="array" ref="G138">INDEX(SalesData[Fulfillment_Type], ROW()-1)</f>
        <v>FBM</v>
      </c>
      <c r="H138" s="40" cm="1">
        <f t="array" ref="H138">INDEX(SalesData[Units_Sold], ROW()-1)</f>
        <v>8</v>
      </c>
      <c r="I138" s="44" cm="1">
        <f t="array" ref="I138">INDEX(SalesData[Gross_Sales_INR], ROW()-1)</f>
        <v>9424</v>
      </c>
      <c r="J138" s="43" cm="1">
        <f t="array" ref="J138">INDEX(SalesData[Net_Profit_INR], ROW()-1)</f>
        <v>3703.84</v>
      </c>
      <c r="K138" s="42" cm="1">
        <f t="array" ref="K138">INDEX(SalesData[Profit_Margin_%], ROW()-1)</f>
        <v>39.299999999999997</v>
      </c>
      <c r="L138" s="46" t="str" cm="1">
        <f t="array" ref="L138">IF(INDEX(SalesData[Customer_Rating], ROW()-1)="", "—",REPT("★", INDEX(SalesData[Customer_Rating], ROW()-1)) &amp; REPT("☆", 5-INDEX(SalesData[Customer_Rating], ROW()-1)))</f>
        <v>★★☆☆☆</v>
      </c>
      <c r="M138" s="40" t="str" cm="1">
        <f t="array" ref="M138">IF(INDEX(SalesData[Units_Sold],ROW()-1) &lt; 5, "⚠️ Reorder", "OK")</f>
        <v>OK</v>
      </c>
      <c r="N138" s="40" t="str">
        <f t="shared" si="4"/>
        <v>Profit</v>
      </c>
      <c r="O138" s="47" t="str">
        <f>SalesData[[#This Row],[Ad_Type]]</f>
        <v>None</v>
      </c>
      <c r="P138" s="47" t="str">
        <f>SalesData[[#This Row],[Brand]]</f>
        <v>Wildcraft</v>
      </c>
      <c r="Q138" s="47" t="str">
        <f>SalesData[[#This Row],[Product_Name]]</f>
        <v>Gel Pen Set</v>
      </c>
      <c r="R138" s="47"/>
      <c r="S138" s="47"/>
      <c r="T138" s="47"/>
      <c r="U138" s="47"/>
      <c r="V138" s="47"/>
    </row>
    <row r="139" spans="1:22">
      <c r="A139" s="45" t="str">
        <f>SalesData[[#This Row],[Order_ID]]</f>
        <v>ORD-1137</v>
      </c>
      <c r="B139" s="41" cm="1">
        <f t="array" ref="B139">INDEX(SalesData[Order_Date], ROW()-1)</f>
        <v>45615</v>
      </c>
      <c r="C139" s="40" t="str" cm="1">
        <f t="array" ref="C139">INDEX(SalesData[Category], ROW()-1)</f>
        <v>Sports</v>
      </c>
      <c r="D139" s="40" t="str" cm="1">
        <f t="array" ref="D139">INDEX(SalesData[Product_Name],ROW()-1)</f>
        <v>Dumbbell Set</v>
      </c>
      <c r="E139" s="40" t="str" cm="1">
        <f t="array" ref="E139">INDEX(SalesData[Customer_State],ROW()-1)</f>
        <v>Madhya Pradesh</v>
      </c>
      <c r="F139" s="40" t="str" cm="1">
        <f t="array" ref="F139">INDEX(SalesData[Order_Status], ROW()-1)</f>
        <v>Delivered</v>
      </c>
      <c r="G139" s="40" t="str" cm="1">
        <f t="array" ref="G139">INDEX(SalesData[Fulfillment_Type], ROW()-1)</f>
        <v>FBA</v>
      </c>
      <c r="H139" s="40" cm="1">
        <f t="array" ref="H139">INDEX(SalesData[Units_Sold], ROW()-1)</f>
        <v>5</v>
      </c>
      <c r="I139" s="44" cm="1">
        <f t="array" ref="I139">INDEX(SalesData[Gross_Sales_INR], ROW()-1)</f>
        <v>13285</v>
      </c>
      <c r="J139" s="43" cm="1">
        <f t="array" ref="J139">INDEX(SalesData[Net_Profit_INR], ROW()-1)</f>
        <v>6049.88</v>
      </c>
      <c r="K139" s="42" cm="1">
        <f t="array" ref="K139">INDEX(SalesData[Profit_Margin_%], ROW()-1)</f>
        <v>45.5</v>
      </c>
      <c r="L139" s="46" t="str" cm="1">
        <f t="array" ref="L139">IF(INDEX(SalesData[Customer_Rating], ROW()-1)="", "—",REPT("★", INDEX(SalesData[Customer_Rating], ROW()-1)) &amp; REPT("☆", 5-INDEX(SalesData[Customer_Rating], ROW()-1)))</f>
        <v>★★★☆☆</v>
      </c>
      <c r="M139" s="40" t="str" cm="1">
        <f t="array" ref="M139">IF(INDEX(SalesData[Units_Sold],ROW()-1) &lt; 5, "⚠️ Reorder", "OK")</f>
        <v>OK</v>
      </c>
      <c r="N139" s="40" t="str">
        <f t="shared" si="4"/>
        <v>Profit</v>
      </c>
      <c r="O139" s="47" t="str">
        <f>SalesData[[#This Row],[Ad_Type]]</f>
        <v>Sponsored Display</v>
      </c>
      <c r="P139" s="47" t="str">
        <f>SalesData[[#This Row],[Brand]]</f>
        <v>Puma</v>
      </c>
      <c r="Q139" s="47" t="str">
        <f>SalesData[[#This Row],[Product_Name]]</f>
        <v>Dumbbell Set</v>
      </c>
      <c r="R139" s="47"/>
      <c r="S139" s="47"/>
      <c r="T139" s="47"/>
      <c r="U139" s="47"/>
      <c r="V139" s="47"/>
    </row>
    <row r="140" spans="1:22">
      <c r="A140" s="45" t="str">
        <f>SalesData[[#This Row],[Order_ID]]</f>
        <v>ORD-1138</v>
      </c>
      <c r="B140" s="41" cm="1">
        <f t="array" ref="B140">INDEX(SalesData[Order_Date], ROW()-1)</f>
        <v>45424</v>
      </c>
      <c r="C140" s="40" t="str" cm="1">
        <f t="array" ref="C140">INDEX(SalesData[Category], ROW()-1)</f>
        <v>Sports</v>
      </c>
      <c r="D140" s="40" t="str" cm="1">
        <f t="array" ref="D140">INDEX(SalesData[Product_Name],ROW()-1)</f>
        <v>Cycling Gloves</v>
      </c>
      <c r="E140" s="40" t="str" cm="1">
        <f t="array" ref="E140">INDEX(SalesData[Customer_State],ROW()-1)</f>
        <v>Bihar</v>
      </c>
      <c r="F140" s="40" t="str" cm="1">
        <f t="array" ref="F140">INDEX(SalesData[Order_Status], ROW()-1)</f>
        <v>In Transit</v>
      </c>
      <c r="G140" s="40" t="str" cm="1">
        <f t="array" ref="G140">INDEX(SalesData[Fulfillment_Type], ROW()-1)</f>
        <v>FBM</v>
      </c>
      <c r="H140" s="40" cm="1">
        <f t="array" ref="H140">INDEX(SalesData[Units_Sold], ROW()-1)</f>
        <v>4</v>
      </c>
      <c r="I140" s="44" cm="1">
        <f t="array" ref="I140">INDEX(SalesData[Gross_Sales_INR], ROW()-1)</f>
        <v>9808</v>
      </c>
      <c r="J140" s="43" cm="1">
        <f t="array" ref="J140">INDEX(SalesData[Net_Profit_INR], ROW()-1)</f>
        <v>2817.42</v>
      </c>
      <c r="K140" s="42" cm="1">
        <f t="array" ref="K140">INDEX(SalesData[Profit_Margin_%], ROW()-1)</f>
        <v>28.7</v>
      </c>
      <c r="L140" s="46" t="str" cm="1">
        <f t="array" ref="L140">IF(INDEX(SalesData[Customer_Rating], ROW()-1)="", "—",REPT("★", INDEX(SalesData[Customer_Rating], ROW()-1)) &amp; REPT("☆", 5-INDEX(SalesData[Customer_Rating], ROW()-1)))</f>
        <v>—</v>
      </c>
      <c r="M140" s="40" t="str" cm="1">
        <f t="array" ref="M140">IF(INDEX(SalesData[Units_Sold],ROW()-1) &lt; 5, "⚠️ Reorder", "OK")</f>
        <v>⚠️ Reorder</v>
      </c>
      <c r="N140" s="40" t="str">
        <f t="shared" si="4"/>
        <v>Profit</v>
      </c>
      <c r="O140" s="47" t="str">
        <f>SalesData[[#This Row],[Ad_Type]]</f>
        <v>Sponsored Brands</v>
      </c>
      <c r="P140" s="47" t="str">
        <f>SalesData[[#This Row],[Brand]]</f>
        <v>Himalaya</v>
      </c>
      <c r="Q140" s="47" t="str">
        <f>SalesData[[#This Row],[Product_Name]]</f>
        <v>Cycling Gloves</v>
      </c>
      <c r="R140" s="47"/>
      <c r="S140" s="47"/>
      <c r="T140" s="47"/>
      <c r="U140" s="47"/>
      <c r="V140" s="47"/>
    </row>
    <row r="141" spans="1:22">
      <c r="A141" s="45" t="str">
        <f>SalesData[[#This Row],[Order_ID]]</f>
        <v>ORD-1139</v>
      </c>
      <c r="B141" s="41" cm="1">
        <f t="array" ref="B141">INDEX(SalesData[Order_Date], ROW()-1)</f>
        <v>45272</v>
      </c>
      <c r="C141" s="40" t="str" cm="1">
        <f t="array" ref="C141">INDEX(SalesData[Category], ROW()-1)</f>
        <v>Sports</v>
      </c>
      <c r="D141" s="40" t="str" cm="1">
        <f t="array" ref="D141">INDEX(SalesData[Product_Name],ROW()-1)</f>
        <v>Running Belt</v>
      </c>
      <c r="E141" s="40" t="str" cm="1">
        <f t="array" ref="E141">INDEX(SalesData[Customer_State],ROW()-1)</f>
        <v>Madhya Pradesh</v>
      </c>
      <c r="F141" s="40" t="str" cm="1">
        <f t="array" ref="F141">INDEX(SalesData[Order_Status], ROW()-1)</f>
        <v>Delivered</v>
      </c>
      <c r="G141" s="40" t="str" cm="1">
        <f t="array" ref="G141">INDEX(SalesData[Fulfillment_Type], ROW()-1)</f>
        <v>FBA</v>
      </c>
      <c r="H141" s="40" cm="1">
        <f t="array" ref="H141">INDEX(SalesData[Units_Sold], ROW()-1)</f>
        <v>4</v>
      </c>
      <c r="I141" s="44" cm="1">
        <f t="array" ref="I141">INDEX(SalesData[Gross_Sales_INR], ROW()-1)</f>
        <v>1696</v>
      </c>
      <c r="J141" s="43" cm="1">
        <f t="array" ref="J141">INDEX(SalesData[Net_Profit_INR], ROW()-1)</f>
        <v>454.94</v>
      </c>
      <c r="K141" s="42" cm="1">
        <f t="array" ref="K141">INDEX(SalesData[Profit_Margin_%], ROW()-1)</f>
        <v>26.8</v>
      </c>
      <c r="L141" s="46" t="str" cm="1">
        <f t="array" ref="L141">IF(INDEX(SalesData[Customer_Rating], ROW()-1)="", "—",REPT("★", INDEX(SalesData[Customer_Rating], ROW()-1)) &amp; REPT("☆", 5-INDEX(SalesData[Customer_Rating], ROW()-1)))</f>
        <v>★★★★☆</v>
      </c>
      <c r="M141" s="40" t="str" cm="1">
        <f t="array" ref="M141">IF(INDEX(SalesData[Units_Sold],ROW()-1) &lt; 5, "⚠️ Reorder", "OK")</f>
        <v>⚠️ Reorder</v>
      </c>
      <c r="N141" s="40" t="str">
        <f t="shared" si="4"/>
        <v>Profit</v>
      </c>
      <c r="O141" s="47" t="str">
        <f>SalesData[[#This Row],[Ad_Type]]</f>
        <v>None</v>
      </c>
      <c r="P141" s="47" t="str">
        <f>SalesData[[#This Row],[Brand]]</f>
        <v>Noise</v>
      </c>
      <c r="Q141" s="47" t="str">
        <f>SalesData[[#This Row],[Product_Name]]</f>
        <v>Running Belt</v>
      </c>
      <c r="R141" s="47"/>
      <c r="S141" s="47"/>
      <c r="T141" s="47"/>
      <c r="U141" s="47"/>
      <c r="V141" s="47"/>
    </row>
    <row r="142" spans="1:22">
      <c r="A142" s="45" t="str">
        <f>SalesData[[#This Row],[Order_ID]]</f>
        <v>ORD-1140</v>
      </c>
      <c r="B142" s="41" cm="1">
        <f t="array" ref="B142">INDEX(SalesData[Order_Date], ROW()-1)</f>
        <v>45596</v>
      </c>
      <c r="C142" s="40" t="str" cm="1">
        <f t="array" ref="C142">INDEX(SalesData[Category], ROW()-1)</f>
        <v>Beauty</v>
      </c>
      <c r="D142" s="40" t="str" cm="1">
        <f t="array" ref="D142">INDEX(SalesData[Product_Name],ROW()-1)</f>
        <v>Lip Balm</v>
      </c>
      <c r="E142" s="40" t="str" cm="1">
        <f t="array" ref="E142">INDEX(SalesData[Customer_State],ROW()-1)</f>
        <v>Punjab</v>
      </c>
      <c r="F142" s="40" t="str" cm="1">
        <f t="array" ref="F142">INDEX(SalesData[Order_Status], ROW()-1)</f>
        <v>Delivered</v>
      </c>
      <c r="G142" s="40" t="str" cm="1">
        <f t="array" ref="G142">INDEX(SalesData[Fulfillment_Type], ROW()-1)</f>
        <v>FBM</v>
      </c>
      <c r="H142" s="40" cm="1">
        <f t="array" ref="H142">INDEX(SalesData[Units_Sold], ROW()-1)</f>
        <v>2</v>
      </c>
      <c r="I142" s="44" cm="1">
        <f t="array" ref="I142">INDEX(SalesData[Gross_Sales_INR], ROW()-1)</f>
        <v>2260</v>
      </c>
      <c r="J142" s="43" cm="1">
        <f t="array" ref="J142">INDEX(SalesData[Net_Profit_INR], ROW()-1)</f>
        <v>419.43</v>
      </c>
      <c r="K142" s="42" cm="1">
        <f t="array" ref="K142">INDEX(SalesData[Profit_Margin_%], ROW()-1)</f>
        <v>18.600000000000001</v>
      </c>
      <c r="L142" s="46" t="str" cm="1">
        <f t="array" ref="L142">IF(INDEX(SalesData[Customer_Rating], ROW()-1)="", "—",REPT("★", INDEX(SalesData[Customer_Rating], ROW()-1)) &amp; REPT("☆", 5-INDEX(SalesData[Customer_Rating], ROW()-1)))</f>
        <v>★★★★☆</v>
      </c>
      <c r="M142" s="40" t="str" cm="1">
        <f t="array" ref="M142">IF(INDEX(SalesData[Units_Sold],ROW()-1) &lt; 5, "⚠️ Reorder", "OK")</f>
        <v>⚠️ Reorder</v>
      </c>
      <c r="N142" s="40" t="str">
        <f t="shared" si="4"/>
        <v>Profit</v>
      </c>
      <c r="O142" s="47" t="str">
        <f>SalesData[[#This Row],[Ad_Type]]</f>
        <v>None</v>
      </c>
      <c r="P142" s="47" t="str">
        <f>SalesData[[#This Row],[Brand]]</f>
        <v>Prestige</v>
      </c>
      <c r="Q142" s="47" t="str">
        <f>SalesData[[#This Row],[Product_Name]]</f>
        <v>Lip Balm</v>
      </c>
      <c r="R142" s="47"/>
      <c r="S142" s="47"/>
      <c r="T142" s="47"/>
      <c r="U142" s="47"/>
      <c r="V142" s="47"/>
    </row>
    <row r="143" spans="1:22">
      <c r="A143" s="45" t="str">
        <f>SalesData[[#This Row],[Order_ID]]</f>
        <v>ORD-1141</v>
      </c>
      <c r="B143" s="41" cm="1">
        <f t="array" ref="B143">INDEX(SalesData[Order_Date], ROW()-1)</f>
        <v>45187</v>
      </c>
      <c r="C143" s="40" t="str" cm="1">
        <f t="array" ref="C143">INDEX(SalesData[Category], ROW()-1)</f>
        <v>Office Supplies</v>
      </c>
      <c r="D143" s="40" t="str" cm="1">
        <f t="array" ref="D143">INDEX(SalesData[Product_Name],ROW()-1)</f>
        <v>File Folder</v>
      </c>
      <c r="E143" s="40" t="str" cm="1">
        <f t="array" ref="E143">INDEX(SalesData[Customer_State],ROW()-1)</f>
        <v>Kerala</v>
      </c>
      <c r="F143" s="40" t="str" cm="1">
        <f t="array" ref="F143">INDEX(SalesData[Order_Status], ROW()-1)</f>
        <v>Delivered</v>
      </c>
      <c r="G143" s="40" t="str" cm="1">
        <f t="array" ref="G143">INDEX(SalesData[Fulfillment_Type], ROW()-1)</f>
        <v>FBA</v>
      </c>
      <c r="H143" s="40" cm="1">
        <f t="array" ref="H143">INDEX(SalesData[Units_Sold], ROW()-1)</f>
        <v>10</v>
      </c>
      <c r="I143" s="44" cm="1">
        <f t="array" ref="I143">INDEX(SalesData[Gross_Sales_INR], ROW()-1)</f>
        <v>38390</v>
      </c>
      <c r="J143" s="43" cm="1">
        <f t="array" ref="J143">INDEX(SalesData[Net_Profit_INR], ROW()-1)</f>
        <v>16355.93</v>
      </c>
      <c r="K143" s="42" cm="1">
        <f t="array" ref="K143">INDEX(SalesData[Profit_Margin_%], ROW()-1)</f>
        <v>42.6</v>
      </c>
      <c r="L143" s="46" t="str" cm="1">
        <f t="array" ref="L143">IF(INDEX(SalesData[Customer_Rating], ROW()-1)="", "—",REPT("★", INDEX(SalesData[Customer_Rating], ROW()-1)) &amp; REPT("☆", 5-INDEX(SalesData[Customer_Rating], ROW()-1)))</f>
        <v>★★★★★</v>
      </c>
      <c r="M143" s="40" t="str" cm="1">
        <f t="array" ref="M143">IF(INDEX(SalesData[Units_Sold],ROW()-1) &lt; 5, "⚠️ Reorder", "OK")</f>
        <v>OK</v>
      </c>
      <c r="N143" s="40" t="str">
        <f t="shared" si="4"/>
        <v>Loss</v>
      </c>
      <c r="O143" s="47" t="str">
        <f>SalesData[[#This Row],[Ad_Type]]</f>
        <v>None</v>
      </c>
      <c r="P143" s="47" t="str">
        <f>SalesData[[#This Row],[Brand]]</f>
        <v>Noise</v>
      </c>
      <c r="Q143" s="47" t="str">
        <f>SalesData[[#This Row],[Product_Name]]</f>
        <v>File Folder</v>
      </c>
      <c r="R143" s="47"/>
      <c r="S143" s="47"/>
      <c r="T143" s="47"/>
      <c r="U143" s="47"/>
      <c r="V143" s="47"/>
    </row>
    <row r="144" spans="1:22">
      <c r="A144" s="45" t="str">
        <f>SalesData[[#This Row],[Order_ID]]</f>
        <v>ORD-1142</v>
      </c>
      <c r="B144" s="41" cm="1">
        <f t="array" ref="B144">INDEX(SalesData[Order_Date], ROW()-1)</f>
        <v>45523</v>
      </c>
      <c r="C144" s="40" t="str" cm="1">
        <f t="array" ref="C144">INDEX(SalesData[Category], ROW()-1)</f>
        <v>Sports</v>
      </c>
      <c r="D144" s="40" t="str" cm="1">
        <f t="array" ref="D144">INDEX(SalesData[Product_Name],ROW()-1)</f>
        <v>Protein Shaker</v>
      </c>
      <c r="E144" s="40" t="str" cm="1">
        <f t="array" ref="E144">INDEX(SalesData[Customer_State],ROW()-1)</f>
        <v>Karnataka</v>
      </c>
      <c r="F144" s="40" t="str" cm="1">
        <f t="array" ref="F144">INDEX(SalesData[Order_Status], ROW()-1)</f>
        <v>In Transit</v>
      </c>
      <c r="G144" s="40" t="str" cm="1">
        <f t="array" ref="G144">INDEX(SalesData[Fulfillment_Type], ROW()-1)</f>
        <v>FBA</v>
      </c>
      <c r="H144" s="40" cm="1">
        <f t="array" ref="H144">INDEX(SalesData[Units_Sold], ROW()-1)</f>
        <v>7</v>
      </c>
      <c r="I144" s="44" cm="1">
        <f t="array" ref="I144">INDEX(SalesData[Gross_Sales_INR], ROW()-1)</f>
        <v>8610</v>
      </c>
      <c r="J144" s="43" cm="1">
        <f t="array" ref="J144">INDEX(SalesData[Net_Profit_INR], ROW()-1)</f>
        <v>2652.14</v>
      </c>
      <c r="K144" s="42" cm="1">
        <f t="array" ref="K144">INDEX(SalesData[Profit_Margin_%], ROW()-1)</f>
        <v>30.8</v>
      </c>
      <c r="L144" s="46" t="str" cm="1">
        <f t="array" ref="L144">IF(INDEX(SalesData[Customer_Rating], ROW()-1)="", "—",REPT("★", INDEX(SalesData[Customer_Rating], ROW()-1)) &amp; REPT("☆", 5-INDEX(SalesData[Customer_Rating], ROW()-1)))</f>
        <v>—</v>
      </c>
      <c r="M144" s="40" t="str" cm="1">
        <f t="array" ref="M144">IF(INDEX(SalesData[Units_Sold],ROW()-1) &lt; 5, "⚠️ Reorder", "OK")</f>
        <v>OK</v>
      </c>
      <c r="N144" s="40" t="str">
        <f t="shared" si="4"/>
        <v>Profit</v>
      </c>
      <c r="O144" s="47" t="str">
        <f>SalesData[[#This Row],[Ad_Type]]</f>
        <v>Sponsored Products</v>
      </c>
      <c r="P144" s="47" t="str">
        <f>SalesData[[#This Row],[Brand]]</f>
        <v>Cello</v>
      </c>
      <c r="Q144" s="47" t="str">
        <f>SalesData[[#This Row],[Product_Name]]</f>
        <v>Protein Shaker</v>
      </c>
      <c r="R144" s="47"/>
      <c r="S144" s="47"/>
      <c r="T144" s="47"/>
      <c r="U144" s="47"/>
      <c r="V144" s="47"/>
    </row>
    <row r="145" spans="1:22">
      <c r="A145" s="45" t="str">
        <f>SalesData[[#This Row],[Order_ID]]</f>
        <v>ORD-1143</v>
      </c>
      <c r="B145" s="41" cm="1">
        <f t="array" ref="B145">INDEX(SalesData[Order_Date], ROW()-1)</f>
        <v>44942</v>
      </c>
      <c r="C145" s="40" t="str" cm="1">
        <f t="array" ref="C145">INDEX(SalesData[Category], ROW()-1)</f>
        <v>Office Supplies</v>
      </c>
      <c r="D145" s="40" t="str" cm="1">
        <f t="array" ref="D145">INDEX(SalesData[Product_Name],ROW()-1)</f>
        <v>Desk Organizer</v>
      </c>
      <c r="E145" s="40" t="str" cm="1">
        <f t="array" ref="E145">INDEX(SalesData[Customer_State],ROW()-1)</f>
        <v>Uttar Pradesh</v>
      </c>
      <c r="F145" s="40" t="str" cm="1">
        <f t="array" ref="F145">INDEX(SalesData[Order_Status], ROW()-1)</f>
        <v>Cancelled</v>
      </c>
      <c r="G145" s="40" t="str" cm="1">
        <f t="array" ref="G145">INDEX(SalesData[Fulfillment_Type], ROW()-1)</f>
        <v>FBA</v>
      </c>
      <c r="H145" s="40" cm="1">
        <f t="array" ref="H145">INDEX(SalesData[Units_Sold], ROW()-1)</f>
        <v>7</v>
      </c>
      <c r="I145" s="44" cm="1">
        <f t="array" ref="I145">INDEX(SalesData[Gross_Sales_INR], ROW()-1)</f>
        <v>20818</v>
      </c>
      <c r="J145" s="43" cm="1">
        <f t="array" ref="J145">INDEX(SalesData[Net_Profit_INR], ROW()-1)</f>
        <v>6039.32</v>
      </c>
      <c r="K145" s="42" cm="1">
        <f t="array" ref="K145">INDEX(SalesData[Profit_Margin_%], ROW()-1)</f>
        <v>29</v>
      </c>
      <c r="L145" s="46" t="str" cm="1">
        <f t="array" ref="L145">IF(INDEX(SalesData[Customer_Rating], ROW()-1)="", "—",REPT("★", INDEX(SalesData[Customer_Rating], ROW()-1)) &amp; REPT("☆", 5-INDEX(SalesData[Customer_Rating], ROW()-1)))</f>
        <v>—</v>
      </c>
      <c r="M145" s="40" t="str" cm="1">
        <f t="array" ref="M145">IF(INDEX(SalesData[Units_Sold],ROW()-1) &lt; 5, "⚠️ Reorder", "OK")</f>
        <v>OK</v>
      </c>
      <c r="N145" s="40" t="str">
        <f t="shared" si="4"/>
        <v>Profit</v>
      </c>
      <c r="O145" s="47" t="str">
        <f>SalesData[[#This Row],[Ad_Type]]</f>
        <v>None</v>
      </c>
      <c r="P145" s="47" t="str">
        <f>SalesData[[#This Row],[Brand]]</f>
        <v>Puma</v>
      </c>
      <c r="Q145" s="47" t="str">
        <f>SalesData[[#This Row],[Product_Name]]</f>
        <v>Desk Organizer</v>
      </c>
      <c r="R145" s="47"/>
      <c r="S145" s="47"/>
      <c r="T145" s="47"/>
      <c r="U145" s="47"/>
      <c r="V145" s="47"/>
    </row>
    <row r="146" spans="1:22">
      <c r="A146" s="45" t="str">
        <f>SalesData[[#This Row],[Order_ID]]</f>
        <v>ORD-1144</v>
      </c>
      <c r="B146" s="41" cm="1">
        <f t="array" ref="B146">INDEX(SalesData[Order_Date], ROW()-1)</f>
        <v>45182</v>
      </c>
      <c r="C146" s="40" t="str" cm="1">
        <f t="array" ref="C146">INDEX(SalesData[Category], ROW()-1)</f>
        <v>Sports</v>
      </c>
      <c r="D146" s="40" t="str" cm="1">
        <f t="array" ref="D146">INDEX(SalesData[Product_Name],ROW()-1)</f>
        <v>Jump Rope</v>
      </c>
      <c r="E146" s="40" t="str" cm="1">
        <f t="array" ref="E146">INDEX(SalesData[Customer_State],ROW()-1)</f>
        <v>Bihar</v>
      </c>
      <c r="F146" s="40" t="str" cm="1">
        <f t="array" ref="F146">INDEX(SalesData[Order_Status], ROW()-1)</f>
        <v>Delivered</v>
      </c>
      <c r="G146" s="40" t="str" cm="1">
        <f t="array" ref="G146">INDEX(SalesData[Fulfillment_Type], ROW()-1)</f>
        <v>FBA</v>
      </c>
      <c r="H146" s="40" cm="1">
        <f t="array" ref="H146">INDEX(SalesData[Units_Sold], ROW()-1)</f>
        <v>9</v>
      </c>
      <c r="I146" s="44" cm="1">
        <f t="array" ref="I146">INDEX(SalesData[Gross_Sales_INR], ROW()-1)</f>
        <v>24003</v>
      </c>
      <c r="J146" s="43" cm="1">
        <f t="array" ref="J146">INDEX(SalesData[Net_Profit_INR], ROW()-1)</f>
        <v>11902.64</v>
      </c>
      <c r="K146" s="42" cm="1">
        <f t="array" ref="K146">INDEX(SalesData[Profit_Margin_%], ROW()-1)</f>
        <v>49.6</v>
      </c>
      <c r="L146" s="46" t="str" cm="1">
        <f t="array" ref="L146">IF(INDEX(SalesData[Customer_Rating], ROW()-1)="", "—",REPT("★", INDEX(SalesData[Customer_Rating], ROW()-1)) &amp; REPT("☆", 5-INDEX(SalesData[Customer_Rating], ROW()-1)))</f>
        <v>★★★★☆</v>
      </c>
      <c r="M146" s="40" t="str" cm="1">
        <f t="array" ref="M146">IF(INDEX(SalesData[Units_Sold],ROW()-1) &lt; 5, "⚠️ Reorder", "OK")</f>
        <v>OK</v>
      </c>
      <c r="N146" s="40" t="str">
        <f t="shared" si="4"/>
        <v>Profit</v>
      </c>
      <c r="O146" s="47" t="str">
        <f>SalesData[[#This Row],[Ad_Type]]</f>
        <v>None</v>
      </c>
      <c r="P146" s="47" t="str">
        <f>SalesData[[#This Row],[Brand]]</f>
        <v>Fastrack</v>
      </c>
      <c r="Q146" s="47" t="str">
        <f>SalesData[[#This Row],[Product_Name]]</f>
        <v>Jump Rope</v>
      </c>
      <c r="R146" s="47"/>
      <c r="S146" s="47"/>
      <c r="T146" s="47"/>
      <c r="U146" s="47"/>
      <c r="V146" s="47"/>
    </row>
    <row r="147" spans="1:22">
      <c r="A147" s="45" t="str">
        <f>SalesData[[#This Row],[Order_ID]]</f>
        <v>ORD-1145</v>
      </c>
      <c r="B147" s="41" cm="1">
        <f t="array" ref="B147">INDEX(SalesData[Order_Date], ROW()-1)</f>
        <v>45146</v>
      </c>
      <c r="C147" s="40" t="str" cm="1">
        <f t="array" ref="C147">INDEX(SalesData[Category], ROW()-1)</f>
        <v>Sports</v>
      </c>
      <c r="D147" s="40" t="str" cm="1">
        <f t="array" ref="D147">INDEX(SalesData[Product_Name],ROW()-1)</f>
        <v>Resistance Band</v>
      </c>
      <c r="E147" s="40" t="str" cm="1">
        <f t="array" ref="E147">INDEX(SalesData[Customer_State],ROW()-1)</f>
        <v>Gujarat</v>
      </c>
      <c r="F147" s="40" t="str" cm="1">
        <f t="array" ref="F147">INDEX(SalesData[Order_Status], ROW()-1)</f>
        <v>In Transit</v>
      </c>
      <c r="G147" s="40" t="str" cm="1">
        <f t="array" ref="G147">INDEX(SalesData[Fulfillment_Type], ROW()-1)</f>
        <v>FBM</v>
      </c>
      <c r="H147" s="40" cm="1">
        <f t="array" ref="H147">INDEX(SalesData[Units_Sold], ROW()-1)</f>
        <v>4</v>
      </c>
      <c r="I147" s="44" cm="1">
        <f t="array" ref="I147">INDEX(SalesData[Gross_Sales_INR], ROW()-1)</f>
        <v>1688</v>
      </c>
      <c r="J147" s="43" cm="1">
        <f t="array" ref="J147">INDEX(SalesData[Net_Profit_INR], ROW()-1)</f>
        <v>221.79</v>
      </c>
      <c r="K147" s="42" cm="1">
        <f t="array" ref="K147">INDEX(SalesData[Profit_Margin_%], ROW()-1)</f>
        <v>13.1</v>
      </c>
      <c r="L147" s="46" t="str" cm="1">
        <f t="array" ref="L147">IF(INDEX(SalesData[Customer_Rating], ROW()-1)="", "—",REPT("★", INDEX(SalesData[Customer_Rating], ROW()-1)) &amp; REPT("☆", 5-INDEX(SalesData[Customer_Rating], ROW()-1)))</f>
        <v>—</v>
      </c>
      <c r="M147" s="40" t="str" cm="1">
        <f t="array" ref="M147">IF(INDEX(SalesData[Units_Sold],ROW()-1) &lt; 5, "⚠️ Reorder", "OK")</f>
        <v>⚠️ Reorder</v>
      </c>
      <c r="N147" s="40" t="str">
        <f t="shared" si="4"/>
        <v>Profit</v>
      </c>
      <c r="O147" s="47" t="str">
        <f>SalesData[[#This Row],[Ad_Type]]</f>
        <v>Sponsored Display</v>
      </c>
      <c r="P147" s="47" t="str">
        <f>SalesData[[#This Row],[Brand]]</f>
        <v>BoAt</v>
      </c>
      <c r="Q147" s="47" t="str">
        <f>SalesData[[#This Row],[Product_Name]]</f>
        <v>Resistance Band</v>
      </c>
      <c r="R147" s="47"/>
      <c r="S147" s="47"/>
      <c r="T147" s="47"/>
      <c r="U147" s="47"/>
      <c r="V147" s="47"/>
    </row>
    <row r="148" spans="1:22">
      <c r="A148" s="45" t="str">
        <f>SalesData[[#This Row],[Order_ID]]</f>
        <v>ORD-1146</v>
      </c>
      <c r="B148" s="41" cm="1">
        <f t="array" ref="B148">INDEX(SalesData[Order_Date], ROW()-1)</f>
        <v>45502</v>
      </c>
      <c r="C148" s="40" t="str" cm="1">
        <f t="array" ref="C148">INDEX(SalesData[Category], ROW()-1)</f>
        <v>Sports</v>
      </c>
      <c r="D148" s="40" t="str" cm="1">
        <f t="array" ref="D148">INDEX(SalesData[Product_Name],ROW()-1)</f>
        <v>Protein Shaker</v>
      </c>
      <c r="E148" s="40" t="str" cm="1">
        <f t="array" ref="E148">INDEX(SalesData[Customer_State],ROW()-1)</f>
        <v>Karnataka</v>
      </c>
      <c r="F148" s="40" t="str" cm="1">
        <f t="array" ref="F148">INDEX(SalesData[Order_Status], ROW()-1)</f>
        <v>Cancelled</v>
      </c>
      <c r="G148" s="40" t="str" cm="1">
        <f t="array" ref="G148">INDEX(SalesData[Fulfillment_Type], ROW()-1)</f>
        <v>FBA</v>
      </c>
      <c r="H148" s="40" cm="1">
        <f t="array" ref="H148">INDEX(SalesData[Units_Sold], ROW()-1)</f>
        <v>7</v>
      </c>
      <c r="I148" s="44" cm="1">
        <f t="array" ref="I148">INDEX(SalesData[Gross_Sales_INR], ROW()-1)</f>
        <v>26873</v>
      </c>
      <c r="J148" s="43" cm="1">
        <f t="array" ref="J148">INDEX(SalesData[Net_Profit_INR], ROW()-1)</f>
        <v>7334.3</v>
      </c>
      <c r="K148" s="42" cm="1">
        <f t="array" ref="K148">INDEX(SalesData[Profit_Margin_%], ROW()-1)</f>
        <v>27.3</v>
      </c>
      <c r="L148" s="46" t="str" cm="1">
        <f t="array" ref="L148">IF(INDEX(SalesData[Customer_Rating], ROW()-1)="", "—",REPT("★", INDEX(SalesData[Customer_Rating], ROW()-1)) &amp; REPT("☆", 5-INDEX(SalesData[Customer_Rating], ROW()-1)))</f>
        <v>—</v>
      </c>
      <c r="M148" s="40" t="str" cm="1">
        <f t="array" ref="M148">IF(INDEX(SalesData[Units_Sold],ROW()-1) &lt; 5, "⚠️ Reorder", "OK")</f>
        <v>OK</v>
      </c>
      <c r="N148" s="40" t="str">
        <f t="shared" si="4"/>
        <v>Profit</v>
      </c>
      <c r="O148" s="47" t="str">
        <f>SalesData[[#This Row],[Ad_Type]]</f>
        <v>Sponsored Products</v>
      </c>
      <c r="P148" s="47" t="str">
        <f>SalesData[[#This Row],[Brand]]</f>
        <v>Lakme</v>
      </c>
      <c r="Q148" s="47" t="str">
        <f>SalesData[[#This Row],[Product_Name]]</f>
        <v>Protein Shaker</v>
      </c>
      <c r="R148" s="47"/>
      <c r="S148" s="47"/>
      <c r="T148" s="47"/>
      <c r="U148" s="47"/>
      <c r="V148" s="47"/>
    </row>
    <row r="149" spans="1:22">
      <c r="A149" s="45" t="str">
        <f>SalesData[[#This Row],[Order_ID]]</f>
        <v>ORD-1147</v>
      </c>
      <c r="B149" s="41" cm="1">
        <f t="array" ref="B149">INDEX(SalesData[Order_Date], ROW()-1)</f>
        <v>45634</v>
      </c>
      <c r="C149" s="40" t="str" cm="1">
        <f t="array" ref="C149">INDEX(SalesData[Category], ROW()-1)</f>
        <v>Electronics</v>
      </c>
      <c r="D149" s="40" t="str" cm="1">
        <f t="array" ref="D149">INDEX(SalesData[Product_Name],ROW()-1)</f>
        <v>Phone Case</v>
      </c>
      <c r="E149" s="40" t="str" cm="1">
        <f t="array" ref="E149">INDEX(SalesData[Customer_State],ROW()-1)</f>
        <v>Uttar Pradesh</v>
      </c>
      <c r="F149" s="40" t="str" cm="1">
        <f t="array" ref="F149">INDEX(SalesData[Order_Status], ROW()-1)</f>
        <v>Delivered</v>
      </c>
      <c r="G149" s="40" t="str" cm="1">
        <f t="array" ref="G149">INDEX(SalesData[Fulfillment_Type], ROW()-1)</f>
        <v>FBA</v>
      </c>
      <c r="H149" s="40" cm="1">
        <f t="array" ref="H149">INDEX(SalesData[Units_Sold], ROW()-1)</f>
        <v>2</v>
      </c>
      <c r="I149" s="44" cm="1">
        <f t="array" ref="I149">INDEX(SalesData[Gross_Sales_INR], ROW()-1)</f>
        <v>2992</v>
      </c>
      <c r="J149" s="43" cm="1">
        <f t="array" ref="J149">INDEX(SalesData[Net_Profit_INR], ROW()-1)</f>
        <v>934.69</v>
      </c>
      <c r="K149" s="42" cm="1">
        <f t="array" ref="K149">INDEX(SalesData[Profit_Margin_%], ROW()-1)</f>
        <v>31.2</v>
      </c>
      <c r="L149" s="46" t="str" cm="1">
        <f t="array" ref="L149">IF(INDEX(SalesData[Customer_Rating], ROW()-1)="", "—",REPT("★", INDEX(SalesData[Customer_Rating], ROW()-1)) &amp; REPT("☆", 5-INDEX(SalesData[Customer_Rating], ROW()-1)))</f>
        <v>★★★★★</v>
      </c>
      <c r="M149" s="40" t="str" cm="1">
        <f t="array" ref="M149">IF(INDEX(SalesData[Units_Sold],ROW()-1) &lt; 5, "⚠️ Reorder", "OK")</f>
        <v>⚠️ Reorder</v>
      </c>
      <c r="N149" s="40" t="str">
        <f t="shared" si="4"/>
        <v>Profit</v>
      </c>
      <c r="O149" s="47" t="str">
        <f>SalesData[[#This Row],[Ad_Type]]</f>
        <v>Sponsored Display</v>
      </c>
      <c r="P149" s="47" t="str">
        <f>SalesData[[#This Row],[Brand]]</f>
        <v>Fastrack</v>
      </c>
      <c r="Q149" s="47" t="str">
        <f>SalesData[[#This Row],[Product_Name]]</f>
        <v>Phone Case</v>
      </c>
      <c r="R149" s="47"/>
      <c r="S149" s="47"/>
      <c r="T149" s="47"/>
      <c r="U149" s="47"/>
      <c r="V149" s="47"/>
    </row>
    <row r="150" spans="1:22">
      <c r="A150" s="45" t="str">
        <f>SalesData[[#This Row],[Order_ID]]</f>
        <v>ORD-1148</v>
      </c>
      <c r="B150" s="41" cm="1">
        <f t="array" ref="B150">INDEX(SalesData[Order_Date], ROW()-1)</f>
        <v>45138</v>
      </c>
      <c r="C150" s="40" t="str" cm="1">
        <f t="array" ref="C150">INDEX(SalesData[Category], ROW()-1)</f>
        <v>Home &amp; Kitchen</v>
      </c>
      <c r="D150" s="40" t="str" cm="1">
        <f t="array" ref="D150">INDEX(SalesData[Product_Name],ROW()-1)</f>
        <v>Air Fryer</v>
      </c>
      <c r="E150" s="40" t="str" cm="1">
        <f t="array" ref="E150">INDEX(SalesData[Customer_State],ROW()-1)</f>
        <v>Tamil Nadu</v>
      </c>
      <c r="F150" s="40" t="str" cm="1">
        <f t="array" ref="F150">INDEX(SalesData[Order_Status], ROW()-1)</f>
        <v>Cancelled</v>
      </c>
      <c r="G150" s="40" t="str" cm="1">
        <f t="array" ref="G150">INDEX(SalesData[Fulfillment_Type], ROW()-1)</f>
        <v>FBM</v>
      </c>
      <c r="H150" s="40" cm="1">
        <f t="array" ref="H150">INDEX(SalesData[Units_Sold], ROW()-1)</f>
        <v>10</v>
      </c>
      <c r="I150" s="44" cm="1">
        <f t="array" ref="I150">INDEX(SalesData[Gross_Sales_INR], ROW()-1)</f>
        <v>6680</v>
      </c>
      <c r="J150" s="43" cm="1">
        <f t="array" ref="J150">INDEX(SalesData[Net_Profit_INR], ROW()-1)</f>
        <v>3051.52</v>
      </c>
      <c r="K150" s="42" cm="1">
        <f t="array" ref="K150">INDEX(SalesData[Profit_Margin_%], ROW()-1)</f>
        <v>45.7</v>
      </c>
      <c r="L150" s="46" t="str" cm="1">
        <f t="array" ref="L150">IF(INDEX(SalesData[Customer_Rating], ROW()-1)="", "—",REPT("★", INDEX(SalesData[Customer_Rating], ROW()-1)) &amp; REPT("☆", 5-INDEX(SalesData[Customer_Rating], ROW()-1)))</f>
        <v>—</v>
      </c>
      <c r="M150" s="40" t="str" cm="1">
        <f t="array" ref="M150">IF(INDEX(SalesData[Units_Sold],ROW()-1) &lt; 5, "⚠️ Reorder", "OK")</f>
        <v>OK</v>
      </c>
      <c r="N150" s="40" t="str">
        <f t="shared" si="4"/>
        <v>Profit</v>
      </c>
      <c r="O150" s="47" t="str">
        <f>SalesData[[#This Row],[Ad_Type]]</f>
        <v>Sponsored Brands</v>
      </c>
      <c r="P150" s="47" t="str">
        <f>SalesData[[#This Row],[Brand]]</f>
        <v>Decathlon</v>
      </c>
      <c r="Q150" s="47" t="str">
        <f>SalesData[[#This Row],[Product_Name]]</f>
        <v>Air Fryer</v>
      </c>
      <c r="R150" s="47"/>
      <c r="S150" s="47"/>
      <c r="T150" s="47"/>
      <c r="U150" s="47"/>
      <c r="V150" s="47"/>
    </row>
    <row r="151" spans="1:22">
      <c r="A151" s="45" t="str">
        <f>SalesData[[#This Row],[Order_ID]]</f>
        <v>ORD-1149</v>
      </c>
      <c r="B151" s="41" cm="1">
        <f t="array" ref="B151">INDEX(SalesData[Order_Date], ROW()-1)</f>
        <v>45513</v>
      </c>
      <c r="C151" s="40" t="str" cm="1">
        <f t="array" ref="C151">INDEX(SalesData[Category], ROW()-1)</f>
        <v>Home &amp; Kitchen</v>
      </c>
      <c r="D151" s="40" t="str" cm="1">
        <f t="array" ref="D151">INDEX(SalesData[Product_Name],ROW()-1)</f>
        <v>Storage Box</v>
      </c>
      <c r="E151" s="40" t="str" cm="1">
        <f t="array" ref="E151">INDEX(SalesData[Customer_State],ROW()-1)</f>
        <v>Rajasthan</v>
      </c>
      <c r="F151" s="40" t="str" cm="1">
        <f t="array" ref="F151">INDEX(SalesData[Order_Status], ROW()-1)</f>
        <v>Delivered</v>
      </c>
      <c r="G151" s="40" t="str" cm="1">
        <f t="array" ref="G151">INDEX(SalesData[Fulfillment_Type], ROW()-1)</f>
        <v>FBA</v>
      </c>
      <c r="H151" s="40" cm="1">
        <f t="array" ref="H151">INDEX(SalesData[Units_Sold], ROW()-1)</f>
        <v>2</v>
      </c>
      <c r="I151" s="44" cm="1">
        <f t="array" ref="I151">INDEX(SalesData[Gross_Sales_INR], ROW()-1)</f>
        <v>4394</v>
      </c>
      <c r="J151" s="43" cm="1">
        <f t="array" ref="J151">INDEX(SalesData[Net_Profit_INR], ROW()-1)</f>
        <v>1750.69</v>
      </c>
      <c r="K151" s="42" cm="1">
        <f t="array" ref="K151">INDEX(SalesData[Profit_Margin_%], ROW()-1)</f>
        <v>39.799999999999997</v>
      </c>
      <c r="L151" s="46" t="str" cm="1">
        <f t="array" ref="L151">IF(INDEX(SalesData[Customer_Rating], ROW()-1)="", "—",REPT("★", INDEX(SalesData[Customer_Rating], ROW()-1)) &amp; REPT("☆", 5-INDEX(SalesData[Customer_Rating], ROW()-1)))</f>
        <v>★★★★★</v>
      </c>
      <c r="M151" s="40" t="str" cm="1">
        <f t="array" ref="M151">IF(INDEX(SalesData[Units_Sold],ROW()-1) &lt; 5, "⚠️ Reorder", "OK")</f>
        <v>⚠️ Reorder</v>
      </c>
      <c r="N151" s="40" t="str">
        <f t="shared" si="4"/>
        <v>Profit</v>
      </c>
      <c r="O151" s="47" t="str">
        <f>SalesData[[#This Row],[Ad_Type]]</f>
        <v>Sponsored Products</v>
      </c>
      <c r="P151" s="47" t="str">
        <f>SalesData[[#This Row],[Brand]]</f>
        <v>Noise</v>
      </c>
      <c r="Q151" s="47" t="str">
        <f>SalesData[[#This Row],[Product_Name]]</f>
        <v>Storage Box</v>
      </c>
      <c r="R151" s="47"/>
      <c r="S151" s="47"/>
      <c r="T151" s="47"/>
      <c r="U151" s="47"/>
      <c r="V151" s="47"/>
    </row>
    <row r="152" spans="1:22">
      <c r="A152" s="45" t="str">
        <f>SalesData[[#This Row],[Order_ID]]</f>
        <v>ORD-1150</v>
      </c>
      <c r="B152" s="41" cm="1">
        <f t="array" ref="B152">INDEX(SalesData[Order_Date], ROW()-1)</f>
        <v>45456</v>
      </c>
      <c r="C152" s="40" t="str" cm="1">
        <f t="array" ref="C152">INDEX(SalesData[Category], ROW()-1)</f>
        <v>Fashion</v>
      </c>
      <c r="D152" s="40" t="str" cm="1">
        <f t="array" ref="D152">INDEX(SalesData[Product_Name],ROW()-1)</f>
        <v>Watch Strap</v>
      </c>
      <c r="E152" s="40" t="str" cm="1">
        <f t="array" ref="E152">INDEX(SalesData[Customer_State],ROW()-1)</f>
        <v>Telangana</v>
      </c>
      <c r="F152" s="40" t="str" cm="1">
        <f t="array" ref="F152">INDEX(SalesData[Order_Status], ROW()-1)</f>
        <v>In Transit</v>
      </c>
      <c r="G152" s="40" t="str" cm="1">
        <f t="array" ref="G152">INDEX(SalesData[Fulfillment_Type], ROW()-1)</f>
        <v>FBA</v>
      </c>
      <c r="H152" s="40" cm="1">
        <f t="array" ref="H152">INDEX(SalesData[Units_Sold], ROW()-1)</f>
        <v>8</v>
      </c>
      <c r="I152" s="44" cm="1">
        <f t="array" ref="I152">INDEX(SalesData[Gross_Sales_INR], ROW()-1)</f>
        <v>17488</v>
      </c>
      <c r="J152" s="43" cm="1">
        <f t="array" ref="J152">INDEX(SalesData[Net_Profit_INR], ROW()-1)</f>
        <v>8850.2800000000007</v>
      </c>
      <c r="K152" s="42" cm="1">
        <f t="array" ref="K152">INDEX(SalesData[Profit_Margin_%], ROW()-1)</f>
        <v>50.6</v>
      </c>
      <c r="L152" s="46" t="str" cm="1">
        <f t="array" ref="L152">IF(INDEX(SalesData[Customer_Rating], ROW()-1)="", "—",REPT("★", INDEX(SalesData[Customer_Rating], ROW()-1)) &amp; REPT("☆", 5-INDEX(SalesData[Customer_Rating], ROW()-1)))</f>
        <v>—</v>
      </c>
      <c r="M152" s="40" t="str" cm="1">
        <f t="array" ref="M152">IF(INDEX(SalesData[Units_Sold],ROW()-1) &lt; 5, "⚠️ Reorder", "OK")</f>
        <v>OK</v>
      </c>
      <c r="N152" s="40" t="str">
        <f t="shared" si="4"/>
        <v>Profit</v>
      </c>
      <c r="O152" s="47" t="str">
        <f>SalesData[[#This Row],[Ad_Type]]</f>
        <v>Sponsored Brands</v>
      </c>
      <c r="P152" s="47" t="str">
        <f>SalesData[[#This Row],[Brand]]</f>
        <v>Noise</v>
      </c>
      <c r="Q152" s="47" t="str">
        <f>SalesData[[#This Row],[Product_Name]]</f>
        <v>Watch Strap</v>
      </c>
      <c r="R152" s="47"/>
      <c r="S152" s="47"/>
      <c r="T152" s="47"/>
      <c r="U152" s="47"/>
      <c r="V152" s="47"/>
    </row>
    <row r="153" spans="1:22">
      <c r="A153" s="45" t="str">
        <f>SalesData[[#This Row],[Order_ID]]</f>
        <v>ORD-1151</v>
      </c>
      <c r="B153" s="41" cm="1">
        <f t="array" ref="B153">INDEX(SalesData[Order_Date], ROW()-1)</f>
        <v>45600</v>
      </c>
      <c r="C153" s="40" t="str" cm="1">
        <f t="array" ref="C153">INDEX(SalesData[Category], ROW()-1)</f>
        <v>Fashion</v>
      </c>
      <c r="D153" s="40" t="str" cm="1">
        <f t="array" ref="D153">INDEX(SalesData[Product_Name],ROW()-1)</f>
        <v>Women's Kurti</v>
      </c>
      <c r="E153" s="40" t="str" cm="1">
        <f t="array" ref="E153">INDEX(SalesData[Customer_State],ROW()-1)</f>
        <v>Maharashtra</v>
      </c>
      <c r="F153" s="40" t="str" cm="1">
        <f t="array" ref="F153">INDEX(SalesData[Order_Status], ROW()-1)</f>
        <v>Delivered</v>
      </c>
      <c r="G153" s="40" t="str" cm="1">
        <f t="array" ref="G153">INDEX(SalesData[Fulfillment_Type], ROW()-1)</f>
        <v>FBA</v>
      </c>
      <c r="H153" s="40" cm="1">
        <f t="array" ref="H153">INDEX(SalesData[Units_Sold], ROW()-1)</f>
        <v>1</v>
      </c>
      <c r="I153" s="44" cm="1">
        <f t="array" ref="I153">INDEX(SalesData[Gross_Sales_INR], ROW()-1)</f>
        <v>2561</v>
      </c>
      <c r="J153" s="43" cm="1">
        <f t="array" ref="J153">INDEX(SalesData[Net_Profit_INR], ROW()-1)</f>
        <v>1121.23</v>
      </c>
      <c r="K153" s="42" cm="1">
        <f t="array" ref="K153">INDEX(SalesData[Profit_Margin_%], ROW()-1)</f>
        <v>43.8</v>
      </c>
      <c r="L153" s="46" t="str" cm="1">
        <f t="array" ref="L153">IF(INDEX(SalesData[Customer_Rating], ROW()-1)="", "—",REPT("★", INDEX(SalesData[Customer_Rating], ROW()-1)) &amp; REPT("☆", 5-INDEX(SalesData[Customer_Rating], ROW()-1)))</f>
        <v>★★☆☆☆</v>
      </c>
      <c r="M153" s="40" t="str" cm="1">
        <f t="array" ref="M153">IF(INDEX(SalesData[Units_Sold],ROW()-1) &lt; 5, "⚠️ Reorder", "OK")</f>
        <v>⚠️ Reorder</v>
      </c>
      <c r="N153" s="40" t="str">
        <f t="shared" si="4"/>
        <v>Profit</v>
      </c>
      <c r="O153" s="47" t="str">
        <f>SalesData[[#This Row],[Ad_Type]]</f>
        <v>None</v>
      </c>
      <c r="P153" s="47" t="str">
        <f>SalesData[[#This Row],[Brand]]</f>
        <v>Lakme</v>
      </c>
      <c r="Q153" s="47" t="str">
        <f>SalesData[[#This Row],[Product_Name]]</f>
        <v>Women's Kurti</v>
      </c>
      <c r="R153" s="47"/>
      <c r="S153" s="47"/>
      <c r="T153" s="47"/>
      <c r="U153" s="47"/>
      <c r="V153" s="47"/>
    </row>
    <row r="154" spans="1:22">
      <c r="A154" s="45" t="str">
        <f>SalesData[[#This Row],[Order_ID]]</f>
        <v>ORD-1152</v>
      </c>
      <c r="B154" s="41" cm="1">
        <f t="array" ref="B154">INDEX(SalesData[Order_Date], ROW()-1)</f>
        <v>45041</v>
      </c>
      <c r="C154" s="40" t="str" cm="1">
        <f t="array" ref="C154">INDEX(SalesData[Category], ROW()-1)</f>
        <v>Sports</v>
      </c>
      <c r="D154" s="40" t="str" cm="1">
        <f t="array" ref="D154">INDEX(SalesData[Product_Name],ROW()-1)</f>
        <v>Protein Shaker</v>
      </c>
      <c r="E154" s="40" t="str" cm="1">
        <f t="array" ref="E154">INDEX(SalesData[Customer_State],ROW()-1)</f>
        <v>Kerala</v>
      </c>
      <c r="F154" s="40" t="str" cm="1">
        <f t="array" ref="F154">INDEX(SalesData[Order_Status], ROW()-1)</f>
        <v>In Transit</v>
      </c>
      <c r="G154" s="40" t="str" cm="1">
        <f t="array" ref="G154">INDEX(SalesData[Fulfillment_Type], ROW()-1)</f>
        <v>FBA</v>
      </c>
      <c r="H154" s="40" cm="1">
        <f t="array" ref="H154">INDEX(SalesData[Units_Sold], ROW()-1)</f>
        <v>4</v>
      </c>
      <c r="I154" s="44" cm="1">
        <f t="array" ref="I154">INDEX(SalesData[Gross_Sales_INR], ROW()-1)</f>
        <v>5676</v>
      </c>
      <c r="J154" s="43" cm="1">
        <f t="array" ref="J154">INDEX(SalesData[Net_Profit_INR], ROW()-1)</f>
        <v>1741.09</v>
      </c>
      <c r="K154" s="42" cm="1">
        <f t="array" ref="K154">INDEX(SalesData[Profit_Margin_%], ROW()-1)</f>
        <v>30.7</v>
      </c>
      <c r="L154" s="46" t="str" cm="1">
        <f t="array" ref="L154">IF(INDEX(SalesData[Customer_Rating], ROW()-1)="", "—",REPT("★", INDEX(SalesData[Customer_Rating], ROW()-1)) &amp; REPT("☆", 5-INDEX(SalesData[Customer_Rating], ROW()-1)))</f>
        <v>—</v>
      </c>
      <c r="M154" s="40" t="str" cm="1">
        <f t="array" ref="M154">IF(INDEX(SalesData[Units_Sold],ROW()-1) &lt; 5, "⚠️ Reorder", "OK")</f>
        <v>⚠️ Reorder</v>
      </c>
      <c r="N154" s="40" t="str">
        <f t="shared" si="4"/>
        <v>Profit</v>
      </c>
      <c r="O154" s="47" t="str">
        <f>SalesData[[#This Row],[Ad_Type]]</f>
        <v>None</v>
      </c>
      <c r="P154" s="47" t="str">
        <f>SalesData[[#This Row],[Brand]]</f>
        <v>Amazon Basics</v>
      </c>
      <c r="Q154" s="47" t="str">
        <f>SalesData[[#This Row],[Product_Name]]</f>
        <v>Protein Shaker</v>
      </c>
      <c r="R154" s="47"/>
      <c r="S154" s="47"/>
      <c r="T154" s="47"/>
      <c r="U154" s="47"/>
      <c r="V154" s="47"/>
    </row>
    <row r="155" spans="1:22">
      <c r="A155" s="45" t="str">
        <f>SalesData[[#This Row],[Order_ID]]</f>
        <v>ORD-1153</v>
      </c>
      <c r="B155" s="41" cm="1">
        <f t="array" ref="B155">INDEX(SalesData[Order_Date], ROW()-1)</f>
        <v>45234</v>
      </c>
      <c r="C155" s="40" t="str" cm="1">
        <f t="array" ref="C155">INDEX(SalesData[Category], ROW()-1)</f>
        <v>Home &amp; Kitchen</v>
      </c>
      <c r="D155" s="40" t="str" cm="1">
        <f t="array" ref="D155">INDEX(SalesData[Product_Name],ROW()-1)</f>
        <v>Chopping Board</v>
      </c>
      <c r="E155" s="40" t="str" cm="1">
        <f t="array" ref="E155">INDEX(SalesData[Customer_State],ROW()-1)</f>
        <v>Madhya Pradesh</v>
      </c>
      <c r="F155" s="40" t="str" cm="1">
        <f t="array" ref="F155">INDEX(SalesData[Order_Status], ROW()-1)</f>
        <v>In Transit</v>
      </c>
      <c r="G155" s="40" t="str" cm="1">
        <f t="array" ref="G155">INDEX(SalesData[Fulfillment_Type], ROW()-1)</f>
        <v>FBA</v>
      </c>
      <c r="H155" s="40" cm="1">
        <f t="array" ref="H155">INDEX(SalesData[Units_Sold], ROW()-1)</f>
        <v>7</v>
      </c>
      <c r="I155" s="44" cm="1">
        <f t="array" ref="I155">INDEX(SalesData[Gross_Sales_INR], ROW()-1)</f>
        <v>2100</v>
      </c>
      <c r="J155" s="43" cm="1">
        <f t="array" ref="J155">INDEX(SalesData[Net_Profit_INR], ROW()-1)</f>
        <v>616.91</v>
      </c>
      <c r="K155" s="42" cm="1">
        <f t="array" ref="K155">INDEX(SalesData[Profit_Margin_%], ROW()-1)</f>
        <v>29.4</v>
      </c>
      <c r="L155" s="46" t="str" cm="1">
        <f t="array" ref="L155">IF(INDEX(SalesData[Customer_Rating], ROW()-1)="", "—",REPT("★", INDEX(SalesData[Customer_Rating], ROW()-1)) &amp; REPT("☆", 5-INDEX(SalesData[Customer_Rating], ROW()-1)))</f>
        <v>—</v>
      </c>
      <c r="M155" s="40" t="str" cm="1">
        <f t="array" ref="M155">IF(INDEX(SalesData[Units_Sold],ROW()-1) &lt; 5, "⚠️ Reorder", "OK")</f>
        <v>OK</v>
      </c>
      <c r="N155" s="40" t="str">
        <f t="shared" si="4"/>
        <v>Profit</v>
      </c>
      <c r="O155" s="47" t="str">
        <f>SalesData[[#This Row],[Ad_Type]]</f>
        <v>None</v>
      </c>
      <c r="P155" s="47" t="str">
        <f>SalesData[[#This Row],[Brand]]</f>
        <v>Mamaearth</v>
      </c>
      <c r="Q155" s="47" t="str">
        <f>SalesData[[#This Row],[Product_Name]]</f>
        <v>Chopping Board</v>
      </c>
      <c r="R155" s="47"/>
      <c r="S155" s="47"/>
      <c r="T155" s="47"/>
      <c r="U155" s="47"/>
      <c r="V155" s="47"/>
    </row>
    <row r="156" spans="1:22">
      <c r="A156" s="45" t="str">
        <f>SalesData[[#This Row],[Order_ID]]</f>
        <v>ORD-1154</v>
      </c>
      <c r="B156" s="41" cm="1">
        <f t="array" ref="B156">INDEX(SalesData[Order_Date], ROW()-1)</f>
        <v>45064</v>
      </c>
      <c r="C156" s="40" t="str" cm="1">
        <f t="array" ref="C156">INDEX(SalesData[Category], ROW()-1)</f>
        <v>Electronics</v>
      </c>
      <c r="D156" s="40" t="str" cm="1">
        <f t="array" ref="D156">INDEX(SalesData[Product_Name],ROW()-1)</f>
        <v>Bluetooth Speaker</v>
      </c>
      <c r="E156" s="40" t="str" cm="1">
        <f t="array" ref="E156">INDEX(SalesData[Customer_State],ROW()-1)</f>
        <v>Delhi</v>
      </c>
      <c r="F156" s="40" t="str" cm="1">
        <f t="array" ref="F156">INDEX(SalesData[Order_Status], ROW()-1)</f>
        <v>Delivered</v>
      </c>
      <c r="G156" s="40" t="str" cm="1">
        <f t="array" ref="G156">INDEX(SalesData[Fulfillment_Type], ROW()-1)</f>
        <v>FBM</v>
      </c>
      <c r="H156" s="40" cm="1">
        <f t="array" ref="H156">INDEX(SalesData[Units_Sold], ROW()-1)</f>
        <v>9</v>
      </c>
      <c r="I156" s="44" cm="1">
        <f t="array" ref="I156">INDEX(SalesData[Gross_Sales_INR], ROW()-1)</f>
        <v>29241</v>
      </c>
      <c r="J156" s="43" cm="1">
        <f t="array" ref="J156">INDEX(SalesData[Net_Profit_INR], ROW()-1)</f>
        <v>14195.54</v>
      </c>
      <c r="K156" s="42" cm="1">
        <f t="array" ref="K156">INDEX(SalesData[Profit_Margin_%], ROW()-1)</f>
        <v>48.5</v>
      </c>
      <c r="L156" s="46" t="str" cm="1">
        <f t="array" ref="L156">IF(INDEX(SalesData[Customer_Rating], ROW()-1)="", "—",REPT("★", INDEX(SalesData[Customer_Rating], ROW()-1)) &amp; REPT("☆", 5-INDEX(SalesData[Customer_Rating], ROW()-1)))</f>
        <v>★★☆☆☆</v>
      </c>
      <c r="M156" s="40" t="str" cm="1">
        <f t="array" ref="M156">IF(INDEX(SalesData[Units_Sold],ROW()-1) &lt; 5, "⚠️ Reorder", "OK")</f>
        <v>OK</v>
      </c>
      <c r="N156" s="40" t="str">
        <f t="shared" si="4"/>
        <v>Profit</v>
      </c>
      <c r="O156" s="47" t="str">
        <f>SalesData[[#This Row],[Ad_Type]]</f>
        <v>None</v>
      </c>
      <c r="P156" s="47" t="str">
        <f>SalesData[[#This Row],[Brand]]</f>
        <v>Classmate</v>
      </c>
      <c r="Q156" s="47" t="str">
        <f>SalesData[[#This Row],[Product_Name]]</f>
        <v>Bluetooth Speaker</v>
      </c>
      <c r="R156" s="47"/>
      <c r="S156" s="47"/>
      <c r="T156" s="47"/>
      <c r="U156" s="47"/>
      <c r="V156" s="47"/>
    </row>
    <row r="157" spans="1:22">
      <c r="A157" s="45" t="str">
        <f>SalesData[[#This Row],[Order_ID]]</f>
        <v>ORD-1155</v>
      </c>
      <c r="B157" s="41" cm="1">
        <f t="array" ref="B157">INDEX(SalesData[Order_Date], ROW()-1)</f>
        <v>45096</v>
      </c>
      <c r="C157" s="40" t="str" cm="1">
        <f t="array" ref="C157">INDEX(SalesData[Category], ROW()-1)</f>
        <v>Fashion</v>
      </c>
      <c r="D157" s="40" t="str" cm="1">
        <f t="array" ref="D157">INDEX(SalesData[Product_Name],ROW()-1)</f>
        <v>Cap</v>
      </c>
      <c r="E157" s="40" t="str" cm="1">
        <f t="array" ref="E157">INDEX(SalesData[Customer_State],ROW()-1)</f>
        <v>Maharashtra</v>
      </c>
      <c r="F157" s="40" t="str" cm="1">
        <f t="array" ref="F157">INDEX(SalesData[Order_Status], ROW()-1)</f>
        <v>Delivered</v>
      </c>
      <c r="G157" s="40" t="str" cm="1">
        <f t="array" ref="G157">INDEX(SalesData[Fulfillment_Type], ROW()-1)</f>
        <v>FBM</v>
      </c>
      <c r="H157" s="40" cm="1">
        <f t="array" ref="H157">INDEX(SalesData[Units_Sold], ROW()-1)</f>
        <v>10</v>
      </c>
      <c r="I157" s="44" cm="1">
        <f t="array" ref="I157">INDEX(SalesData[Gross_Sales_INR], ROW()-1)</f>
        <v>3270</v>
      </c>
      <c r="J157" s="43" cm="1">
        <f t="array" ref="J157">INDEX(SalesData[Net_Profit_INR], ROW()-1)</f>
        <v>1200.07</v>
      </c>
      <c r="K157" s="42" cm="1">
        <f t="array" ref="K157">INDEX(SalesData[Profit_Margin_%], ROW()-1)</f>
        <v>36.700000000000003</v>
      </c>
      <c r="L157" s="46" t="str" cm="1">
        <f t="array" ref="L157">IF(INDEX(SalesData[Customer_Rating], ROW()-1)="", "—",REPT("★", INDEX(SalesData[Customer_Rating], ROW()-1)) &amp; REPT("☆", 5-INDEX(SalesData[Customer_Rating], ROW()-1)))</f>
        <v>★★★★★</v>
      </c>
      <c r="M157" s="40" t="str" cm="1">
        <f t="array" ref="M157">IF(INDEX(SalesData[Units_Sold],ROW()-1) &lt; 5, "⚠️ Reorder", "OK")</f>
        <v>OK</v>
      </c>
      <c r="N157" s="40" t="str">
        <f t="shared" si="4"/>
        <v>Profit</v>
      </c>
      <c r="O157" s="47" t="str">
        <f>SalesData[[#This Row],[Ad_Type]]</f>
        <v>None</v>
      </c>
      <c r="P157" s="47" t="str">
        <f>SalesData[[#This Row],[Brand]]</f>
        <v>Skullcandy</v>
      </c>
      <c r="Q157" s="47" t="str">
        <f>SalesData[[#This Row],[Product_Name]]</f>
        <v>Cap</v>
      </c>
      <c r="R157" s="47"/>
      <c r="S157" s="47"/>
      <c r="T157" s="47"/>
      <c r="U157" s="47"/>
      <c r="V157" s="47"/>
    </row>
    <row r="158" spans="1:22">
      <c r="A158" s="45" t="str">
        <f>SalesData[[#This Row],[Order_ID]]</f>
        <v>ORD-1156</v>
      </c>
      <c r="B158" s="41" cm="1">
        <f t="array" ref="B158">INDEX(SalesData[Order_Date], ROW()-1)</f>
        <v>45436</v>
      </c>
      <c r="C158" s="40" t="str" cm="1">
        <f t="array" ref="C158">INDEX(SalesData[Category], ROW()-1)</f>
        <v>Fashion</v>
      </c>
      <c r="D158" s="40" t="str" cm="1">
        <f t="array" ref="D158">INDEX(SalesData[Product_Name],ROW()-1)</f>
        <v>Wallet</v>
      </c>
      <c r="E158" s="40" t="str" cm="1">
        <f t="array" ref="E158">INDEX(SalesData[Customer_State],ROW()-1)</f>
        <v>Punjab</v>
      </c>
      <c r="F158" s="40" t="str" cm="1">
        <f t="array" ref="F158">INDEX(SalesData[Order_Status], ROW()-1)</f>
        <v>Delivered</v>
      </c>
      <c r="G158" s="40" t="str" cm="1">
        <f t="array" ref="G158">INDEX(SalesData[Fulfillment_Type], ROW()-1)</f>
        <v>FBA</v>
      </c>
      <c r="H158" s="40" cm="1">
        <f t="array" ref="H158">INDEX(SalesData[Units_Sold], ROW()-1)</f>
        <v>5</v>
      </c>
      <c r="I158" s="44" cm="1">
        <f t="array" ref="I158">INDEX(SalesData[Gross_Sales_INR], ROW()-1)</f>
        <v>6695</v>
      </c>
      <c r="J158" s="43" cm="1">
        <f t="array" ref="J158">INDEX(SalesData[Net_Profit_INR], ROW()-1)</f>
        <v>2094.77</v>
      </c>
      <c r="K158" s="42" cm="1">
        <f t="array" ref="K158">INDEX(SalesData[Profit_Margin_%], ROW()-1)</f>
        <v>31.3</v>
      </c>
      <c r="L158" s="46" t="str" cm="1">
        <f t="array" ref="L158">IF(INDEX(SalesData[Customer_Rating], ROW()-1)="", "—",REPT("★", INDEX(SalesData[Customer_Rating], ROW()-1)) &amp; REPT("☆", 5-INDEX(SalesData[Customer_Rating], ROW()-1)))</f>
        <v>★★☆☆☆</v>
      </c>
      <c r="M158" s="40" t="str" cm="1">
        <f t="array" ref="M158">IF(INDEX(SalesData[Units_Sold],ROW()-1) &lt; 5, "⚠️ Reorder", "OK")</f>
        <v>OK</v>
      </c>
      <c r="N158" s="40" t="str">
        <f t="shared" si="4"/>
        <v>Profit</v>
      </c>
      <c r="O158" s="47" t="str">
        <f>SalesData[[#This Row],[Ad_Type]]</f>
        <v>Sponsored Products</v>
      </c>
      <c r="P158" s="47" t="str">
        <f>SalesData[[#This Row],[Brand]]</f>
        <v>Mamaearth</v>
      </c>
      <c r="Q158" s="47" t="str">
        <f>SalesData[[#This Row],[Product_Name]]</f>
        <v>Wallet</v>
      </c>
      <c r="R158" s="47"/>
      <c r="S158" s="47"/>
      <c r="T158" s="47"/>
      <c r="U158" s="47"/>
      <c r="V158" s="47"/>
    </row>
    <row r="159" spans="1:22">
      <c r="A159" s="45" t="str">
        <f>SalesData[[#This Row],[Order_ID]]</f>
        <v>ORD-1157</v>
      </c>
      <c r="B159" s="41" cm="1">
        <f t="array" ref="B159">INDEX(SalesData[Order_Date], ROW()-1)</f>
        <v>45384</v>
      </c>
      <c r="C159" s="40" t="str" cm="1">
        <f t="array" ref="C159">INDEX(SalesData[Category], ROW()-1)</f>
        <v>Sports</v>
      </c>
      <c r="D159" s="40" t="str" cm="1">
        <f t="array" ref="D159">INDEX(SalesData[Product_Name],ROW()-1)</f>
        <v>Jump Rope</v>
      </c>
      <c r="E159" s="40" t="str" cm="1">
        <f t="array" ref="E159">INDEX(SalesData[Customer_State],ROW()-1)</f>
        <v>Karnataka</v>
      </c>
      <c r="F159" s="40" t="str" cm="1">
        <f t="array" ref="F159">INDEX(SalesData[Order_Status], ROW()-1)</f>
        <v>Cancelled</v>
      </c>
      <c r="G159" s="40" t="str" cm="1">
        <f t="array" ref="G159">INDEX(SalesData[Fulfillment_Type], ROW()-1)</f>
        <v>FBM</v>
      </c>
      <c r="H159" s="40" cm="1">
        <f t="array" ref="H159">INDEX(SalesData[Units_Sold], ROW()-1)</f>
        <v>3</v>
      </c>
      <c r="I159" s="44" cm="1">
        <f t="array" ref="I159">INDEX(SalesData[Gross_Sales_INR], ROW()-1)</f>
        <v>5055</v>
      </c>
      <c r="J159" s="43" cm="1">
        <f t="array" ref="J159">INDEX(SalesData[Net_Profit_INR], ROW()-1)</f>
        <v>1550.34</v>
      </c>
      <c r="K159" s="42" cm="1">
        <f t="array" ref="K159">INDEX(SalesData[Profit_Margin_%], ROW()-1)</f>
        <v>30.7</v>
      </c>
      <c r="L159" s="46" t="str" cm="1">
        <f t="array" ref="L159">IF(INDEX(SalesData[Customer_Rating], ROW()-1)="", "—",REPT("★", INDEX(SalesData[Customer_Rating], ROW()-1)) &amp; REPT("☆", 5-INDEX(SalesData[Customer_Rating], ROW()-1)))</f>
        <v>—</v>
      </c>
      <c r="M159" s="40" t="str" cm="1">
        <f t="array" ref="M159">IF(INDEX(SalesData[Units_Sold],ROW()-1) &lt; 5, "⚠️ Reorder", "OK")</f>
        <v>⚠️ Reorder</v>
      </c>
      <c r="N159" s="40" t="str">
        <f t="shared" si="4"/>
        <v>Profit</v>
      </c>
      <c r="O159" s="47" t="str">
        <f>SalesData[[#This Row],[Ad_Type]]</f>
        <v>Sponsored Products</v>
      </c>
      <c r="P159" s="47" t="str">
        <f>SalesData[[#This Row],[Brand]]</f>
        <v>Cello</v>
      </c>
      <c r="Q159" s="47" t="str">
        <f>SalesData[[#This Row],[Product_Name]]</f>
        <v>Jump Rope</v>
      </c>
      <c r="R159" s="47"/>
      <c r="S159" s="47"/>
      <c r="T159" s="47"/>
      <c r="U159" s="47"/>
      <c r="V159" s="47"/>
    </row>
    <row r="160" spans="1:22">
      <c r="A160" s="45" t="str">
        <f>SalesData[[#This Row],[Order_ID]]</f>
        <v>ORD-1158</v>
      </c>
      <c r="B160" s="41" cm="1">
        <f t="array" ref="B160">INDEX(SalesData[Order_Date], ROW()-1)</f>
        <v>45426</v>
      </c>
      <c r="C160" s="40" t="str" cm="1">
        <f t="array" ref="C160">INDEX(SalesData[Category], ROW()-1)</f>
        <v>Office Supplies</v>
      </c>
      <c r="D160" s="40" t="str" cm="1">
        <f t="array" ref="D160">INDEX(SalesData[Product_Name],ROW()-1)</f>
        <v>Notebook</v>
      </c>
      <c r="E160" s="40" t="str" cm="1">
        <f t="array" ref="E160">INDEX(SalesData[Customer_State],ROW()-1)</f>
        <v>Haryana</v>
      </c>
      <c r="F160" s="40" t="str" cm="1">
        <f t="array" ref="F160">INDEX(SalesData[Order_Status], ROW()-1)</f>
        <v>Delivered</v>
      </c>
      <c r="G160" s="40" t="str" cm="1">
        <f t="array" ref="G160">INDEX(SalesData[Fulfillment_Type], ROW()-1)</f>
        <v>FBA</v>
      </c>
      <c r="H160" s="40" cm="1">
        <f t="array" ref="H160">INDEX(SalesData[Units_Sold], ROW()-1)</f>
        <v>1</v>
      </c>
      <c r="I160" s="44" cm="1">
        <f t="array" ref="I160">INDEX(SalesData[Gross_Sales_INR], ROW()-1)</f>
        <v>3720</v>
      </c>
      <c r="J160" s="43" cm="1">
        <f t="array" ref="J160">INDEX(SalesData[Net_Profit_INR], ROW()-1)</f>
        <v>1870.5</v>
      </c>
      <c r="K160" s="42" cm="1">
        <f t="array" ref="K160">INDEX(SalesData[Profit_Margin_%], ROW()-1)</f>
        <v>50.3</v>
      </c>
      <c r="L160" s="46" t="str" cm="1">
        <f t="array" ref="L160">IF(INDEX(SalesData[Customer_Rating], ROW()-1)="", "—",REPT("★", INDEX(SalesData[Customer_Rating], ROW()-1)) &amp; REPT("☆", 5-INDEX(SalesData[Customer_Rating], ROW()-1)))</f>
        <v>★★★★★</v>
      </c>
      <c r="M160" s="40" t="str" cm="1">
        <f t="array" ref="M160">IF(INDEX(SalesData[Units_Sold],ROW()-1) &lt; 5, "⚠️ Reorder", "OK")</f>
        <v>⚠️ Reorder</v>
      </c>
      <c r="N160" s="40" t="str">
        <f t="shared" si="4"/>
        <v>Profit</v>
      </c>
      <c r="O160" s="47" t="str">
        <f>SalesData[[#This Row],[Ad_Type]]</f>
        <v>None</v>
      </c>
      <c r="P160" s="47" t="str">
        <f>SalesData[[#This Row],[Brand]]</f>
        <v>Decathlon</v>
      </c>
      <c r="Q160" s="47" t="str">
        <f>SalesData[[#This Row],[Product_Name]]</f>
        <v>Notebook</v>
      </c>
      <c r="R160" s="47"/>
      <c r="S160" s="47"/>
      <c r="T160" s="47"/>
      <c r="U160" s="47"/>
      <c r="V160" s="47"/>
    </row>
    <row r="161" spans="1:22">
      <c r="A161" s="45" t="str">
        <f>SalesData[[#This Row],[Order_ID]]</f>
        <v>ORD-1159</v>
      </c>
      <c r="B161" s="41" cm="1">
        <f t="array" ref="B161">INDEX(SalesData[Order_Date], ROW()-1)</f>
        <v>44962</v>
      </c>
      <c r="C161" s="40" t="str" cm="1">
        <f t="array" ref="C161">INDEX(SalesData[Category], ROW()-1)</f>
        <v>Fashion</v>
      </c>
      <c r="D161" s="40" t="str" cm="1">
        <f t="array" ref="D161">INDEX(SalesData[Product_Name],ROW()-1)</f>
        <v>Wallet</v>
      </c>
      <c r="E161" s="40" t="str" cm="1">
        <f t="array" ref="E161">INDEX(SalesData[Customer_State],ROW()-1)</f>
        <v>Tamil Nadu</v>
      </c>
      <c r="F161" s="40" t="str" cm="1">
        <f t="array" ref="F161">INDEX(SalesData[Order_Status], ROW()-1)</f>
        <v>In Transit</v>
      </c>
      <c r="G161" s="40" t="str" cm="1">
        <f t="array" ref="G161">INDEX(SalesData[Fulfillment_Type], ROW()-1)</f>
        <v>FBM</v>
      </c>
      <c r="H161" s="40" cm="1">
        <f t="array" ref="H161">INDEX(SalesData[Units_Sold], ROW()-1)</f>
        <v>4</v>
      </c>
      <c r="I161" s="44" cm="1">
        <f t="array" ref="I161">INDEX(SalesData[Gross_Sales_INR], ROW()-1)</f>
        <v>16712</v>
      </c>
      <c r="J161" s="43" cm="1">
        <f t="array" ref="J161">INDEX(SalesData[Net_Profit_INR], ROW()-1)</f>
        <v>5389.03</v>
      </c>
      <c r="K161" s="42" cm="1">
        <f t="array" ref="K161">INDEX(SalesData[Profit_Margin_%], ROW()-1)</f>
        <v>32.200000000000003</v>
      </c>
      <c r="L161" s="46" t="str" cm="1">
        <f t="array" ref="L161">IF(INDEX(SalesData[Customer_Rating], ROW()-1)="", "—",REPT("★", INDEX(SalesData[Customer_Rating], ROW()-1)) &amp; REPT("☆", 5-INDEX(SalesData[Customer_Rating], ROW()-1)))</f>
        <v>—</v>
      </c>
      <c r="M161" s="40" t="str" cm="1">
        <f t="array" ref="M161">IF(INDEX(SalesData[Units_Sold],ROW()-1) &lt; 5, "⚠️ Reorder", "OK")</f>
        <v>⚠️ Reorder</v>
      </c>
      <c r="N161" s="40" t="str">
        <f t="shared" si="4"/>
        <v>Profit</v>
      </c>
      <c r="O161" s="47" t="str">
        <f>SalesData[[#This Row],[Ad_Type]]</f>
        <v>Sponsored Products</v>
      </c>
      <c r="P161" s="47" t="str">
        <f>SalesData[[#This Row],[Brand]]</f>
        <v>Noise</v>
      </c>
      <c r="Q161" s="47" t="str">
        <f>SalesData[[#This Row],[Product_Name]]</f>
        <v>Wallet</v>
      </c>
      <c r="R161" s="47"/>
      <c r="S161" s="47"/>
      <c r="T161" s="47"/>
      <c r="U161" s="47"/>
      <c r="V161" s="47"/>
    </row>
    <row r="162" spans="1:22">
      <c r="A162" s="45" t="str">
        <f>SalesData[[#This Row],[Order_ID]]</f>
        <v>ORD-1160</v>
      </c>
      <c r="B162" s="41" cm="1">
        <f t="array" ref="B162">INDEX(SalesData[Order_Date], ROW()-1)</f>
        <v>45351</v>
      </c>
      <c r="C162" s="40" t="str" cm="1">
        <f t="array" ref="C162">INDEX(SalesData[Category], ROW()-1)</f>
        <v>Home &amp; Kitchen</v>
      </c>
      <c r="D162" s="40" t="str" cm="1">
        <f t="array" ref="D162">INDEX(SalesData[Product_Name],ROW()-1)</f>
        <v>Chopping Board</v>
      </c>
      <c r="E162" s="40" t="str" cm="1">
        <f t="array" ref="E162">INDEX(SalesData[Customer_State],ROW()-1)</f>
        <v>Bihar</v>
      </c>
      <c r="F162" s="40" t="str" cm="1">
        <f t="array" ref="F162">INDEX(SalesData[Order_Status], ROW()-1)</f>
        <v>Delivered</v>
      </c>
      <c r="G162" s="40" t="str" cm="1">
        <f t="array" ref="G162">INDEX(SalesData[Fulfillment_Type], ROW()-1)</f>
        <v>FBA</v>
      </c>
      <c r="H162" s="40" cm="1">
        <f t="array" ref="H162">INDEX(SalesData[Units_Sold], ROW()-1)</f>
        <v>8</v>
      </c>
      <c r="I162" s="44" cm="1">
        <f t="array" ref="I162">INDEX(SalesData[Gross_Sales_INR], ROW()-1)</f>
        <v>11224</v>
      </c>
      <c r="J162" s="43" cm="1">
        <f t="array" ref="J162">INDEX(SalesData[Net_Profit_INR], ROW()-1)</f>
        <v>2923.97</v>
      </c>
      <c r="K162" s="42" cm="1">
        <f t="array" ref="K162">INDEX(SalesData[Profit_Margin_%], ROW()-1)</f>
        <v>26.1</v>
      </c>
      <c r="L162" s="46" t="str" cm="1">
        <f t="array" ref="L162">IF(INDEX(SalesData[Customer_Rating], ROW()-1)="", "—",REPT("★", INDEX(SalesData[Customer_Rating], ROW()-1)) &amp; REPT("☆", 5-INDEX(SalesData[Customer_Rating], ROW()-1)))</f>
        <v>★★★★★</v>
      </c>
      <c r="M162" s="40" t="str" cm="1">
        <f t="array" ref="M162">IF(INDEX(SalesData[Units_Sold],ROW()-1) &lt; 5, "⚠️ Reorder", "OK")</f>
        <v>OK</v>
      </c>
      <c r="N162" s="40" t="str">
        <f t="shared" si="4"/>
        <v>Profit</v>
      </c>
      <c r="O162" s="47" t="str">
        <f>SalesData[[#This Row],[Ad_Type]]</f>
        <v>Sponsored Brands</v>
      </c>
      <c r="P162" s="47" t="str">
        <f>SalesData[[#This Row],[Brand]]</f>
        <v>Decathlon</v>
      </c>
      <c r="Q162" s="47" t="str">
        <f>SalesData[[#This Row],[Product_Name]]</f>
        <v>Chopping Board</v>
      </c>
      <c r="R162" s="47"/>
      <c r="S162" s="47"/>
      <c r="T162" s="47"/>
      <c r="U162" s="47"/>
      <c r="V162" s="47"/>
    </row>
    <row r="163" spans="1:22">
      <c r="A163" s="45" t="str">
        <f>SalesData[[#This Row],[Order_ID]]</f>
        <v>ORD-1161</v>
      </c>
      <c r="B163" s="41" cm="1">
        <f t="array" ref="B163">INDEX(SalesData[Order_Date], ROW()-1)</f>
        <v>45469</v>
      </c>
      <c r="C163" s="40" t="str" cm="1">
        <f t="array" ref="C163">INDEX(SalesData[Category], ROW()-1)</f>
        <v>Home &amp; Kitchen</v>
      </c>
      <c r="D163" s="40" t="str" cm="1">
        <f t="array" ref="D163">INDEX(SalesData[Product_Name],ROW()-1)</f>
        <v>Storage Box</v>
      </c>
      <c r="E163" s="40" t="str" cm="1">
        <f t="array" ref="E163">INDEX(SalesData[Customer_State],ROW()-1)</f>
        <v>Bihar</v>
      </c>
      <c r="F163" s="40" t="str" cm="1">
        <f t="array" ref="F163">INDEX(SalesData[Order_Status], ROW()-1)</f>
        <v>Delivered</v>
      </c>
      <c r="G163" s="40" t="str" cm="1">
        <f t="array" ref="G163">INDEX(SalesData[Fulfillment_Type], ROW()-1)</f>
        <v>FBM</v>
      </c>
      <c r="H163" s="40" cm="1">
        <f t="array" ref="H163">INDEX(SalesData[Units_Sold], ROW()-1)</f>
        <v>3</v>
      </c>
      <c r="I163" s="44" cm="1">
        <f t="array" ref="I163">INDEX(SalesData[Gross_Sales_INR], ROW()-1)</f>
        <v>9948</v>
      </c>
      <c r="J163" s="43" cm="1">
        <f t="array" ref="J163">INDEX(SalesData[Net_Profit_INR], ROW()-1)</f>
        <v>3707.84</v>
      </c>
      <c r="K163" s="42" cm="1">
        <f t="array" ref="K163">INDEX(SalesData[Profit_Margin_%], ROW()-1)</f>
        <v>37.299999999999997</v>
      </c>
      <c r="L163" s="46" t="str" cm="1">
        <f t="array" ref="L163">IF(INDEX(SalesData[Customer_Rating], ROW()-1)="", "—",REPT("★", INDEX(SalesData[Customer_Rating], ROW()-1)) &amp; REPT("☆", 5-INDEX(SalesData[Customer_Rating], ROW()-1)))</f>
        <v>★★★★★</v>
      </c>
      <c r="M163" s="40" t="str" cm="1">
        <f t="array" ref="M163">IF(INDEX(SalesData[Units_Sold],ROW()-1) &lt; 5, "⚠️ Reorder", "OK")</f>
        <v>⚠️ Reorder</v>
      </c>
      <c r="N163" s="40" t="str">
        <f t="shared" si="4"/>
        <v>Profit</v>
      </c>
      <c r="O163" s="47" t="str">
        <f>SalesData[[#This Row],[Ad_Type]]</f>
        <v>None</v>
      </c>
      <c r="P163" s="47" t="str">
        <f>SalesData[[#This Row],[Brand]]</f>
        <v>Lakme</v>
      </c>
      <c r="Q163" s="47" t="str">
        <f>SalesData[[#This Row],[Product_Name]]</f>
        <v>Storage Box</v>
      </c>
      <c r="R163" s="47"/>
      <c r="S163" s="47"/>
      <c r="T163" s="47"/>
      <c r="U163" s="47"/>
      <c r="V163" s="47"/>
    </row>
    <row r="164" spans="1:22">
      <c r="A164" s="45" t="str">
        <f>SalesData[[#This Row],[Order_ID]]</f>
        <v>ORD-1162</v>
      </c>
      <c r="B164" s="41" cm="1">
        <f t="array" ref="B164">INDEX(SalesData[Order_Date], ROW()-1)</f>
        <v>45193</v>
      </c>
      <c r="C164" s="40" t="str" cm="1">
        <f t="array" ref="C164">INDEX(SalesData[Category], ROW()-1)</f>
        <v>Sports</v>
      </c>
      <c r="D164" s="40" t="str" cm="1">
        <f t="array" ref="D164">INDEX(SalesData[Product_Name],ROW()-1)</f>
        <v>Resistance Band</v>
      </c>
      <c r="E164" s="40" t="str" cm="1">
        <f t="array" ref="E164">INDEX(SalesData[Customer_State],ROW()-1)</f>
        <v>Maharashtra</v>
      </c>
      <c r="F164" s="40" t="str" cm="1">
        <f t="array" ref="F164">INDEX(SalesData[Order_Status], ROW()-1)</f>
        <v>In Transit</v>
      </c>
      <c r="G164" s="40" t="str" cm="1">
        <f t="array" ref="G164">INDEX(SalesData[Fulfillment_Type], ROW()-1)</f>
        <v>FBA</v>
      </c>
      <c r="H164" s="40" cm="1">
        <f t="array" ref="H164">INDEX(SalesData[Units_Sold], ROW()-1)</f>
        <v>6</v>
      </c>
      <c r="I164" s="44" cm="1">
        <f t="array" ref="I164">INDEX(SalesData[Gross_Sales_INR], ROW()-1)</f>
        <v>3762</v>
      </c>
      <c r="J164" s="43" cm="1">
        <f t="array" ref="J164">INDEX(SalesData[Net_Profit_INR], ROW()-1)</f>
        <v>1452.09</v>
      </c>
      <c r="K164" s="42" cm="1">
        <f t="array" ref="K164">INDEX(SalesData[Profit_Margin_%], ROW()-1)</f>
        <v>38.6</v>
      </c>
      <c r="L164" s="46" t="str" cm="1">
        <f t="array" ref="L164">IF(INDEX(SalesData[Customer_Rating], ROW()-1)="", "—",REPT("★", INDEX(SalesData[Customer_Rating], ROW()-1)) &amp; REPT("☆", 5-INDEX(SalesData[Customer_Rating], ROW()-1)))</f>
        <v>—</v>
      </c>
      <c r="M164" s="40" t="str" cm="1">
        <f t="array" ref="M164">IF(INDEX(SalesData[Units_Sold],ROW()-1) &lt; 5, "⚠️ Reorder", "OK")</f>
        <v>OK</v>
      </c>
      <c r="N164" s="40" t="str">
        <f t="shared" si="4"/>
        <v>Profit</v>
      </c>
      <c r="O164" s="47" t="str">
        <f>SalesData[[#This Row],[Ad_Type]]</f>
        <v>None</v>
      </c>
      <c r="P164" s="47" t="str">
        <f>SalesData[[#This Row],[Brand]]</f>
        <v>Fastrack</v>
      </c>
      <c r="Q164" s="47" t="str">
        <f>SalesData[[#This Row],[Product_Name]]</f>
        <v>Resistance Band</v>
      </c>
      <c r="R164" s="47"/>
      <c r="S164" s="47"/>
      <c r="T164" s="47"/>
      <c r="U164" s="47"/>
      <c r="V164" s="47"/>
    </row>
    <row r="165" spans="1:22">
      <c r="A165" s="45" t="str">
        <f>SalesData[[#This Row],[Order_ID]]</f>
        <v>ORD-1163</v>
      </c>
      <c r="B165" s="41" cm="1">
        <f t="array" ref="B165">INDEX(SalesData[Order_Date], ROW()-1)</f>
        <v>45218</v>
      </c>
      <c r="C165" s="40" t="str" cm="1">
        <f t="array" ref="C165">INDEX(SalesData[Category], ROW()-1)</f>
        <v>Home &amp; Kitchen</v>
      </c>
      <c r="D165" s="40" t="str" cm="1">
        <f t="array" ref="D165">INDEX(SalesData[Product_Name],ROW()-1)</f>
        <v>Knife Set</v>
      </c>
      <c r="E165" s="40" t="str" cm="1">
        <f t="array" ref="E165">INDEX(SalesData[Customer_State],ROW()-1)</f>
        <v>Gujarat</v>
      </c>
      <c r="F165" s="40" t="str" cm="1">
        <f t="array" ref="F165">INDEX(SalesData[Order_Status], ROW()-1)</f>
        <v>In Transit</v>
      </c>
      <c r="G165" s="40" t="str" cm="1">
        <f t="array" ref="G165">INDEX(SalesData[Fulfillment_Type], ROW()-1)</f>
        <v>FBA</v>
      </c>
      <c r="H165" s="40" cm="1">
        <f t="array" ref="H165">INDEX(SalesData[Units_Sold], ROW()-1)</f>
        <v>1</v>
      </c>
      <c r="I165" s="44" cm="1">
        <f t="array" ref="I165">INDEX(SalesData[Gross_Sales_INR], ROW()-1)</f>
        <v>1051</v>
      </c>
      <c r="J165" s="43" cm="1">
        <f t="array" ref="J165">INDEX(SalesData[Net_Profit_INR], ROW()-1)</f>
        <v>558.83000000000004</v>
      </c>
      <c r="K165" s="42" cm="1">
        <f t="array" ref="K165">INDEX(SalesData[Profit_Margin_%], ROW()-1)</f>
        <v>53.2</v>
      </c>
      <c r="L165" s="46" t="str" cm="1">
        <f t="array" ref="L165">IF(INDEX(SalesData[Customer_Rating], ROW()-1)="", "—",REPT("★", INDEX(SalesData[Customer_Rating], ROW()-1)) &amp; REPT("☆", 5-INDEX(SalesData[Customer_Rating], ROW()-1)))</f>
        <v>—</v>
      </c>
      <c r="M165" s="40" t="str" cm="1">
        <f t="array" ref="M165">IF(INDEX(SalesData[Units_Sold],ROW()-1) &lt; 5, "⚠️ Reorder", "OK")</f>
        <v>⚠️ Reorder</v>
      </c>
      <c r="N165" s="40" t="str">
        <f t="shared" si="4"/>
        <v>Profit</v>
      </c>
      <c r="O165" s="47" t="str">
        <f>SalesData[[#This Row],[Ad_Type]]</f>
        <v>None</v>
      </c>
      <c r="P165" s="47" t="str">
        <f>SalesData[[#This Row],[Brand]]</f>
        <v>Noise</v>
      </c>
      <c r="Q165" s="47" t="str">
        <f>SalesData[[#This Row],[Product_Name]]</f>
        <v>Knife Set</v>
      </c>
      <c r="R165" s="47"/>
      <c r="S165" s="47"/>
      <c r="T165" s="47"/>
      <c r="U165" s="47"/>
      <c r="V165" s="47"/>
    </row>
    <row r="166" spans="1:22">
      <c r="A166" s="45" t="str">
        <f>SalesData[[#This Row],[Order_ID]]</f>
        <v>ORD-1164</v>
      </c>
      <c r="B166" s="41" cm="1">
        <f t="array" ref="B166">INDEX(SalesData[Order_Date], ROW()-1)</f>
        <v>45544</v>
      </c>
      <c r="C166" s="40" t="str" cm="1">
        <f t="array" ref="C166">INDEX(SalesData[Category], ROW()-1)</f>
        <v>Home &amp; Kitchen</v>
      </c>
      <c r="D166" s="40" t="str" cm="1">
        <f t="array" ref="D166">INDEX(SalesData[Product_Name],ROW()-1)</f>
        <v>Chopping Board</v>
      </c>
      <c r="E166" s="40" t="str" cm="1">
        <f t="array" ref="E166">INDEX(SalesData[Customer_State],ROW()-1)</f>
        <v>Madhya Pradesh</v>
      </c>
      <c r="F166" s="40" t="str" cm="1">
        <f t="array" ref="F166">INDEX(SalesData[Order_Status], ROW()-1)</f>
        <v>Delivered</v>
      </c>
      <c r="G166" s="40" t="str" cm="1">
        <f t="array" ref="G166">INDEX(SalesData[Fulfillment_Type], ROW()-1)</f>
        <v>FBM</v>
      </c>
      <c r="H166" s="40" cm="1">
        <f t="array" ref="H166">INDEX(SalesData[Units_Sold], ROW()-1)</f>
        <v>6</v>
      </c>
      <c r="I166" s="44" cm="1">
        <f t="array" ref="I166">INDEX(SalesData[Gross_Sales_INR], ROW()-1)</f>
        <v>15558</v>
      </c>
      <c r="J166" s="43" cm="1">
        <f t="array" ref="J166">INDEX(SalesData[Net_Profit_INR], ROW()-1)</f>
        <v>7549.36</v>
      </c>
      <c r="K166" s="42" cm="1">
        <f t="array" ref="K166">INDEX(SalesData[Profit_Margin_%], ROW()-1)</f>
        <v>48.5</v>
      </c>
      <c r="L166" s="46" t="str" cm="1">
        <f t="array" ref="L166">IF(INDEX(SalesData[Customer_Rating], ROW()-1)="", "—",REPT("★", INDEX(SalesData[Customer_Rating], ROW()-1)) &amp; REPT("☆", 5-INDEX(SalesData[Customer_Rating], ROW()-1)))</f>
        <v>★★☆☆☆</v>
      </c>
      <c r="M166" s="40" t="str" cm="1">
        <f t="array" ref="M166">IF(INDEX(SalesData[Units_Sold],ROW()-1) &lt; 5, "⚠️ Reorder", "OK")</f>
        <v>OK</v>
      </c>
      <c r="N166" s="40" t="str">
        <f t="shared" si="4"/>
        <v>Loss</v>
      </c>
      <c r="O166" s="47" t="str">
        <f>SalesData[[#This Row],[Ad_Type]]</f>
        <v>None</v>
      </c>
      <c r="P166" s="47" t="str">
        <f>SalesData[[#This Row],[Brand]]</f>
        <v>Fastrack</v>
      </c>
      <c r="Q166" s="47" t="str">
        <f>SalesData[[#This Row],[Product_Name]]</f>
        <v>Chopping Board</v>
      </c>
      <c r="R166" s="47"/>
      <c r="S166" s="47"/>
      <c r="T166" s="47"/>
      <c r="U166" s="47"/>
      <c r="V166" s="47"/>
    </row>
    <row r="167" spans="1:22">
      <c r="A167" s="45" t="str">
        <f>SalesData[[#This Row],[Order_ID]]</f>
        <v>ORD-1165</v>
      </c>
      <c r="B167" s="41" cm="1">
        <f t="array" ref="B167">INDEX(SalesData[Order_Date], ROW()-1)</f>
        <v>45520</v>
      </c>
      <c r="C167" s="40" t="str" cm="1">
        <f t="array" ref="C167">INDEX(SalesData[Category], ROW()-1)</f>
        <v>Fashion</v>
      </c>
      <c r="D167" s="40" t="str" cm="1">
        <f t="array" ref="D167">INDEX(SalesData[Product_Name],ROW()-1)</f>
        <v>Sports Shoes</v>
      </c>
      <c r="E167" s="40" t="str" cm="1">
        <f t="array" ref="E167">INDEX(SalesData[Customer_State],ROW()-1)</f>
        <v>Bihar</v>
      </c>
      <c r="F167" s="40" t="str" cm="1">
        <f t="array" ref="F167">INDEX(SalesData[Order_Status], ROW()-1)</f>
        <v>Returned</v>
      </c>
      <c r="G167" s="40" t="str" cm="1">
        <f t="array" ref="G167">INDEX(SalesData[Fulfillment_Type], ROW()-1)</f>
        <v>FBA</v>
      </c>
      <c r="H167" s="40" cm="1">
        <f t="array" ref="H167">INDEX(SalesData[Units_Sold], ROW()-1)</f>
        <v>5</v>
      </c>
      <c r="I167" s="44" cm="1">
        <f t="array" ref="I167">INDEX(SalesData[Gross_Sales_INR], ROW()-1)</f>
        <v>4810</v>
      </c>
      <c r="J167" s="43" cm="1">
        <f t="array" ref="J167">INDEX(SalesData[Net_Profit_INR], ROW()-1)</f>
        <v>-3254.84</v>
      </c>
      <c r="K167" s="42" cm="1">
        <f t="array" ref="K167">INDEX(SalesData[Profit_Margin_%], ROW()-1)</f>
        <v>0</v>
      </c>
      <c r="L167" s="46" t="str" cm="1">
        <f t="array" ref="L167">IF(INDEX(SalesData[Customer_Rating], ROW()-1)="", "—",REPT("★", INDEX(SalesData[Customer_Rating], ROW()-1)) &amp; REPT("☆", 5-INDEX(SalesData[Customer_Rating], ROW()-1)))</f>
        <v>—</v>
      </c>
      <c r="M167" s="40" t="str" cm="1">
        <f t="array" ref="M167">IF(INDEX(SalesData[Units_Sold],ROW()-1) &lt; 5, "⚠️ Reorder", "OK")</f>
        <v>OK</v>
      </c>
      <c r="N167" s="40" t="str">
        <f t="shared" si="4"/>
        <v>Profit</v>
      </c>
      <c r="O167" s="47" t="str">
        <f>SalesData[[#This Row],[Ad_Type]]</f>
        <v>Sponsored Products</v>
      </c>
      <c r="P167" s="47" t="str">
        <f>SalesData[[#This Row],[Brand]]</f>
        <v>Classmate</v>
      </c>
      <c r="Q167" s="47" t="str">
        <f>SalesData[[#This Row],[Product_Name]]</f>
        <v>Sports Shoes</v>
      </c>
      <c r="R167" s="47"/>
      <c r="S167" s="47"/>
      <c r="T167" s="47"/>
      <c r="U167" s="47"/>
      <c r="V167" s="47"/>
    </row>
    <row r="168" spans="1:22">
      <c r="A168" s="45" t="str">
        <f>SalesData[[#This Row],[Order_ID]]</f>
        <v>ORD-1166</v>
      </c>
      <c r="B168" s="41" cm="1">
        <f t="array" ref="B168">INDEX(SalesData[Order_Date], ROW()-1)</f>
        <v>45341</v>
      </c>
      <c r="C168" s="40" t="str" cm="1">
        <f t="array" ref="C168">INDEX(SalesData[Category], ROW()-1)</f>
        <v>Home &amp; Kitchen</v>
      </c>
      <c r="D168" s="40" t="str" cm="1">
        <f t="array" ref="D168">INDEX(SalesData[Product_Name],ROW()-1)</f>
        <v>Coffee Mug</v>
      </c>
      <c r="E168" s="40" t="str" cm="1">
        <f t="array" ref="E168">INDEX(SalesData[Customer_State],ROW()-1)</f>
        <v>Telangana</v>
      </c>
      <c r="F168" s="40" t="str" cm="1">
        <f t="array" ref="F168">INDEX(SalesData[Order_Status], ROW()-1)</f>
        <v>Delivered</v>
      </c>
      <c r="G168" s="40" t="str" cm="1">
        <f t="array" ref="G168">INDEX(SalesData[Fulfillment_Type], ROW()-1)</f>
        <v>FBA</v>
      </c>
      <c r="H168" s="40" cm="1">
        <f t="array" ref="H168">INDEX(SalesData[Units_Sold], ROW()-1)</f>
        <v>6</v>
      </c>
      <c r="I168" s="44" cm="1">
        <f t="array" ref="I168">INDEX(SalesData[Gross_Sales_INR], ROW()-1)</f>
        <v>1260</v>
      </c>
      <c r="J168" s="43" cm="1">
        <f t="array" ref="J168">INDEX(SalesData[Net_Profit_INR], ROW()-1)</f>
        <v>96.81</v>
      </c>
      <c r="K168" s="42" cm="1">
        <f t="array" ref="K168">INDEX(SalesData[Profit_Margin_%], ROW()-1)</f>
        <v>7.7</v>
      </c>
      <c r="L168" s="46" t="str" cm="1">
        <f t="array" ref="L168">IF(INDEX(SalesData[Customer_Rating], ROW()-1)="", "—",REPT("★", INDEX(SalesData[Customer_Rating], ROW()-1)) &amp; REPT("☆", 5-INDEX(SalesData[Customer_Rating], ROW()-1)))</f>
        <v>★☆☆☆☆</v>
      </c>
      <c r="M168" s="40" t="str" cm="1">
        <f t="array" ref="M168">IF(INDEX(SalesData[Units_Sold],ROW()-1) &lt; 5, "⚠️ Reorder", "OK")</f>
        <v>OK</v>
      </c>
      <c r="N168" s="40" t="str">
        <f t="shared" si="4"/>
        <v>Profit</v>
      </c>
      <c r="O168" s="47" t="str">
        <f>SalesData[[#This Row],[Ad_Type]]</f>
        <v>Sponsored Brands</v>
      </c>
      <c r="P168" s="47" t="str">
        <f>SalesData[[#This Row],[Brand]]</f>
        <v>BoAt</v>
      </c>
      <c r="Q168" s="47" t="str">
        <f>SalesData[[#This Row],[Product_Name]]</f>
        <v>Coffee Mug</v>
      </c>
      <c r="R168" s="47"/>
      <c r="S168" s="47"/>
      <c r="T168" s="47"/>
      <c r="U168" s="47"/>
      <c r="V168" s="47"/>
    </row>
    <row r="169" spans="1:22">
      <c r="A169" s="45" t="str">
        <f>SalesData[[#This Row],[Order_ID]]</f>
        <v>ORD-1167</v>
      </c>
      <c r="B169" s="41" cm="1">
        <f t="array" ref="B169">INDEX(SalesData[Order_Date], ROW()-1)</f>
        <v>45620</v>
      </c>
      <c r="C169" s="40" t="str" cm="1">
        <f t="array" ref="C169">INDEX(SalesData[Category], ROW()-1)</f>
        <v>Beauty</v>
      </c>
      <c r="D169" s="40" t="str" cm="1">
        <f t="array" ref="D169">INDEX(SalesData[Product_Name],ROW()-1)</f>
        <v>Hair Oil</v>
      </c>
      <c r="E169" s="40" t="str" cm="1">
        <f t="array" ref="E169">INDEX(SalesData[Customer_State],ROW()-1)</f>
        <v>Telangana</v>
      </c>
      <c r="F169" s="40" t="str" cm="1">
        <f t="array" ref="F169">INDEX(SalesData[Order_Status], ROW()-1)</f>
        <v>Delivered</v>
      </c>
      <c r="G169" s="40" t="str" cm="1">
        <f t="array" ref="G169">INDEX(SalesData[Fulfillment_Type], ROW()-1)</f>
        <v>FBA</v>
      </c>
      <c r="H169" s="40" cm="1">
        <f t="array" ref="H169">INDEX(SalesData[Units_Sold], ROW()-1)</f>
        <v>9</v>
      </c>
      <c r="I169" s="44" cm="1">
        <f t="array" ref="I169">INDEX(SalesData[Gross_Sales_INR], ROW()-1)</f>
        <v>17703</v>
      </c>
      <c r="J169" s="43" cm="1">
        <f t="array" ref="J169">INDEX(SalesData[Net_Profit_INR], ROW()-1)</f>
        <v>8011.41</v>
      </c>
      <c r="K169" s="42" cm="1">
        <f t="array" ref="K169">INDEX(SalesData[Profit_Margin_%], ROW()-1)</f>
        <v>45.3</v>
      </c>
      <c r="L169" s="46" t="str" cm="1">
        <f t="array" ref="L169">IF(INDEX(SalesData[Customer_Rating], ROW()-1)="", "—",REPT("★", INDEX(SalesData[Customer_Rating], ROW()-1)) &amp; REPT("☆", 5-INDEX(SalesData[Customer_Rating], ROW()-1)))</f>
        <v>★★★☆☆</v>
      </c>
      <c r="M169" s="40" t="str" cm="1">
        <f t="array" ref="M169">IF(INDEX(SalesData[Units_Sold],ROW()-1) &lt; 5, "⚠️ Reorder", "OK")</f>
        <v>OK</v>
      </c>
      <c r="N169" s="40" t="str">
        <f t="shared" si="4"/>
        <v>Profit</v>
      </c>
      <c r="O169" s="47" t="str">
        <f>SalesData[[#This Row],[Ad_Type]]</f>
        <v>Sponsored Brands</v>
      </c>
      <c r="P169" s="47" t="str">
        <f>SalesData[[#This Row],[Brand]]</f>
        <v>BoAt</v>
      </c>
      <c r="Q169" s="47" t="str">
        <f>SalesData[[#This Row],[Product_Name]]</f>
        <v>Hair Oil</v>
      </c>
      <c r="R169" s="47"/>
      <c r="S169" s="47"/>
      <c r="T169" s="47"/>
      <c r="U169" s="47"/>
      <c r="V169" s="47"/>
    </row>
    <row r="170" spans="1:22">
      <c r="A170" s="45" t="str">
        <f>SalesData[[#This Row],[Order_ID]]</f>
        <v>ORD-1168</v>
      </c>
      <c r="B170" s="41" cm="1">
        <f t="array" ref="B170">INDEX(SalesData[Order_Date], ROW()-1)</f>
        <v>44995</v>
      </c>
      <c r="C170" s="40" t="str" cm="1">
        <f t="array" ref="C170">INDEX(SalesData[Category], ROW()-1)</f>
        <v>Electronics</v>
      </c>
      <c r="D170" s="40" t="str" cm="1">
        <f t="array" ref="D170">INDEX(SalesData[Product_Name],ROW()-1)</f>
        <v>Power Bank</v>
      </c>
      <c r="E170" s="40" t="str" cm="1">
        <f t="array" ref="E170">INDEX(SalesData[Customer_State],ROW()-1)</f>
        <v>Gujarat</v>
      </c>
      <c r="F170" s="40" t="str" cm="1">
        <f t="array" ref="F170">INDEX(SalesData[Order_Status], ROW()-1)</f>
        <v>Pending</v>
      </c>
      <c r="G170" s="40" t="str" cm="1">
        <f t="array" ref="G170">INDEX(SalesData[Fulfillment_Type], ROW()-1)</f>
        <v>FBA</v>
      </c>
      <c r="H170" s="40" cm="1">
        <f t="array" ref="H170">INDEX(SalesData[Units_Sold], ROW()-1)</f>
        <v>5</v>
      </c>
      <c r="I170" s="44" cm="1">
        <f t="array" ref="I170">INDEX(SalesData[Gross_Sales_INR], ROW()-1)</f>
        <v>17545</v>
      </c>
      <c r="J170" s="43" cm="1">
        <f t="array" ref="J170">INDEX(SalesData[Net_Profit_INR], ROW()-1)</f>
        <v>4670.78</v>
      </c>
      <c r="K170" s="42" cm="1">
        <f t="array" ref="K170">INDEX(SalesData[Profit_Margin_%], ROW()-1)</f>
        <v>26.6</v>
      </c>
      <c r="L170" s="46" t="str" cm="1">
        <f t="array" ref="L170">IF(INDEX(SalesData[Customer_Rating], ROW()-1)="", "—",REPT("★", INDEX(SalesData[Customer_Rating], ROW()-1)) &amp; REPT("☆", 5-INDEX(SalesData[Customer_Rating], ROW()-1)))</f>
        <v>—</v>
      </c>
      <c r="M170" s="40" t="str" cm="1">
        <f t="array" ref="M170">IF(INDEX(SalesData[Units_Sold],ROW()-1) &lt; 5, "⚠️ Reorder", "OK")</f>
        <v>OK</v>
      </c>
      <c r="N170" s="40" t="str">
        <f t="shared" si="4"/>
        <v>Profit</v>
      </c>
      <c r="O170" s="47" t="str">
        <f>SalesData[[#This Row],[Ad_Type]]</f>
        <v>None</v>
      </c>
      <c r="P170" s="47" t="str">
        <f>SalesData[[#This Row],[Brand]]</f>
        <v>Skullcandy</v>
      </c>
      <c r="Q170" s="47" t="str">
        <f>SalesData[[#This Row],[Product_Name]]</f>
        <v>Power Bank</v>
      </c>
      <c r="R170" s="47"/>
      <c r="S170" s="47"/>
      <c r="T170" s="47"/>
      <c r="U170" s="47"/>
      <c r="V170" s="47"/>
    </row>
    <row r="171" spans="1:22">
      <c r="A171" s="45" t="str">
        <f>SalesData[[#This Row],[Order_ID]]</f>
        <v>ORD-1169</v>
      </c>
      <c r="B171" s="41" cm="1">
        <f t="array" ref="B171">INDEX(SalesData[Order_Date], ROW()-1)</f>
        <v>45604</v>
      </c>
      <c r="C171" s="40" t="str" cm="1">
        <f t="array" ref="C171">INDEX(SalesData[Category], ROW()-1)</f>
        <v>Office Supplies</v>
      </c>
      <c r="D171" s="40" t="str" cm="1">
        <f t="array" ref="D171">INDEX(SalesData[Product_Name],ROW()-1)</f>
        <v>File Folder</v>
      </c>
      <c r="E171" s="40" t="str" cm="1">
        <f t="array" ref="E171">INDEX(SalesData[Customer_State],ROW()-1)</f>
        <v>Delhi</v>
      </c>
      <c r="F171" s="40" t="str" cm="1">
        <f t="array" ref="F171">INDEX(SalesData[Order_Status], ROW()-1)</f>
        <v>Delivered</v>
      </c>
      <c r="G171" s="40" t="str" cm="1">
        <f t="array" ref="G171">INDEX(SalesData[Fulfillment_Type], ROW()-1)</f>
        <v>FBM</v>
      </c>
      <c r="H171" s="40" cm="1">
        <f t="array" ref="H171">INDEX(SalesData[Units_Sold], ROW()-1)</f>
        <v>6</v>
      </c>
      <c r="I171" s="44" cm="1">
        <f t="array" ref="I171">INDEX(SalesData[Gross_Sales_INR], ROW()-1)</f>
        <v>8394</v>
      </c>
      <c r="J171" s="43" cm="1">
        <f t="array" ref="J171">INDEX(SalesData[Net_Profit_INR], ROW()-1)</f>
        <v>3733.28</v>
      </c>
      <c r="K171" s="42" cm="1">
        <f t="array" ref="K171">INDEX(SalesData[Profit_Margin_%], ROW()-1)</f>
        <v>44.5</v>
      </c>
      <c r="L171" s="46" t="str" cm="1">
        <f t="array" ref="L171">IF(INDEX(SalesData[Customer_Rating], ROW()-1)="", "—",REPT("★", INDEX(SalesData[Customer_Rating], ROW()-1)) &amp; REPT("☆", 5-INDEX(SalesData[Customer_Rating], ROW()-1)))</f>
        <v>★★☆☆☆</v>
      </c>
      <c r="M171" s="40" t="str" cm="1">
        <f t="array" ref="M171">IF(INDEX(SalesData[Units_Sold],ROW()-1) &lt; 5, "⚠️ Reorder", "OK")</f>
        <v>OK</v>
      </c>
      <c r="N171" s="40" t="str">
        <f t="shared" si="4"/>
        <v>Profit</v>
      </c>
      <c r="O171" s="47" t="str">
        <f>SalesData[[#This Row],[Ad_Type]]</f>
        <v>None</v>
      </c>
      <c r="P171" s="47" t="str">
        <f>SalesData[[#This Row],[Brand]]</f>
        <v>Decathlon</v>
      </c>
      <c r="Q171" s="47" t="str">
        <f>SalesData[[#This Row],[Product_Name]]</f>
        <v>File Folder</v>
      </c>
      <c r="R171" s="47"/>
      <c r="S171" s="47"/>
      <c r="T171" s="47"/>
      <c r="U171" s="47"/>
      <c r="V171" s="47"/>
    </row>
    <row r="172" spans="1:22">
      <c r="A172" s="45" t="str">
        <f>SalesData[[#This Row],[Order_ID]]</f>
        <v>ORD-1170</v>
      </c>
      <c r="B172" s="41" cm="1">
        <f t="array" ref="B172">INDEX(SalesData[Order_Date], ROW()-1)</f>
        <v>45236</v>
      </c>
      <c r="C172" s="40" t="str" cm="1">
        <f t="array" ref="C172">INDEX(SalesData[Category], ROW()-1)</f>
        <v>Sports</v>
      </c>
      <c r="D172" s="40" t="str" cm="1">
        <f t="array" ref="D172">INDEX(SalesData[Product_Name],ROW()-1)</f>
        <v>Running Belt</v>
      </c>
      <c r="E172" s="40" t="str" cm="1">
        <f t="array" ref="E172">INDEX(SalesData[Customer_State],ROW()-1)</f>
        <v>Gujarat</v>
      </c>
      <c r="F172" s="40" t="str" cm="1">
        <f t="array" ref="F172">INDEX(SalesData[Order_Status], ROW()-1)</f>
        <v>Delivered</v>
      </c>
      <c r="G172" s="40" t="str" cm="1">
        <f t="array" ref="G172">INDEX(SalesData[Fulfillment_Type], ROW()-1)</f>
        <v>FBA</v>
      </c>
      <c r="H172" s="40" cm="1">
        <f t="array" ref="H172">INDEX(SalesData[Units_Sold], ROW()-1)</f>
        <v>9</v>
      </c>
      <c r="I172" s="44" cm="1">
        <f t="array" ref="I172">INDEX(SalesData[Gross_Sales_INR], ROW()-1)</f>
        <v>5985</v>
      </c>
      <c r="J172" s="43" cm="1">
        <f t="array" ref="J172">INDEX(SalesData[Net_Profit_INR], ROW()-1)</f>
        <v>2076.4499999999998</v>
      </c>
      <c r="K172" s="42" cm="1">
        <f t="array" ref="K172">INDEX(SalesData[Profit_Margin_%], ROW()-1)</f>
        <v>34.700000000000003</v>
      </c>
      <c r="L172" s="46" t="str" cm="1">
        <f t="array" ref="L172">IF(INDEX(SalesData[Customer_Rating], ROW()-1)="", "—",REPT("★", INDEX(SalesData[Customer_Rating], ROW()-1)) &amp; REPT("☆", 5-INDEX(SalesData[Customer_Rating], ROW()-1)))</f>
        <v>★☆☆☆☆</v>
      </c>
      <c r="M172" s="40" t="str" cm="1">
        <f t="array" ref="M172">IF(INDEX(SalesData[Units_Sold],ROW()-1) &lt; 5, "⚠️ Reorder", "OK")</f>
        <v>OK</v>
      </c>
      <c r="N172" s="40" t="str">
        <f t="shared" si="4"/>
        <v>Profit</v>
      </c>
      <c r="O172" s="47" t="str">
        <f>SalesData[[#This Row],[Ad_Type]]</f>
        <v>None</v>
      </c>
      <c r="P172" s="47" t="str">
        <f>SalesData[[#This Row],[Brand]]</f>
        <v>Mamaearth</v>
      </c>
      <c r="Q172" s="47" t="str">
        <f>SalesData[[#This Row],[Product_Name]]</f>
        <v>Running Belt</v>
      </c>
      <c r="R172" s="47"/>
      <c r="S172" s="47"/>
      <c r="T172" s="47"/>
      <c r="U172" s="47"/>
      <c r="V172" s="47"/>
    </row>
    <row r="173" spans="1:22">
      <c r="A173" s="45" t="str">
        <f>SalesData[[#This Row],[Order_ID]]</f>
        <v>ORD-1171</v>
      </c>
      <c r="B173" s="41" cm="1">
        <f t="array" ref="B173">INDEX(SalesData[Order_Date], ROW()-1)</f>
        <v>45284</v>
      </c>
      <c r="C173" s="40" t="str" cm="1">
        <f t="array" ref="C173">INDEX(SalesData[Category], ROW()-1)</f>
        <v>Electronics</v>
      </c>
      <c r="D173" s="40" t="str" cm="1">
        <f t="array" ref="D173">INDEX(SalesData[Product_Name],ROW()-1)</f>
        <v>Smart Watch</v>
      </c>
      <c r="E173" s="40" t="str" cm="1">
        <f t="array" ref="E173">INDEX(SalesData[Customer_State],ROW()-1)</f>
        <v>Telangana</v>
      </c>
      <c r="F173" s="40" t="str" cm="1">
        <f t="array" ref="F173">INDEX(SalesData[Order_Status], ROW()-1)</f>
        <v>Delivered</v>
      </c>
      <c r="G173" s="40" t="str" cm="1">
        <f t="array" ref="G173">INDEX(SalesData[Fulfillment_Type], ROW()-1)</f>
        <v>FBA</v>
      </c>
      <c r="H173" s="40" cm="1">
        <f t="array" ref="H173">INDEX(SalesData[Units_Sold], ROW()-1)</f>
        <v>6</v>
      </c>
      <c r="I173" s="44" cm="1">
        <f t="array" ref="I173">INDEX(SalesData[Gross_Sales_INR], ROW()-1)</f>
        <v>11136</v>
      </c>
      <c r="J173" s="43" cm="1">
        <f t="array" ref="J173">INDEX(SalesData[Net_Profit_INR], ROW()-1)</f>
        <v>4758.47</v>
      </c>
      <c r="K173" s="42" cm="1">
        <f t="array" ref="K173">INDEX(SalesData[Profit_Margin_%], ROW()-1)</f>
        <v>42.7</v>
      </c>
      <c r="L173" s="46" t="str" cm="1">
        <f t="array" ref="L173">IF(INDEX(SalesData[Customer_Rating], ROW()-1)="", "—",REPT("★", INDEX(SalesData[Customer_Rating], ROW()-1)) &amp; REPT("☆", 5-INDEX(SalesData[Customer_Rating], ROW()-1)))</f>
        <v>★☆☆☆☆</v>
      </c>
      <c r="M173" s="40" t="str" cm="1">
        <f t="array" ref="M173">IF(INDEX(SalesData[Units_Sold],ROW()-1) &lt; 5, "⚠️ Reorder", "OK")</f>
        <v>OK</v>
      </c>
      <c r="N173" s="40" t="str">
        <f t="shared" si="4"/>
        <v>Profit</v>
      </c>
      <c r="O173" s="47" t="str">
        <f>SalesData[[#This Row],[Ad_Type]]</f>
        <v>None</v>
      </c>
      <c r="P173" s="47" t="str">
        <f>SalesData[[#This Row],[Brand]]</f>
        <v>Generic</v>
      </c>
      <c r="Q173" s="47" t="str">
        <f>SalesData[[#This Row],[Product_Name]]</f>
        <v>Smart Watch</v>
      </c>
      <c r="R173" s="47"/>
      <c r="S173" s="47"/>
      <c r="T173" s="47"/>
      <c r="U173" s="47"/>
      <c r="V173" s="47"/>
    </row>
    <row r="174" spans="1:22">
      <c r="A174" s="45" t="str">
        <f>SalesData[[#This Row],[Order_ID]]</f>
        <v>ORD-1172</v>
      </c>
      <c r="B174" s="41" cm="1">
        <f t="array" ref="B174">INDEX(SalesData[Order_Date], ROW()-1)</f>
        <v>45044</v>
      </c>
      <c r="C174" s="40" t="str" cm="1">
        <f t="array" ref="C174">INDEX(SalesData[Category], ROW()-1)</f>
        <v>Sports</v>
      </c>
      <c r="D174" s="40" t="str" cm="1">
        <f t="array" ref="D174">INDEX(SalesData[Product_Name],ROW()-1)</f>
        <v>Jump Rope</v>
      </c>
      <c r="E174" s="40" t="str" cm="1">
        <f t="array" ref="E174">INDEX(SalesData[Customer_State],ROW()-1)</f>
        <v>Kerala</v>
      </c>
      <c r="F174" s="40" t="str" cm="1">
        <f t="array" ref="F174">INDEX(SalesData[Order_Status], ROW()-1)</f>
        <v>Cancelled</v>
      </c>
      <c r="G174" s="40" t="str" cm="1">
        <f t="array" ref="G174">INDEX(SalesData[Fulfillment_Type], ROW()-1)</f>
        <v>FBM</v>
      </c>
      <c r="H174" s="40" cm="1">
        <f t="array" ref="H174">INDEX(SalesData[Units_Sold], ROW()-1)</f>
        <v>2</v>
      </c>
      <c r="I174" s="44" cm="1">
        <f t="array" ref="I174">INDEX(SalesData[Gross_Sales_INR], ROW()-1)</f>
        <v>7318</v>
      </c>
      <c r="J174" s="43" cm="1">
        <f t="array" ref="J174">INDEX(SalesData[Net_Profit_INR], ROW()-1)</f>
        <v>2156.94</v>
      </c>
      <c r="K174" s="42" cm="1">
        <f t="array" ref="K174">INDEX(SalesData[Profit_Margin_%], ROW()-1)</f>
        <v>29.5</v>
      </c>
      <c r="L174" s="46" t="str" cm="1">
        <f t="array" ref="L174">IF(INDEX(SalesData[Customer_Rating], ROW()-1)="", "—",REPT("★", INDEX(SalesData[Customer_Rating], ROW()-1)) &amp; REPT("☆", 5-INDEX(SalesData[Customer_Rating], ROW()-1)))</f>
        <v>—</v>
      </c>
      <c r="M174" s="40" t="str" cm="1">
        <f t="array" ref="M174">IF(INDEX(SalesData[Units_Sold],ROW()-1) &lt; 5, "⚠️ Reorder", "OK")</f>
        <v>⚠️ Reorder</v>
      </c>
      <c r="N174" s="40" t="str">
        <f t="shared" si="4"/>
        <v>Profit</v>
      </c>
      <c r="O174" s="47" t="str">
        <f>SalesData[[#This Row],[Ad_Type]]</f>
        <v>None</v>
      </c>
      <c r="P174" s="47" t="str">
        <f>SalesData[[#This Row],[Brand]]</f>
        <v>Lakme</v>
      </c>
      <c r="Q174" s="47" t="str">
        <f>SalesData[[#This Row],[Product_Name]]</f>
        <v>Jump Rope</v>
      </c>
      <c r="R174" s="47"/>
      <c r="S174" s="47"/>
      <c r="T174" s="47"/>
      <c r="U174" s="47"/>
      <c r="V174" s="47"/>
    </row>
    <row r="175" spans="1:22">
      <c r="A175" s="45" t="str">
        <f>SalesData[[#This Row],[Order_ID]]</f>
        <v>ORD-1173</v>
      </c>
      <c r="B175" s="41" cm="1">
        <f t="array" ref="B175">INDEX(SalesData[Order_Date], ROW()-1)</f>
        <v>45047</v>
      </c>
      <c r="C175" s="40" t="str" cm="1">
        <f t="array" ref="C175">INDEX(SalesData[Category], ROW()-1)</f>
        <v>Beauty</v>
      </c>
      <c r="D175" s="40" t="str" cm="1">
        <f t="array" ref="D175">INDEX(SalesData[Product_Name],ROW()-1)</f>
        <v>Face Serum</v>
      </c>
      <c r="E175" s="40" t="str" cm="1">
        <f t="array" ref="E175">INDEX(SalesData[Customer_State],ROW()-1)</f>
        <v>Madhya Pradesh</v>
      </c>
      <c r="F175" s="40" t="str" cm="1">
        <f t="array" ref="F175">INDEX(SalesData[Order_Status], ROW()-1)</f>
        <v>Delivered</v>
      </c>
      <c r="G175" s="40" t="str" cm="1">
        <f t="array" ref="G175">INDEX(SalesData[Fulfillment_Type], ROW()-1)</f>
        <v>FBM</v>
      </c>
      <c r="H175" s="40" cm="1">
        <f t="array" ref="H175">INDEX(SalesData[Units_Sold], ROW()-1)</f>
        <v>10</v>
      </c>
      <c r="I175" s="44" cm="1">
        <f t="array" ref="I175">INDEX(SalesData[Gross_Sales_INR], ROW()-1)</f>
        <v>10260</v>
      </c>
      <c r="J175" s="43" cm="1">
        <f t="array" ref="J175">INDEX(SalesData[Net_Profit_INR], ROW()-1)</f>
        <v>3766.08</v>
      </c>
      <c r="K175" s="42" cm="1">
        <f t="array" ref="K175">INDEX(SalesData[Profit_Margin_%], ROW()-1)</f>
        <v>36.700000000000003</v>
      </c>
      <c r="L175" s="46" t="str" cm="1">
        <f t="array" ref="L175">IF(INDEX(SalesData[Customer_Rating], ROW()-1)="", "—",REPT("★", INDEX(SalesData[Customer_Rating], ROW()-1)) &amp; REPT("☆", 5-INDEX(SalesData[Customer_Rating], ROW()-1)))</f>
        <v>★★★★☆</v>
      </c>
      <c r="M175" s="40" t="str" cm="1">
        <f t="array" ref="M175">IF(INDEX(SalesData[Units_Sold],ROW()-1) &lt; 5, "⚠️ Reorder", "OK")</f>
        <v>OK</v>
      </c>
      <c r="N175" s="40" t="str">
        <f t="shared" si="4"/>
        <v>Profit</v>
      </c>
      <c r="O175" s="47" t="str">
        <f>SalesData[[#This Row],[Ad_Type]]</f>
        <v>Sponsored Display</v>
      </c>
      <c r="P175" s="47" t="str">
        <f>SalesData[[#This Row],[Brand]]</f>
        <v>Cello</v>
      </c>
      <c r="Q175" s="47" t="str">
        <f>SalesData[[#This Row],[Product_Name]]</f>
        <v>Face Serum</v>
      </c>
      <c r="R175" s="47"/>
      <c r="S175" s="47"/>
      <c r="T175" s="47"/>
      <c r="U175" s="47"/>
      <c r="V175" s="47"/>
    </row>
    <row r="176" spans="1:22">
      <c r="A176" s="45" t="str">
        <f>SalesData[[#This Row],[Order_ID]]</f>
        <v>ORD-1174</v>
      </c>
      <c r="B176" s="41" cm="1">
        <f t="array" ref="B176">INDEX(SalesData[Order_Date], ROW()-1)</f>
        <v>45473</v>
      </c>
      <c r="C176" s="40" t="str" cm="1">
        <f t="array" ref="C176">INDEX(SalesData[Category], ROW()-1)</f>
        <v>Fashion</v>
      </c>
      <c r="D176" s="40" t="str" cm="1">
        <f t="array" ref="D176">INDEX(SalesData[Product_Name],ROW()-1)</f>
        <v>Casual Bag</v>
      </c>
      <c r="E176" s="40" t="str" cm="1">
        <f t="array" ref="E176">INDEX(SalesData[Customer_State],ROW()-1)</f>
        <v>Rajasthan</v>
      </c>
      <c r="F176" s="40" t="str" cm="1">
        <f t="array" ref="F176">INDEX(SalesData[Order_Status], ROW()-1)</f>
        <v>Delivered</v>
      </c>
      <c r="G176" s="40" t="str" cm="1">
        <f t="array" ref="G176">INDEX(SalesData[Fulfillment_Type], ROW()-1)</f>
        <v>FBA</v>
      </c>
      <c r="H176" s="40" cm="1">
        <f t="array" ref="H176">INDEX(SalesData[Units_Sold], ROW()-1)</f>
        <v>10</v>
      </c>
      <c r="I176" s="44" cm="1">
        <f t="array" ref="I176">INDEX(SalesData[Gross_Sales_INR], ROW()-1)</f>
        <v>22410</v>
      </c>
      <c r="J176" s="43" cm="1">
        <f t="array" ref="J176">INDEX(SalesData[Net_Profit_INR], ROW()-1)</f>
        <v>9961.7800000000007</v>
      </c>
      <c r="K176" s="42" cm="1">
        <f t="array" ref="K176">INDEX(SalesData[Profit_Margin_%], ROW()-1)</f>
        <v>44.5</v>
      </c>
      <c r="L176" s="46" t="str" cm="1">
        <f t="array" ref="L176">IF(INDEX(SalesData[Customer_Rating], ROW()-1)="", "—",REPT("★", INDEX(SalesData[Customer_Rating], ROW()-1)) &amp; REPT("☆", 5-INDEX(SalesData[Customer_Rating], ROW()-1)))</f>
        <v>★★★★☆</v>
      </c>
      <c r="M176" s="40" t="str" cm="1">
        <f t="array" ref="M176">IF(INDEX(SalesData[Units_Sold],ROW()-1) &lt; 5, "⚠️ Reorder", "OK")</f>
        <v>OK</v>
      </c>
      <c r="N176" s="40" t="str">
        <f t="shared" si="4"/>
        <v>Profit</v>
      </c>
      <c r="O176" s="47" t="str">
        <f>SalesData[[#This Row],[Ad_Type]]</f>
        <v>Sponsored Products</v>
      </c>
      <c r="P176" s="47" t="str">
        <f>SalesData[[#This Row],[Brand]]</f>
        <v>Milton</v>
      </c>
      <c r="Q176" s="47" t="str">
        <f>SalesData[[#This Row],[Product_Name]]</f>
        <v>Casual Bag</v>
      </c>
      <c r="R176" s="47"/>
      <c r="S176" s="47"/>
      <c r="T176" s="47"/>
      <c r="U176" s="47"/>
      <c r="V176" s="47"/>
    </row>
    <row r="177" spans="1:22">
      <c r="A177" s="45" t="str">
        <f>SalesData[[#This Row],[Order_ID]]</f>
        <v>ORD-1175</v>
      </c>
      <c r="B177" s="41" cm="1">
        <f t="array" ref="B177">INDEX(SalesData[Order_Date], ROW()-1)</f>
        <v>45154</v>
      </c>
      <c r="C177" s="40" t="str" cm="1">
        <f t="array" ref="C177">INDEX(SalesData[Category], ROW()-1)</f>
        <v>Fashion</v>
      </c>
      <c r="D177" s="40" t="str" cm="1">
        <f t="array" ref="D177">INDEX(SalesData[Product_Name],ROW()-1)</f>
        <v>Cap</v>
      </c>
      <c r="E177" s="40" t="str" cm="1">
        <f t="array" ref="E177">INDEX(SalesData[Customer_State],ROW()-1)</f>
        <v>Karnataka</v>
      </c>
      <c r="F177" s="40" t="str" cm="1">
        <f t="array" ref="F177">INDEX(SalesData[Order_Status], ROW()-1)</f>
        <v>In Transit</v>
      </c>
      <c r="G177" s="40" t="str" cm="1">
        <f t="array" ref="G177">INDEX(SalesData[Fulfillment_Type], ROW()-1)</f>
        <v>FBA</v>
      </c>
      <c r="H177" s="40" cm="1">
        <f t="array" ref="H177">INDEX(SalesData[Units_Sold], ROW()-1)</f>
        <v>7</v>
      </c>
      <c r="I177" s="44" cm="1">
        <f t="array" ref="I177">INDEX(SalesData[Gross_Sales_INR], ROW()-1)</f>
        <v>10332</v>
      </c>
      <c r="J177" s="43" cm="1">
        <f t="array" ref="J177">INDEX(SalesData[Net_Profit_INR], ROW()-1)</f>
        <v>4177.57</v>
      </c>
      <c r="K177" s="42" cm="1">
        <f t="array" ref="K177">INDEX(SalesData[Profit_Margin_%], ROW()-1)</f>
        <v>40.4</v>
      </c>
      <c r="L177" s="46" t="str" cm="1">
        <f t="array" ref="L177">IF(INDEX(SalesData[Customer_Rating], ROW()-1)="", "—",REPT("★", INDEX(SalesData[Customer_Rating], ROW()-1)) &amp; REPT("☆", 5-INDEX(SalesData[Customer_Rating], ROW()-1)))</f>
        <v>—</v>
      </c>
      <c r="M177" s="40" t="str" cm="1">
        <f t="array" ref="M177">IF(INDEX(SalesData[Units_Sold],ROW()-1) &lt; 5, "⚠️ Reorder", "OK")</f>
        <v>OK</v>
      </c>
      <c r="N177" s="40" t="str">
        <f t="shared" si="4"/>
        <v>Profit</v>
      </c>
      <c r="O177" s="47" t="str">
        <f>SalesData[[#This Row],[Ad_Type]]</f>
        <v>None</v>
      </c>
      <c r="P177" s="47" t="str">
        <f>SalesData[[#This Row],[Brand]]</f>
        <v>Amazon Basics</v>
      </c>
      <c r="Q177" s="47" t="str">
        <f>SalesData[[#This Row],[Product_Name]]</f>
        <v>Cap</v>
      </c>
      <c r="R177" s="47"/>
      <c r="S177" s="47"/>
      <c r="T177" s="47"/>
      <c r="U177" s="47"/>
      <c r="V177" s="47"/>
    </row>
    <row r="178" spans="1:22">
      <c r="A178" s="45" t="str">
        <f>SalesData[[#This Row],[Order_ID]]</f>
        <v>ORD-1176</v>
      </c>
      <c r="B178" s="41" cm="1">
        <f t="array" ref="B178">INDEX(SalesData[Order_Date], ROW()-1)</f>
        <v>45311</v>
      </c>
      <c r="C178" s="40" t="str" cm="1">
        <f t="array" ref="C178">INDEX(SalesData[Category], ROW()-1)</f>
        <v>Sports</v>
      </c>
      <c r="D178" s="40" t="str" cm="1">
        <f t="array" ref="D178">INDEX(SalesData[Product_Name],ROW()-1)</f>
        <v>Resistance Band</v>
      </c>
      <c r="E178" s="40" t="str" cm="1">
        <f t="array" ref="E178">INDEX(SalesData[Customer_State],ROW()-1)</f>
        <v>Rajasthan</v>
      </c>
      <c r="F178" s="40" t="str" cm="1">
        <f t="array" ref="F178">INDEX(SalesData[Order_Status], ROW()-1)</f>
        <v>Pending</v>
      </c>
      <c r="G178" s="40" t="str" cm="1">
        <f t="array" ref="G178">INDEX(SalesData[Fulfillment_Type], ROW()-1)</f>
        <v>FBM</v>
      </c>
      <c r="H178" s="40" cm="1">
        <f t="array" ref="H178">INDEX(SalesData[Units_Sold], ROW()-1)</f>
        <v>1</v>
      </c>
      <c r="I178" s="44" cm="1">
        <f t="array" ref="I178">INDEX(SalesData[Gross_Sales_INR], ROW()-1)</f>
        <v>654</v>
      </c>
      <c r="J178" s="43" cm="1">
        <f t="array" ref="J178">INDEX(SalesData[Net_Profit_INR], ROW()-1)</f>
        <v>-211.44</v>
      </c>
      <c r="K178" s="42" cm="1">
        <f t="array" ref="K178">INDEX(SalesData[Profit_Margin_%], ROW()-1)</f>
        <v>-32.299999999999997</v>
      </c>
      <c r="L178" s="46" t="str" cm="1">
        <f t="array" ref="L178">IF(INDEX(SalesData[Customer_Rating], ROW()-1)="", "—",REPT("★", INDEX(SalesData[Customer_Rating], ROW()-1)) &amp; REPT("☆", 5-INDEX(SalesData[Customer_Rating], ROW()-1)))</f>
        <v>—</v>
      </c>
      <c r="M178" s="40" t="str" cm="1">
        <f t="array" ref="M178">IF(INDEX(SalesData[Units_Sold],ROW()-1) &lt; 5, "⚠️ Reorder", "OK")</f>
        <v>⚠️ Reorder</v>
      </c>
      <c r="N178" s="40" t="str">
        <f t="shared" si="4"/>
        <v>Profit</v>
      </c>
      <c r="O178" s="47" t="str">
        <f>SalesData[[#This Row],[Ad_Type]]</f>
        <v>Sponsored Products</v>
      </c>
      <c r="P178" s="47" t="str">
        <f>SalesData[[#This Row],[Brand]]</f>
        <v>Skullcandy</v>
      </c>
      <c r="Q178" s="47" t="str">
        <f>SalesData[[#This Row],[Product_Name]]</f>
        <v>Resistance Band</v>
      </c>
      <c r="R178" s="47"/>
      <c r="S178" s="47"/>
      <c r="T178" s="47"/>
      <c r="U178" s="47"/>
      <c r="V178" s="47"/>
    </row>
    <row r="179" spans="1:22">
      <c r="A179" s="45" t="str">
        <f>SalesData[[#This Row],[Order_ID]]</f>
        <v>ORD-1177</v>
      </c>
      <c r="B179" s="41" cm="1">
        <f t="array" ref="B179">INDEX(SalesData[Order_Date], ROW()-1)</f>
        <v>45460</v>
      </c>
      <c r="C179" s="40" t="str" cm="1">
        <f t="array" ref="C179">INDEX(SalesData[Category], ROW()-1)</f>
        <v>Electronics</v>
      </c>
      <c r="D179" s="40" t="str" cm="1">
        <f t="array" ref="D179">INDEX(SalesData[Product_Name],ROW()-1)</f>
        <v>Phone Case</v>
      </c>
      <c r="E179" s="40" t="str" cm="1">
        <f t="array" ref="E179">INDEX(SalesData[Customer_State],ROW()-1)</f>
        <v>Punjab</v>
      </c>
      <c r="F179" s="40" t="str" cm="1">
        <f t="array" ref="F179">INDEX(SalesData[Order_Status], ROW()-1)</f>
        <v>Pending</v>
      </c>
      <c r="G179" s="40" t="str" cm="1">
        <f t="array" ref="G179">INDEX(SalesData[Fulfillment_Type], ROW()-1)</f>
        <v>FBM</v>
      </c>
      <c r="H179" s="40" cm="1">
        <f t="array" ref="H179">INDEX(SalesData[Units_Sold], ROW()-1)</f>
        <v>4</v>
      </c>
      <c r="I179" s="44" cm="1">
        <f t="array" ref="I179">INDEX(SalesData[Gross_Sales_INR], ROW()-1)</f>
        <v>9676</v>
      </c>
      <c r="J179" s="43" cm="1">
        <f t="array" ref="J179">INDEX(SalesData[Net_Profit_INR], ROW()-1)</f>
        <v>3648.6</v>
      </c>
      <c r="K179" s="42" cm="1">
        <f t="array" ref="K179">INDEX(SalesData[Profit_Margin_%], ROW()-1)</f>
        <v>37.700000000000003</v>
      </c>
      <c r="L179" s="46" t="str" cm="1">
        <f t="array" ref="L179">IF(INDEX(SalesData[Customer_Rating], ROW()-1)="", "—",REPT("★", INDEX(SalesData[Customer_Rating], ROW()-1)) &amp; REPT("☆", 5-INDEX(SalesData[Customer_Rating], ROW()-1)))</f>
        <v>—</v>
      </c>
      <c r="M179" s="40" t="str" cm="1">
        <f t="array" ref="M179">IF(INDEX(SalesData[Units_Sold],ROW()-1) &lt; 5, "⚠️ Reorder", "OK")</f>
        <v>⚠️ Reorder</v>
      </c>
      <c r="N179" s="40" t="str">
        <f t="shared" si="4"/>
        <v>Profit</v>
      </c>
      <c r="O179" s="47" t="str">
        <f>SalesData[[#This Row],[Ad_Type]]</f>
        <v>Sponsored Display</v>
      </c>
      <c r="P179" s="47" t="str">
        <f>SalesData[[#This Row],[Brand]]</f>
        <v>Decathlon</v>
      </c>
      <c r="Q179" s="47" t="str">
        <f>SalesData[[#This Row],[Product_Name]]</f>
        <v>Phone Case</v>
      </c>
      <c r="R179" s="47"/>
      <c r="S179" s="47"/>
      <c r="T179" s="47"/>
      <c r="U179" s="47"/>
      <c r="V179" s="47"/>
    </row>
    <row r="180" spans="1:22">
      <c r="A180" s="45" t="str">
        <f>SalesData[[#This Row],[Order_ID]]</f>
        <v>ORD-1178</v>
      </c>
      <c r="B180" s="41" cm="1">
        <f t="array" ref="B180">INDEX(SalesData[Order_Date], ROW()-1)</f>
        <v>45213</v>
      </c>
      <c r="C180" s="40" t="str" cm="1">
        <f t="array" ref="C180">INDEX(SalesData[Category], ROW()-1)</f>
        <v>Home &amp; Kitchen</v>
      </c>
      <c r="D180" s="40" t="str" cm="1">
        <f t="array" ref="D180">INDEX(SalesData[Product_Name],ROW()-1)</f>
        <v>Air Fryer</v>
      </c>
      <c r="E180" s="40" t="str" cm="1">
        <f t="array" ref="E180">INDEX(SalesData[Customer_State],ROW()-1)</f>
        <v>Telangana</v>
      </c>
      <c r="F180" s="40" t="str" cm="1">
        <f t="array" ref="F180">INDEX(SalesData[Order_Status], ROW()-1)</f>
        <v>Delivered</v>
      </c>
      <c r="G180" s="40" t="str" cm="1">
        <f t="array" ref="G180">INDEX(SalesData[Fulfillment_Type], ROW()-1)</f>
        <v>FBA</v>
      </c>
      <c r="H180" s="40" cm="1">
        <f t="array" ref="H180">INDEX(SalesData[Units_Sold], ROW()-1)</f>
        <v>4</v>
      </c>
      <c r="I180" s="44" cm="1">
        <f t="array" ref="I180">INDEX(SalesData[Gross_Sales_INR], ROW()-1)</f>
        <v>1048</v>
      </c>
      <c r="J180" s="43" cm="1">
        <f t="array" ref="J180">INDEX(SalesData[Net_Profit_INR], ROW()-1)</f>
        <v>-203.46</v>
      </c>
      <c r="K180" s="42" cm="1">
        <f t="array" ref="K180">INDEX(SalesData[Profit_Margin_%], ROW()-1)</f>
        <v>-19.399999999999999</v>
      </c>
      <c r="L180" s="46" t="str" cm="1">
        <f t="array" ref="L180">IF(INDEX(SalesData[Customer_Rating], ROW()-1)="", "—",REPT("★", INDEX(SalesData[Customer_Rating], ROW()-1)) &amp; REPT("☆", 5-INDEX(SalesData[Customer_Rating], ROW()-1)))</f>
        <v>★★★☆☆</v>
      </c>
      <c r="M180" s="40" t="str" cm="1">
        <f t="array" ref="M180">IF(INDEX(SalesData[Units_Sold],ROW()-1) &lt; 5, "⚠️ Reorder", "OK")</f>
        <v>⚠️ Reorder</v>
      </c>
      <c r="N180" s="40" t="str">
        <f t="shared" si="4"/>
        <v>Profit</v>
      </c>
      <c r="O180" s="47" t="str">
        <f>SalesData[[#This Row],[Ad_Type]]</f>
        <v>None</v>
      </c>
      <c r="P180" s="47" t="str">
        <f>SalesData[[#This Row],[Brand]]</f>
        <v>Classmate</v>
      </c>
      <c r="Q180" s="47" t="str">
        <f>SalesData[[#This Row],[Product_Name]]</f>
        <v>Air Fryer</v>
      </c>
      <c r="R180" s="47"/>
      <c r="S180" s="47"/>
      <c r="T180" s="47"/>
      <c r="U180" s="47"/>
      <c r="V180" s="47"/>
    </row>
    <row r="181" spans="1:22">
      <c r="A181" s="45" t="str">
        <f>SalesData[[#This Row],[Order_ID]]</f>
        <v>ORD-1179</v>
      </c>
      <c r="B181" s="41" cm="1">
        <f t="array" ref="B181">INDEX(SalesData[Order_Date], ROW()-1)</f>
        <v>45550</v>
      </c>
      <c r="C181" s="40" t="str" cm="1">
        <f t="array" ref="C181">INDEX(SalesData[Category], ROW()-1)</f>
        <v>Sports</v>
      </c>
      <c r="D181" s="40" t="str" cm="1">
        <f t="array" ref="D181">INDEX(SalesData[Product_Name],ROW()-1)</f>
        <v>Cycling Gloves</v>
      </c>
      <c r="E181" s="40" t="str" cm="1">
        <f t="array" ref="E181">INDEX(SalesData[Customer_State],ROW()-1)</f>
        <v>Karnataka</v>
      </c>
      <c r="F181" s="40" t="str" cm="1">
        <f t="array" ref="F181">INDEX(SalesData[Order_Status], ROW()-1)</f>
        <v>Delivered</v>
      </c>
      <c r="G181" s="40" t="str" cm="1">
        <f t="array" ref="G181">INDEX(SalesData[Fulfillment_Type], ROW()-1)</f>
        <v>FBA</v>
      </c>
      <c r="H181" s="40" cm="1">
        <f t="array" ref="H181">INDEX(SalesData[Units_Sold], ROW()-1)</f>
        <v>8</v>
      </c>
      <c r="I181" s="44" cm="1">
        <f t="array" ref="I181">INDEX(SalesData[Gross_Sales_INR], ROW()-1)</f>
        <v>17896</v>
      </c>
      <c r="J181" s="43" cm="1">
        <f t="array" ref="J181">INDEX(SalesData[Net_Profit_INR], ROW()-1)</f>
        <v>6810.86</v>
      </c>
      <c r="K181" s="42" cm="1">
        <f t="array" ref="K181">INDEX(SalesData[Profit_Margin_%], ROW()-1)</f>
        <v>38.1</v>
      </c>
      <c r="L181" s="46" t="str" cm="1">
        <f t="array" ref="L181">IF(INDEX(SalesData[Customer_Rating], ROW()-1)="", "—",REPT("★", INDEX(SalesData[Customer_Rating], ROW()-1)) &amp; REPT("☆", 5-INDEX(SalesData[Customer_Rating], ROW()-1)))</f>
        <v>★★★★☆</v>
      </c>
      <c r="M181" s="40" t="str" cm="1">
        <f t="array" ref="M181">IF(INDEX(SalesData[Units_Sold],ROW()-1) &lt; 5, "⚠️ Reorder", "OK")</f>
        <v>OK</v>
      </c>
      <c r="N181" s="40" t="str">
        <f t="shared" si="4"/>
        <v>Profit</v>
      </c>
      <c r="O181" s="47" t="str">
        <f>SalesData[[#This Row],[Ad_Type]]</f>
        <v>None</v>
      </c>
      <c r="P181" s="47" t="str">
        <f>SalesData[[#This Row],[Brand]]</f>
        <v>Generic</v>
      </c>
      <c r="Q181" s="47" t="str">
        <f>SalesData[[#This Row],[Product_Name]]</f>
        <v>Cycling Gloves</v>
      </c>
      <c r="R181" s="47"/>
      <c r="S181" s="47"/>
      <c r="T181" s="47"/>
      <c r="U181" s="47"/>
      <c r="V181" s="47"/>
    </row>
    <row r="182" spans="1:22">
      <c r="A182" s="45" t="str">
        <f>SalesData[[#This Row],[Order_ID]]</f>
        <v>ORD-1180</v>
      </c>
      <c r="B182" s="41" cm="1">
        <f t="array" ref="B182">INDEX(SalesData[Order_Date], ROW()-1)</f>
        <v>45588</v>
      </c>
      <c r="C182" s="40" t="str" cm="1">
        <f t="array" ref="C182">INDEX(SalesData[Category], ROW()-1)</f>
        <v>Office Supplies</v>
      </c>
      <c r="D182" s="40" t="str" cm="1">
        <f t="array" ref="D182">INDEX(SalesData[Product_Name],ROW()-1)</f>
        <v>Gel Pen Set</v>
      </c>
      <c r="E182" s="40" t="str" cm="1">
        <f t="array" ref="E182">INDEX(SalesData[Customer_State],ROW()-1)</f>
        <v>Madhya Pradesh</v>
      </c>
      <c r="F182" s="40" t="str" cm="1">
        <f t="array" ref="F182">INDEX(SalesData[Order_Status], ROW()-1)</f>
        <v>Delivered</v>
      </c>
      <c r="G182" s="40" t="str" cm="1">
        <f t="array" ref="G182">INDEX(SalesData[Fulfillment_Type], ROW()-1)</f>
        <v>FBM</v>
      </c>
      <c r="H182" s="40" cm="1">
        <f t="array" ref="H182">INDEX(SalesData[Units_Sold], ROW()-1)</f>
        <v>5</v>
      </c>
      <c r="I182" s="44" cm="1">
        <f t="array" ref="I182">INDEX(SalesData[Gross_Sales_INR], ROW()-1)</f>
        <v>11620</v>
      </c>
      <c r="J182" s="43" cm="1">
        <f t="array" ref="J182">INDEX(SalesData[Net_Profit_INR], ROW()-1)</f>
        <v>4061.93</v>
      </c>
      <c r="K182" s="42" cm="1">
        <f t="array" ref="K182">INDEX(SalesData[Profit_Margin_%], ROW()-1)</f>
        <v>35</v>
      </c>
      <c r="L182" s="46" t="str" cm="1">
        <f t="array" ref="L182">IF(INDEX(SalesData[Customer_Rating], ROW()-1)="", "—",REPT("★", INDEX(SalesData[Customer_Rating], ROW()-1)) &amp; REPT("☆", 5-INDEX(SalesData[Customer_Rating], ROW()-1)))</f>
        <v>★★★★★</v>
      </c>
      <c r="M182" s="40" t="str" cm="1">
        <f t="array" ref="M182">IF(INDEX(SalesData[Units_Sold],ROW()-1) &lt; 5, "⚠️ Reorder", "OK")</f>
        <v>OK</v>
      </c>
      <c r="N182" s="40" t="str">
        <f t="shared" si="4"/>
        <v>Profit</v>
      </c>
      <c r="O182" s="47" t="str">
        <f>SalesData[[#This Row],[Ad_Type]]</f>
        <v>None</v>
      </c>
      <c r="P182" s="47" t="str">
        <f>SalesData[[#This Row],[Brand]]</f>
        <v>Decathlon</v>
      </c>
      <c r="Q182" s="47" t="str">
        <f>SalesData[[#This Row],[Product_Name]]</f>
        <v>Gel Pen Set</v>
      </c>
      <c r="R182" s="47"/>
      <c r="S182" s="47"/>
      <c r="T182" s="47"/>
      <c r="U182" s="47"/>
      <c r="V182" s="47"/>
    </row>
    <row r="183" spans="1:22">
      <c r="A183" s="45" t="str">
        <f>SalesData[[#This Row],[Order_ID]]</f>
        <v>ORD-1181</v>
      </c>
      <c r="B183" s="41" cm="1">
        <f t="array" ref="B183">INDEX(SalesData[Order_Date], ROW()-1)</f>
        <v>45437</v>
      </c>
      <c r="C183" s="40" t="str" cm="1">
        <f t="array" ref="C183">INDEX(SalesData[Category], ROW()-1)</f>
        <v>Fashion</v>
      </c>
      <c r="D183" s="40" t="str" cm="1">
        <f t="array" ref="D183">INDEX(SalesData[Product_Name],ROW()-1)</f>
        <v>Sports Shoes</v>
      </c>
      <c r="E183" s="40" t="str" cm="1">
        <f t="array" ref="E183">INDEX(SalesData[Customer_State],ROW()-1)</f>
        <v>Karnataka</v>
      </c>
      <c r="F183" s="40" t="str" cm="1">
        <f t="array" ref="F183">INDEX(SalesData[Order_Status], ROW()-1)</f>
        <v>Pending</v>
      </c>
      <c r="G183" s="40" t="str" cm="1">
        <f t="array" ref="G183">INDEX(SalesData[Fulfillment_Type], ROW()-1)</f>
        <v>FBA</v>
      </c>
      <c r="H183" s="40" cm="1">
        <f t="array" ref="H183">INDEX(SalesData[Units_Sold], ROW()-1)</f>
        <v>1</v>
      </c>
      <c r="I183" s="44" cm="1">
        <f t="array" ref="I183">INDEX(SalesData[Gross_Sales_INR], ROW()-1)</f>
        <v>3142</v>
      </c>
      <c r="J183" s="43" cm="1">
        <f t="array" ref="J183">INDEX(SalesData[Net_Profit_INR], ROW()-1)</f>
        <v>1581.37</v>
      </c>
      <c r="K183" s="42" cm="1">
        <f t="array" ref="K183">INDEX(SalesData[Profit_Margin_%], ROW()-1)</f>
        <v>50.3</v>
      </c>
      <c r="L183" s="46" t="str" cm="1">
        <f t="array" ref="L183">IF(INDEX(SalesData[Customer_Rating], ROW()-1)="", "—",REPT("★", INDEX(SalesData[Customer_Rating], ROW()-1)) &amp; REPT("☆", 5-INDEX(SalesData[Customer_Rating], ROW()-1)))</f>
        <v>—</v>
      </c>
      <c r="M183" s="40" t="str" cm="1">
        <f t="array" ref="M183">IF(INDEX(SalesData[Units_Sold],ROW()-1) &lt; 5, "⚠️ Reorder", "OK")</f>
        <v>⚠️ Reorder</v>
      </c>
      <c r="N183" s="40" t="str">
        <f t="shared" si="4"/>
        <v>Profit</v>
      </c>
      <c r="O183" s="47" t="str">
        <f>SalesData[[#This Row],[Ad_Type]]</f>
        <v>None</v>
      </c>
      <c r="P183" s="47" t="str">
        <f>SalesData[[#This Row],[Brand]]</f>
        <v>Skullcandy</v>
      </c>
      <c r="Q183" s="47" t="str">
        <f>SalesData[[#This Row],[Product_Name]]</f>
        <v>Sports Shoes</v>
      </c>
      <c r="R183" s="47"/>
      <c r="S183" s="47"/>
      <c r="T183" s="47"/>
      <c r="U183" s="47"/>
      <c r="V183" s="47"/>
    </row>
    <row r="184" spans="1:22">
      <c r="A184" s="45" t="str">
        <f>SalesData[[#This Row],[Order_ID]]</f>
        <v>ORD-1182</v>
      </c>
      <c r="B184" s="41" cm="1">
        <f t="array" ref="B184">INDEX(SalesData[Order_Date], ROW()-1)</f>
        <v>45509</v>
      </c>
      <c r="C184" s="40" t="str" cm="1">
        <f t="array" ref="C184">INDEX(SalesData[Category], ROW()-1)</f>
        <v>Fashion</v>
      </c>
      <c r="D184" s="40" t="str" cm="1">
        <f t="array" ref="D184">INDEX(SalesData[Product_Name],ROW()-1)</f>
        <v>Wallet</v>
      </c>
      <c r="E184" s="40" t="str" cm="1">
        <f t="array" ref="E184">INDEX(SalesData[Customer_State],ROW()-1)</f>
        <v>Punjab</v>
      </c>
      <c r="F184" s="40" t="str" cm="1">
        <f t="array" ref="F184">INDEX(SalesData[Order_Status], ROW()-1)</f>
        <v>Delivered</v>
      </c>
      <c r="G184" s="40" t="str" cm="1">
        <f t="array" ref="G184">INDEX(SalesData[Fulfillment_Type], ROW()-1)</f>
        <v>FBM</v>
      </c>
      <c r="H184" s="40" cm="1">
        <f t="array" ref="H184">INDEX(SalesData[Units_Sold], ROW()-1)</f>
        <v>8</v>
      </c>
      <c r="I184" s="44" cm="1">
        <f t="array" ref="I184">INDEX(SalesData[Gross_Sales_INR], ROW()-1)</f>
        <v>32488</v>
      </c>
      <c r="J184" s="43" cm="1">
        <f t="array" ref="J184">INDEX(SalesData[Net_Profit_INR], ROW()-1)</f>
        <v>12000.63</v>
      </c>
      <c r="K184" s="42" cm="1">
        <f t="array" ref="K184">INDEX(SalesData[Profit_Margin_%], ROW()-1)</f>
        <v>36.9</v>
      </c>
      <c r="L184" s="46" t="str" cm="1">
        <f t="array" ref="L184">IF(INDEX(SalesData[Customer_Rating], ROW()-1)="", "—",REPT("★", INDEX(SalesData[Customer_Rating], ROW()-1)) &amp; REPT("☆", 5-INDEX(SalesData[Customer_Rating], ROW()-1)))</f>
        <v>★★★★★</v>
      </c>
      <c r="M184" s="40" t="str" cm="1">
        <f t="array" ref="M184">IF(INDEX(SalesData[Units_Sold],ROW()-1) &lt; 5, "⚠️ Reorder", "OK")</f>
        <v>OK</v>
      </c>
      <c r="N184" s="40" t="str">
        <f t="shared" si="4"/>
        <v>Profit</v>
      </c>
      <c r="O184" s="47" t="str">
        <f>SalesData[[#This Row],[Ad_Type]]</f>
        <v>None</v>
      </c>
      <c r="P184" s="47" t="str">
        <f>SalesData[[#This Row],[Brand]]</f>
        <v>Classmate</v>
      </c>
      <c r="Q184" s="47" t="str">
        <f>SalesData[[#This Row],[Product_Name]]</f>
        <v>Wallet</v>
      </c>
      <c r="R184" s="47"/>
      <c r="S184" s="47"/>
      <c r="T184" s="47"/>
      <c r="U184" s="47"/>
      <c r="V184" s="47"/>
    </row>
    <row r="185" spans="1:22">
      <c r="A185" s="45" t="str">
        <f>SalesData[[#This Row],[Order_ID]]</f>
        <v>ORD-1183</v>
      </c>
      <c r="B185" s="41" cm="1">
        <f t="array" ref="B185">INDEX(SalesData[Order_Date], ROW()-1)</f>
        <v>45563</v>
      </c>
      <c r="C185" s="40" t="str" cm="1">
        <f t="array" ref="C185">INDEX(SalesData[Category], ROW()-1)</f>
        <v>Beauty</v>
      </c>
      <c r="D185" s="40" t="str" cm="1">
        <f t="array" ref="D185">INDEX(SalesData[Product_Name],ROW()-1)</f>
        <v>Body Lotion</v>
      </c>
      <c r="E185" s="40" t="str" cm="1">
        <f t="array" ref="E185">INDEX(SalesData[Customer_State],ROW()-1)</f>
        <v>West Bengal</v>
      </c>
      <c r="F185" s="40" t="str" cm="1">
        <f t="array" ref="F185">INDEX(SalesData[Order_Status], ROW()-1)</f>
        <v>Delivered</v>
      </c>
      <c r="G185" s="40" t="str" cm="1">
        <f t="array" ref="G185">INDEX(SalesData[Fulfillment_Type], ROW()-1)</f>
        <v>FBA</v>
      </c>
      <c r="H185" s="40" cm="1">
        <f t="array" ref="H185">INDEX(SalesData[Units_Sold], ROW()-1)</f>
        <v>4</v>
      </c>
      <c r="I185" s="44" cm="1">
        <f t="array" ref="I185">INDEX(SalesData[Gross_Sales_INR], ROW()-1)</f>
        <v>9184</v>
      </c>
      <c r="J185" s="43" cm="1">
        <f t="array" ref="J185">INDEX(SalesData[Net_Profit_INR], ROW()-1)</f>
        <v>3373.65</v>
      </c>
      <c r="K185" s="42" cm="1">
        <f t="array" ref="K185">INDEX(SalesData[Profit_Margin_%], ROW()-1)</f>
        <v>36.700000000000003</v>
      </c>
      <c r="L185" s="46" t="str" cm="1">
        <f t="array" ref="L185">IF(INDEX(SalesData[Customer_Rating], ROW()-1)="", "—",REPT("★", INDEX(SalesData[Customer_Rating], ROW()-1)) &amp; REPT("☆", 5-INDEX(SalesData[Customer_Rating], ROW()-1)))</f>
        <v>★★★☆☆</v>
      </c>
      <c r="M185" s="40" t="str" cm="1">
        <f t="array" ref="M185">IF(INDEX(SalesData[Units_Sold],ROW()-1) &lt; 5, "⚠️ Reorder", "OK")</f>
        <v>⚠️ Reorder</v>
      </c>
      <c r="N185" s="40" t="str">
        <f t="shared" si="4"/>
        <v>Profit</v>
      </c>
      <c r="O185" s="47" t="str">
        <f>SalesData[[#This Row],[Ad_Type]]</f>
        <v>Sponsored Brands</v>
      </c>
      <c r="P185" s="47" t="str">
        <f>SalesData[[#This Row],[Brand]]</f>
        <v>Noise</v>
      </c>
      <c r="Q185" s="47" t="str">
        <f>SalesData[[#This Row],[Product_Name]]</f>
        <v>Body Lotion</v>
      </c>
      <c r="R185" s="47"/>
      <c r="S185" s="47"/>
      <c r="T185" s="47"/>
      <c r="U185" s="47"/>
      <c r="V185" s="47"/>
    </row>
    <row r="186" spans="1:22">
      <c r="A186" s="45" t="str">
        <f>SalesData[[#This Row],[Order_ID]]</f>
        <v>ORD-1184</v>
      </c>
      <c r="B186" s="41" cm="1">
        <f t="array" ref="B186">INDEX(SalesData[Order_Date], ROW()-1)</f>
        <v>45063</v>
      </c>
      <c r="C186" s="40" t="str" cm="1">
        <f t="array" ref="C186">INDEX(SalesData[Category], ROW()-1)</f>
        <v>Beauty</v>
      </c>
      <c r="D186" s="40" t="str" cm="1">
        <f t="array" ref="D186">INDEX(SalesData[Product_Name],ROW()-1)</f>
        <v>Lip Balm</v>
      </c>
      <c r="E186" s="40" t="str" cm="1">
        <f t="array" ref="E186">INDEX(SalesData[Customer_State],ROW()-1)</f>
        <v>Maharashtra</v>
      </c>
      <c r="F186" s="40" t="str" cm="1">
        <f t="array" ref="F186">INDEX(SalesData[Order_Status], ROW()-1)</f>
        <v>Delivered</v>
      </c>
      <c r="G186" s="40" t="str" cm="1">
        <f t="array" ref="G186">INDEX(SalesData[Fulfillment_Type], ROW()-1)</f>
        <v>FBM</v>
      </c>
      <c r="H186" s="40" cm="1">
        <f t="array" ref="H186">INDEX(SalesData[Units_Sold], ROW()-1)</f>
        <v>5</v>
      </c>
      <c r="I186" s="44" cm="1">
        <f t="array" ref="I186">INDEX(SalesData[Gross_Sales_INR], ROW()-1)</f>
        <v>7005</v>
      </c>
      <c r="J186" s="43" cm="1">
        <f t="array" ref="J186">INDEX(SalesData[Net_Profit_INR], ROW()-1)</f>
        <v>2949.26</v>
      </c>
      <c r="K186" s="42" cm="1">
        <f t="array" ref="K186">INDEX(SalesData[Profit_Margin_%], ROW()-1)</f>
        <v>42.1</v>
      </c>
      <c r="L186" s="46" t="str" cm="1">
        <f t="array" ref="L186">IF(INDEX(SalesData[Customer_Rating], ROW()-1)="", "—",REPT("★", INDEX(SalesData[Customer_Rating], ROW()-1)) &amp; REPT("☆", 5-INDEX(SalesData[Customer_Rating], ROW()-1)))</f>
        <v>★☆☆☆☆</v>
      </c>
      <c r="M186" s="40" t="str" cm="1">
        <f t="array" ref="M186">IF(INDEX(SalesData[Units_Sold],ROW()-1) &lt; 5, "⚠️ Reorder", "OK")</f>
        <v>OK</v>
      </c>
      <c r="N186" s="40" t="str">
        <f t="shared" si="4"/>
        <v>Profit</v>
      </c>
      <c r="O186" s="47" t="str">
        <f>SalesData[[#This Row],[Ad_Type]]</f>
        <v>Sponsored Display</v>
      </c>
      <c r="P186" s="47" t="str">
        <f>SalesData[[#This Row],[Brand]]</f>
        <v>Generic</v>
      </c>
      <c r="Q186" s="47" t="str">
        <f>SalesData[[#This Row],[Product_Name]]</f>
        <v>Lip Balm</v>
      </c>
      <c r="R186" s="47"/>
      <c r="S186" s="47"/>
      <c r="T186" s="47"/>
      <c r="U186" s="47"/>
      <c r="V186" s="47"/>
    </row>
    <row r="187" spans="1:22">
      <c r="A187" s="45" t="str">
        <f>SalesData[[#This Row],[Order_ID]]</f>
        <v>ORD-1185</v>
      </c>
      <c r="B187" s="41" cm="1">
        <f t="array" ref="B187">INDEX(SalesData[Order_Date], ROW()-1)</f>
        <v>45104</v>
      </c>
      <c r="C187" s="40" t="str" cm="1">
        <f t="array" ref="C187">INDEX(SalesData[Category], ROW()-1)</f>
        <v>Sports</v>
      </c>
      <c r="D187" s="40" t="str" cm="1">
        <f t="array" ref="D187">INDEX(SalesData[Product_Name],ROW()-1)</f>
        <v>Yoga Mat</v>
      </c>
      <c r="E187" s="40" t="str" cm="1">
        <f t="array" ref="E187">INDEX(SalesData[Customer_State],ROW()-1)</f>
        <v>Karnataka</v>
      </c>
      <c r="F187" s="40" t="str" cm="1">
        <f t="array" ref="F187">INDEX(SalesData[Order_Status], ROW()-1)</f>
        <v>In Transit</v>
      </c>
      <c r="G187" s="40" t="str" cm="1">
        <f t="array" ref="G187">INDEX(SalesData[Fulfillment_Type], ROW()-1)</f>
        <v>FBM</v>
      </c>
      <c r="H187" s="40" cm="1">
        <f t="array" ref="H187">INDEX(SalesData[Units_Sold], ROW()-1)</f>
        <v>3</v>
      </c>
      <c r="I187" s="44" cm="1">
        <f t="array" ref="I187">INDEX(SalesData[Gross_Sales_INR], ROW()-1)</f>
        <v>4953</v>
      </c>
      <c r="J187" s="43" cm="1">
        <f t="array" ref="J187">INDEX(SalesData[Net_Profit_INR], ROW()-1)</f>
        <v>2396.94</v>
      </c>
      <c r="K187" s="42" cm="1">
        <f t="array" ref="K187">INDEX(SalesData[Profit_Margin_%], ROW()-1)</f>
        <v>48.4</v>
      </c>
      <c r="L187" s="46" t="str" cm="1">
        <f t="array" ref="L187">IF(INDEX(SalesData[Customer_Rating], ROW()-1)="", "—",REPT("★", INDEX(SalesData[Customer_Rating], ROW()-1)) &amp; REPT("☆", 5-INDEX(SalesData[Customer_Rating], ROW()-1)))</f>
        <v>—</v>
      </c>
      <c r="M187" s="40" t="str" cm="1">
        <f t="array" ref="M187">IF(INDEX(SalesData[Units_Sold],ROW()-1) &lt; 5, "⚠️ Reorder", "OK")</f>
        <v>⚠️ Reorder</v>
      </c>
      <c r="N187" s="40" t="str">
        <f t="shared" si="4"/>
        <v>Profit</v>
      </c>
      <c r="O187" s="47" t="str">
        <f>SalesData[[#This Row],[Ad_Type]]</f>
        <v>Sponsored Brands</v>
      </c>
      <c r="P187" s="47" t="str">
        <f>SalesData[[#This Row],[Brand]]</f>
        <v>Skullcandy</v>
      </c>
      <c r="Q187" s="47" t="str">
        <f>SalesData[[#This Row],[Product_Name]]</f>
        <v>Yoga Mat</v>
      </c>
      <c r="R187" s="47"/>
      <c r="S187" s="47"/>
      <c r="T187" s="47"/>
      <c r="U187" s="47"/>
      <c r="V187" s="47"/>
    </row>
    <row r="188" spans="1:22">
      <c r="A188" s="45" t="str">
        <f>SalesData[[#This Row],[Order_ID]]</f>
        <v>ORD-1186</v>
      </c>
      <c r="B188" s="41" cm="1">
        <f t="array" ref="B188">INDEX(SalesData[Order_Date], ROW()-1)</f>
        <v>45140</v>
      </c>
      <c r="C188" s="40" t="str" cm="1">
        <f t="array" ref="C188">INDEX(SalesData[Category], ROW()-1)</f>
        <v>Sports</v>
      </c>
      <c r="D188" s="40" t="str" cm="1">
        <f t="array" ref="D188">INDEX(SalesData[Product_Name],ROW()-1)</f>
        <v>Resistance Band</v>
      </c>
      <c r="E188" s="40" t="str" cm="1">
        <f t="array" ref="E188">INDEX(SalesData[Customer_State],ROW()-1)</f>
        <v>Gujarat</v>
      </c>
      <c r="F188" s="40" t="str" cm="1">
        <f t="array" ref="F188">INDEX(SalesData[Order_Status], ROW()-1)</f>
        <v>Delivered</v>
      </c>
      <c r="G188" s="40" t="str" cm="1">
        <f t="array" ref="G188">INDEX(SalesData[Fulfillment_Type], ROW()-1)</f>
        <v>FBA</v>
      </c>
      <c r="H188" s="40" cm="1">
        <f t="array" ref="H188">INDEX(SalesData[Units_Sold], ROW()-1)</f>
        <v>10</v>
      </c>
      <c r="I188" s="44" cm="1">
        <f t="array" ref="I188">INDEX(SalesData[Gross_Sales_INR], ROW()-1)</f>
        <v>12390</v>
      </c>
      <c r="J188" s="43" cm="1">
        <f t="array" ref="J188">INDEX(SalesData[Net_Profit_INR], ROW()-1)</f>
        <v>4633.8500000000004</v>
      </c>
      <c r="K188" s="42" cm="1">
        <f t="array" ref="K188">INDEX(SalesData[Profit_Margin_%], ROW()-1)</f>
        <v>37.4</v>
      </c>
      <c r="L188" s="46" t="str" cm="1">
        <f t="array" ref="L188">IF(INDEX(SalesData[Customer_Rating], ROW()-1)="", "—",REPT("★", INDEX(SalesData[Customer_Rating], ROW()-1)) &amp; REPT("☆", 5-INDEX(SalesData[Customer_Rating], ROW()-1)))</f>
        <v>★★★☆☆</v>
      </c>
      <c r="M188" s="40" t="str" cm="1">
        <f t="array" ref="M188">IF(INDEX(SalesData[Units_Sold],ROW()-1) &lt; 5, "⚠️ Reorder", "OK")</f>
        <v>OK</v>
      </c>
      <c r="N188" s="40" t="str">
        <f t="shared" si="4"/>
        <v>Profit</v>
      </c>
      <c r="O188" s="47" t="str">
        <f>SalesData[[#This Row],[Ad_Type]]</f>
        <v>None</v>
      </c>
      <c r="P188" s="47" t="str">
        <f>SalesData[[#This Row],[Brand]]</f>
        <v>Himalaya</v>
      </c>
      <c r="Q188" s="47" t="str">
        <f>SalesData[[#This Row],[Product_Name]]</f>
        <v>Resistance Band</v>
      </c>
      <c r="R188" s="47"/>
      <c r="S188" s="47"/>
      <c r="T188" s="47"/>
      <c r="U188" s="47"/>
      <c r="V188" s="47"/>
    </row>
    <row r="189" spans="1:22">
      <c r="A189" s="45" t="str">
        <f>SalesData[[#This Row],[Order_ID]]</f>
        <v>ORD-1187</v>
      </c>
      <c r="B189" s="41" cm="1">
        <f t="array" ref="B189">INDEX(SalesData[Order_Date], ROW()-1)</f>
        <v>45182</v>
      </c>
      <c r="C189" s="40" t="str" cm="1">
        <f t="array" ref="C189">INDEX(SalesData[Category], ROW()-1)</f>
        <v>Electronics</v>
      </c>
      <c r="D189" s="40" t="str" cm="1">
        <f t="array" ref="D189">INDEX(SalesData[Product_Name],ROW()-1)</f>
        <v>Phone Case</v>
      </c>
      <c r="E189" s="40" t="str" cm="1">
        <f t="array" ref="E189">INDEX(SalesData[Customer_State],ROW()-1)</f>
        <v>Punjab</v>
      </c>
      <c r="F189" s="40" t="str" cm="1">
        <f t="array" ref="F189">INDEX(SalesData[Order_Status], ROW()-1)</f>
        <v>In Transit</v>
      </c>
      <c r="G189" s="40" t="str" cm="1">
        <f t="array" ref="G189">INDEX(SalesData[Fulfillment_Type], ROW()-1)</f>
        <v>FBM</v>
      </c>
      <c r="H189" s="40" cm="1">
        <f t="array" ref="H189">INDEX(SalesData[Units_Sold], ROW()-1)</f>
        <v>4</v>
      </c>
      <c r="I189" s="44" cm="1">
        <f t="array" ref="I189">INDEX(SalesData[Gross_Sales_INR], ROW()-1)</f>
        <v>884</v>
      </c>
      <c r="J189" s="43" cm="1">
        <f t="array" ref="J189">INDEX(SalesData[Net_Profit_INR], ROW()-1)</f>
        <v>85.53</v>
      </c>
      <c r="K189" s="42" cm="1">
        <f t="array" ref="K189">INDEX(SalesData[Profit_Margin_%], ROW()-1)</f>
        <v>9.6999999999999993</v>
      </c>
      <c r="L189" s="46" t="str" cm="1">
        <f t="array" ref="L189">IF(INDEX(SalesData[Customer_Rating], ROW()-1)="", "—",REPT("★", INDEX(SalesData[Customer_Rating], ROW()-1)) &amp; REPT("☆", 5-INDEX(SalesData[Customer_Rating], ROW()-1)))</f>
        <v>—</v>
      </c>
      <c r="M189" s="40" t="str" cm="1">
        <f t="array" ref="M189">IF(INDEX(SalesData[Units_Sold],ROW()-1) &lt; 5, "⚠️ Reorder", "OK")</f>
        <v>⚠️ Reorder</v>
      </c>
      <c r="N189" s="40" t="str">
        <f t="shared" si="4"/>
        <v>Profit</v>
      </c>
      <c r="O189" s="47" t="str">
        <f>SalesData[[#This Row],[Ad_Type]]</f>
        <v>Sponsored Brands</v>
      </c>
      <c r="P189" s="47" t="str">
        <f>SalesData[[#This Row],[Brand]]</f>
        <v>Wildcraft</v>
      </c>
      <c r="Q189" s="47" t="str">
        <f>SalesData[[#This Row],[Product_Name]]</f>
        <v>Phone Case</v>
      </c>
      <c r="R189" s="47"/>
      <c r="S189" s="47"/>
      <c r="T189" s="47"/>
      <c r="U189" s="47"/>
      <c r="V189" s="47"/>
    </row>
    <row r="190" spans="1:22">
      <c r="A190" s="45" t="str">
        <f>SalesData[[#This Row],[Order_ID]]</f>
        <v>ORD-1188</v>
      </c>
      <c r="B190" s="41" cm="1">
        <f t="array" ref="B190">INDEX(SalesData[Order_Date], ROW()-1)</f>
        <v>45102</v>
      </c>
      <c r="C190" s="40" t="str" cm="1">
        <f t="array" ref="C190">INDEX(SalesData[Category], ROW()-1)</f>
        <v>Electronics</v>
      </c>
      <c r="D190" s="40" t="str" cm="1">
        <f t="array" ref="D190">INDEX(SalesData[Product_Name],ROW()-1)</f>
        <v>Laptop Stand</v>
      </c>
      <c r="E190" s="40" t="str" cm="1">
        <f t="array" ref="E190">INDEX(SalesData[Customer_State],ROW()-1)</f>
        <v>Karnataka</v>
      </c>
      <c r="F190" s="40" t="str" cm="1">
        <f t="array" ref="F190">INDEX(SalesData[Order_Status], ROW()-1)</f>
        <v>Cancelled</v>
      </c>
      <c r="G190" s="40" t="str" cm="1">
        <f t="array" ref="G190">INDEX(SalesData[Fulfillment_Type], ROW()-1)</f>
        <v>FBA</v>
      </c>
      <c r="H190" s="40" cm="1">
        <f t="array" ref="H190">INDEX(SalesData[Units_Sold], ROW()-1)</f>
        <v>2</v>
      </c>
      <c r="I190" s="44" cm="1">
        <f t="array" ref="I190">INDEX(SalesData[Gross_Sales_INR], ROW()-1)</f>
        <v>5786</v>
      </c>
      <c r="J190" s="43" cm="1">
        <f t="array" ref="J190">INDEX(SalesData[Net_Profit_INR], ROW()-1)</f>
        <v>2947.38</v>
      </c>
      <c r="K190" s="42" cm="1">
        <f t="array" ref="K190">INDEX(SalesData[Profit_Margin_%], ROW()-1)</f>
        <v>50.9</v>
      </c>
      <c r="L190" s="46" t="str" cm="1">
        <f t="array" ref="L190">IF(INDEX(SalesData[Customer_Rating], ROW()-1)="", "—",REPT("★", INDEX(SalesData[Customer_Rating], ROW()-1)) &amp; REPT("☆", 5-INDEX(SalesData[Customer_Rating], ROW()-1)))</f>
        <v>—</v>
      </c>
      <c r="M190" s="40" t="str" cm="1">
        <f t="array" ref="M190">IF(INDEX(SalesData[Units_Sold],ROW()-1) &lt; 5, "⚠️ Reorder", "OK")</f>
        <v>⚠️ Reorder</v>
      </c>
      <c r="N190" s="40" t="str">
        <f t="shared" si="4"/>
        <v>Profit</v>
      </c>
      <c r="O190" s="47" t="str">
        <f>SalesData[[#This Row],[Ad_Type]]</f>
        <v>Sponsored Products</v>
      </c>
      <c r="P190" s="47" t="str">
        <f>SalesData[[#This Row],[Brand]]</f>
        <v>Lakme</v>
      </c>
      <c r="Q190" s="47" t="str">
        <f>SalesData[[#This Row],[Product_Name]]</f>
        <v>Laptop Stand</v>
      </c>
      <c r="R190" s="47"/>
      <c r="S190" s="47"/>
      <c r="T190" s="47"/>
      <c r="U190" s="47"/>
      <c r="V190" s="47"/>
    </row>
    <row r="191" spans="1:22">
      <c r="A191" s="45" t="str">
        <f>SalesData[[#This Row],[Order_ID]]</f>
        <v>ORD-1189</v>
      </c>
      <c r="B191" s="41" cm="1">
        <f t="array" ref="B191">INDEX(SalesData[Order_Date], ROW()-1)</f>
        <v>45495</v>
      </c>
      <c r="C191" s="40" t="str" cm="1">
        <f t="array" ref="C191">INDEX(SalesData[Category], ROW()-1)</f>
        <v>Beauty</v>
      </c>
      <c r="D191" s="40" t="str" cm="1">
        <f t="array" ref="D191">INDEX(SalesData[Product_Name],ROW()-1)</f>
        <v>Lip Balm</v>
      </c>
      <c r="E191" s="40" t="str" cm="1">
        <f t="array" ref="E191">INDEX(SalesData[Customer_State],ROW()-1)</f>
        <v>Karnataka</v>
      </c>
      <c r="F191" s="40" t="str" cm="1">
        <f t="array" ref="F191">INDEX(SalesData[Order_Status], ROW()-1)</f>
        <v>Delivered</v>
      </c>
      <c r="G191" s="40" t="str" cm="1">
        <f t="array" ref="G191">INDEX(SalesData[Fulfillment_Type], ROW()-1)</f>
        <v>FBA</v>
      </c>
      <c r="H191" s="40" cm="1">
        <f t="array" ref="H191">INDEX(SalesData[Units_Sold], ROW()-1)</f>
        <v>10</v>
      </c>
      <c r="I191" s="44" cm="1">
        <f t="array" ref="I191">INDEX(SalesData[Gross_Sales_INR], ROW()-1)</f>
        <v>19620</v>
      </c>
      <c r="J191" s="43" cm="1">
        <f t="array" ref="J191">INDEX(SalesData[Net_Profit_INR], ROW()-1)</f>
        <v>9617.5300000000007</v>
      </c>
      <c r="K191" s="42" cm="1">
        <f t="array" ref="K191">INDEX(SalesData[Profit_Margin_%], ROW()-1)</f>
        <v>49</v>
      </c>
      <c r="L191" s="46" t="str" cm="1">
        <f t="array" ref="L191">IF(INDEX(SalesData[Customer_Rating], ROW()-1)="", "—",REPT("★", INDEX(SalesData[Customer_Rating], ROW()-1)) &amp; REPT("☆", 5-INDEX(SalesData[Customer_Rating], ROW()-1)))</f>
        <v>★★★★☆</v>
      </c>
      <c r="M191" s="40" t="str" cm="1">
        <f t="array" ref="M191">IF(INDEX(SalesData[Units_Sold],ROW()-1) &lt; 5, "⚠️ Reorder", "OK")</f>
        <v>OK</v>
      </c>
      <c r="N191" s="40" t="str">
        <f t="shared" si="4"/>
        <v>Loss</v>
      </c>
      <c r="O191" s="47" t="str">
        <f>SalesData[[#This Row],[Ad_Type]]</f>
        <v>None</v>
      </c>
      <c r="P191" s="47" t="str">
        <f>SalesData[[#This Row],[Brand]]</f>
        <v>Classmate</v>
      </c>
      <c r="Q191" s="47" t="str">
        <f>SalesData[[#This Row],[Product_Name]]</f>
        <v>Lip Balm</v>
      </c>
      <c r="R191" s="47"/>
      <c r="S191" s="47"/>
      <c r="T191" s="47"/>
      <c r="U191" s="47"/>
      <c r="V191" s="47"/>
    </row>
    <row r="192" spans="1:22">
      <c r="A192" s="45" t="str">
        <f>SalesData[[#This Row],[Order_ID]]</f>
        <v>ORD-1190</v>
      </c>
      <c r="B192" s="41" cm="1">
        <f t="array" ref="B192">INDEX(SalesData[Order_Date], ROW()-1)</f>
        <v>45053</v>
      </c>
      <c r="C192" s="40" t="str" cm="1">
        <f t="array" ref="C192">INDEX(SalesData[Category], ROW()-1)</f>
        <v>Electronics</v>
      </c>
      <c r="D192" s="40" t="str" cm="1">
        <f t="array" ref="D192">INDEX(SalesData[Product_Name],ROW()-1)</f>
        <v>Earbuds</v>
      </c>
      <c r="E192" s="40" t="str" cm="1">
        <f t="array" ref="E192">INDEX(SalesData[Customer_State],ROW()-1)</f>
        <v>Karnataka</v>
      </c>
      <c r="F192" s="40" t="str" cm="1">
        <f t="array" ref="F192">INDEX(SalesData[Order_Status], ROW()-1)</f>
        <v>Delivered</v>
      </c>
      <c r="G192" s="40" t="str" cm="1">
        <f t="array" ref="G192">INDEX(SalesData[Fulfillment_Type], ROW()-1)</f>
        <v>FBA</v>
      </c>
      <c r="H192" s="40" cm="1">
        <f t="array" ref="H192">INDEX(SalesData[Units_Sold], ROW()-1)</f>
        <v>2</v>
      </c>
      <c r="I192" s="44" cm="1">
        <f t="array" ref="I192">INDEX(SalesData[Gross_Sales_INR], ROW()-1)</f>
        <v>1840</v>
      </c>
      <c r="J192" s="43" cm="1">
        <f t="array" ref="J192">INDEX(SalesData[Net_Profit_INR], ROW()-1)</f>
        <v>505.81</v>
      </c>
      <c r="K192" s="42" cm="1">
        <f t="array" ref="K192">INDEX(SalesData[Profit_Margin_%], ROW()-1)</f>
        <v>27.5</v>
      </c>
      <c r="L192" s="46" t="str" cm="1">
        <f t="array" ref="L192">IF(INDEX(SalesData[Customer_Rating], ROW()-1)="", "—",REPT("★", INDEX(SalesData[Customer_Rating], ROW()-1)) &amp; REPT("☆", 5-INDEX(SalesData[Customer_Rating], ROW()-1)))</f>
        <v>★★★★★</v>
      </c>
      <c r="M192" s="40" t="str" cm="1">
        <f t="array" ref="M192">IF(INDEX(SalesData[Units_Sold],ROW()-1) &lt; 5, "⚠️ Reorder", "OK")</f>
        <v>⚠️ Reorder</v>
      </c>
      <c r="N192" s="40" t="str">
        <f t="shared" si="4"/>
        <v>Profit</v>
      </c>
      <c r="O192" s="47" t="str">
        <f>SalesData[[#This Row],[Ad_Type]]</f>
        <v>None</v>
      </c>
      <c r="P192" s="47" t="str">
        <f>SalesData[[#This Row],[Brand]]</f>
        <v>Noise</v>
      </c>
      <c r="Q192" s="47" t="str">
        <f>SalesData[[#This Row],[Product_Name]]</f>
        <v>Earbuds</v>
      </c>
      <c r="R192" s="47"/>
      <c r="S192" s="47"/>
      <c r="T192" s="47"/>
      <c r="U192" s="47"/>
      <c r="V192" s="47"/>
    </row>
    <row r="193" spans="1:22">
      <c r="A193" s="45" t="str">
        <f>SalesData[[#This Row],[Order_ID]]</f>
        <v>ORD-1191</v>
      </c>
      <c r="B193" s="41" cm="1">
        <f t="array" ref="B193">INDEX(SalesData[Order_Date], ROW()-1)</f>
        <v>45457</v>
      </c>
      <c r="C193" s="40" t="str" cm="1">
        <f t="array" ref="C193">INDEX(SalesData[Category], ROW()-1)</f>
        <v>Sports</v>
      </c>
      <c r="D193" s="40" t="str" cm="1">
        <f t="array" ref="D193">INDEX(SalesData[Product_Name],ROW()-1)</f>
        <v>Jump Rope</v>
      </c>
      <c r="E193" s="40" t="str" cm="1">
        <f t="array" ref="E193">INDEX(SalesData[Customer_State],ROW()-1)</f>
        <v>Tamil Nadu</v>
      </c>
      <c r="F193" s="40" t="str" cm="1">
        <f t="array" ref="F193">INDEX(SalesData[Order_Status], ROW()-1)</f>
        <v>Delivered</v>
      </c>
      <c r="G193" s="40" t="str" cm="1">
        <f t="array" ref="G193">INDEX(SalesData[Fulfillment_Type], ROW()-1)</f>
        <v>FBA</v>
      </c>
      <c r="H193" s="40" cm="1">
        <f t="array" ref="H193">INDEX(SalesData[Units_Sold], ROW()-1)</f>
        <v>7</v>
      </c>
      <c r="I193" s="44" cm="1">
        <f t="array" ref="I193">INDEX(SalesData[Gross_Sales_INR], ROW()-1)</f>
        <v>28091</v>
      </c>
      <c r="J193" s="43" cm="1">
        <f t="array" ref="J193">INDEX(SalesData[Net_Profit_INR], ROW()-1)</f>
        <v>13255.34</v>
      </c>
      <c r="K193" s="42" cm="1">
        <f t="array" ref="K193">INDEX(SalesData[Profit_Margin_%], ROW()-1)</f>
        <v>47.2</v>
      </c>
      <c r="L193" s="46" t="str" cm="1">
        <f t="array" ref="L193">IF(INDEX(SalesData[Customer_Rating], ROW()-1)="", "—",REPT("★", INDEX(SalesData[Customer_Rating], ROW()-1)) &amp; REPT("☆", 5-INDEX(SalesData[Customer_Rating], ROW()-1)))</f>
        <v>★★★★☆</v>
      </c>
      <c r="M193" s="40" t="str" cm="1">
        <f t="array" ref="M193">IF(INDEX(SalesData[Units_Sold],ROW()-1) &lt; 5, "⚠️ Reorder", "OK")</f>
        <v>OK</v>
      </c>
      <c r="N193" s="40" t="str">
        <f t="shared" si="4"/>
        <v>Profit</v>
      </c>
      <c r="O193" s="47" t="str">
        <f>SalesData[[#This Row],[Ad_Type]]</f>
        <v>Sponsored Brands</v>
      </c>
      <c r="P193" s="47" t="str">
        <f>SalesData[[#This Row],[Brand]]</f>
        <v>Prestige</v>
      </c>
      <c r="Q193" s="47" t="str">
        <f>SalesData[[#This Row],[Product_Name]]</f>
        <v>Jump Rope</v>
      </c>
      <c r="R193" s="47"/>
      <c r="S193" s="47"/>
      <c r="T193" s="47"/>
      <c r="U193" s="47"/>
      <c r="V193" s="47"/>
    </row>
    <row r="194" spans="1:22">
      <c r="A194" s="45" t="str">
        <f>SalesData[[#This Row],[Order_ID]]</f>
        <v>ORD-1192</v>
      </c>
      <c r="B194" s="41" cm="1">
        <f t="array" ref="B194">INDEX(SalesData[Order_Date], ROW()-1)</f>
        <v>44983</v>
      </c>
      <c r="C194" s="40" t="str" cm="1">
        <f t="array" ref="C194">INDEX(SalesData[Category], ROW()-1)</f>
        <v>Home &amp; Kitchen</v>
      </c>
      <c r="D194" s="40" t="str" cm="1">
        <f t="array" ref="D194">INDEX(SalesData[Product_Name],ROW()-1)</f>
        <v>Pillow Cover</v>
      </c>
      <c r="E194" s="40" t="str" cm="1">
        <f t="array" ref="E194">INDEX(SalesData[Customer_State],ROW()-1)</f>
        <v>Uttar Pradesh</v>
      </c>
      <c r="F194" s="40" t="str" cm="1">
        <f t="array" ref="F194">INDEX(SalesData[Order_Status], ROW()-1)</f>
        <v>Cancelled</v>
      </c>
      <c r="G194" s="40" t="str" cm="1">
        <f t="array" ref="G194">INDEX(SalesData[Fulfillment_Type], ROW()-1)</f>
        <v>FBA</v>
      </c>
      <c r="H194" s="40" cm="1">
        <f t="array" ref="H194">INDEX(SalesData[Units_Sold], ROW()-1)</f>
        <v>8</v>
      </c>
      <c r="I194" s="44" cm="1">
        <f t="array" ref="I194">INDEX(SalesData[Gross_Sales_INR], ROW()-1)</f>
        <v>1840</v>
      </c>
      <c r="J194" s="43" cm="1">
        <f t="array" ref="J194">INDEX(SalesData[Net_Profit_INR], ROW()-1)</f>
        <v>326.11</v>
      </c>
      <c r="K194" s="42" cm="1">
        <f t="array" ref="K194">INDEX(SalesData[Profit_Margin_%], ROW()-1)</f>
        <v>17.7</v>
      </c>
      <c r="L194" s="46" t="str" cm="1">
        <f t="array" ref="L194">IF(INDEX(SalesData[Customer_Rating], ROW()-1)="", "—",REPT("★", INDEX(SalesData[Customer_Rating], ROW()-1)) &amp; REPT("☆", 5-INDEX(SalesData[Customer_Rating], ROW()-1)))</f>
        <v>—</v>
      </c>
      <c r="M194" s="40" t="str" cm="1">
        <f t="array" ref="M194">IF(INDEX(SalesData[Units_Sold],ROW()-1) &lt; 5, "⚠️ Reorder", "OK")</f>
        <v>OK</v>
      </c>
      <c r="N194" s="40" t="str">
        <f t="shared" si="4"/>
        <v>Profit</v>
      </c>
      <c r="O194" s="47" t="str">
        <f>SalesData[[#This Row],[Ad_Type]]</f>
        <v>None</v>
      </c>
      <c r="P194" s="47" t="str">
        <f>SalesData[[#This Row],[Brand]]</f>
        <v>Himalaya</v>
      </c>
      <c r="Q194" s="47" t="str">
        <f>SalesData[[#This Row],[Product_Name]]</f>
        <v>Pillow Cover</v>
      </c>
      <c r="R194" s="47"/>
      <c r="S194" s="47"/>
      <c r="T194" s="47"/>
      <c r="U194" s="47"/>
      <c r="V194" s="47"/>
    </row>
    <row r="195" spans="1:22">
      <c r="A195" s="45" t="str">
        <f>SalesData[[#This Row],[Order_ID]]</f>
        <v>ORD-1193</v>
      </c>
      <c r="B195" s="41" cm="1">
        <f t="array" ref="B195">INDEX(SalesData[Order_Date], ROW()-1)</f>
        <v>44957</v>
      </c>
      <c r="C195" s="40" t="str" cm="1">
        <f t="array" ref="C195">INDEX(SalesData[Category], ROW()-1)</f>
        <v>Fashion</v>
      </c>
      <c r="D195" s="40" t="str" cm="1">
        <f t="array" ref="D195">INDEX(SalesData[Product_Name],ROW()-1)</f>
        <v>Men's T-Shirt</v>
      </c>
      <c r="E195" s="40" t="str" cm="1">
        <f t="array" ref="E195">INDEX(SalesData[Customer_State],ROW()-1)</f>
        <v>Tamil Nadu</v>
      </c>
      <c r="F195" s="40" t="str" cm="1">
        <f t="array" ref="F195">INDEX(SalesData[Order_Status], ROW()-1)</f>
        <v>In Transit</v>
      </c>
      <c r="G195" s="40" t="str" cm="1">
        <f t="array" ref="G195">INDEX(SalesData[Fulfillment_Type], ROW()-1)</f>
        <v>FBA</v>
      </c>
      <c r="H195" s="40" cm="1">
        <f t="array" ref="H195">INDEX(SalesData[Units_Sold], ROW()-1)</f>
        <v>2</v>
      </c>
      <c r="I195" s="44" cm="1">
        <f t="array" ref="I195">INDEX(SalesData[Gross_Sales_INR], ROW()-1)</f>
        <v>416</v>
      </c>
      <c r="J195" s="43" cm="1">
        <f t="array" ref="J195">INDEX(SalesData[Net_Profit_INR], ROW()-1)</f>
        <v>-158.66999999999999</v>
      </c>
      <c r="K195" s="42" cm="1">
        <f t="array" ref="K195">INDEX(SalesData[Profit_Margin_%], ROW()-1)</f>
        <v>-38.1</v>
      </c>
      <c r="L195" s="46" t="str" cm="1">
        <f t="array" ref="L195">IF(INDEX(SalesData[Customer_Rating], ROW()-1)="", "—",REPT("★", INDEX(SalesData[Customer_Rating], ROW()-1)) &amp; REPT("☆", 5-INDEX(SalesData[Customer_Rating], ROW()-1)))</f>
        <v>—</v>
      </c>
      <c r="M195" s="40" t="str" cm="1">
        <f t="array" ref="M195">IF(INDEX(SalesData[Units_Sold],ROW()-1) &lt; 5, "⚠️ Reorder", "OK")</f>
        <v>⚠️ Reorder</v>
      </c>
      <c r="N195" s="40" t="str">
        <f t="shared" si="4"/>
        <v>Profit</v>
      </c>
      <c r="O195" s="47" t="str">
        <f>SalesData[[#This Row],[Ad_Type]]</f>
        <v>Sponsored Products</v>
      </c>
      <c r="P195" s="47" t="str">
        <f>SalesData[[#This Row],[Brand]]</f>
        <v>Himalaya</v>
      </c>
      <c r="Q195" s="47" t="str">
        <f>SalesData[[#This Row],[Product_Name]]</f>
        <v>Men's T-Shirt</v>
      </c>
      <c r="R195" s="47"/>
      <c r="S195" s="47"/>
      <c r="T195" s="47"/>
      <c r="U195" s="47"/>
      <c r="V195" s="47"/>
    </row>
    <row r="196" spans="1:22">
      <c r="A196" s="45" t="str">
        <f>SalesData[[#This Row],[Order_ID]]</f>
        <v>ORD-1194</v>
      </c>
      <c r="B196" s="41" cm="1">
        <f t="array" ref="B196">INDEX(SalesData[Order_Date], ROW()-1)</f>
        <v>45639</v>
      </c>
      <c r="C196" s="40" t="str" cm="1">
        <f t="array" ref="C196">INDEX(SalesData[Category], ROW()-1)</f>
        <v>Office Supplies</v>
      </c>
      <c r="D196" s="40" t="str" cm="1">
        <f t="array" ref="D196">INDEX(SalesData[Product_Name],ROW()-1)</f>
        <v>Stapler</v>
      </c>
      <c r="E196" s="40" t="str" cm="1">
        <f t="array" ref="E196">INDEX(SalesData[Customer_State],ROW()-1)</f>
        <v>Delhi</v>
      </c>
      <c r="F196" s="40" t="str" cm="1">
        <f t="array" ref="F196">INDEX(SalesData[Order_Status], ROW()-1)</f>
        <v>Returned</v>
      </c>
      <c r="G196" s="40" t="str" cm="1">
        <f t="array" ref="G196">INDEX(SalesData[Fulfillment_Type], ROW()-1)</f>
        <v>FBA</v>
      </c>
      <c r="H196" s="40" cm="1">
        <f t="array" ref="H196">INDEX(SalesData[Units_Sold], ROW()-1)</f>
        <v>10</v>
      </c>
      <c r="I196" s="44" cm="1">
        <f t="array" ref="I196">INDEX(SalesData[Gross_Sales_INR], ROW()-1)</f>
        <v>10510</v>
      </c>
      <c r="J196" s="43" cm="1">
        <f t="array" ref="J196">INDEX(SalesData[Net_Profit_INR], ROW()-1)</f>
        <v>-3138.07</v>
      </c>
      <c r="K196" s="42" cm="1">
        <f t="array" ref="K196">INDEX(SalesData[Profit_Margin_%], ROW()-1)</f>
        <v>-74.599999999999994</v>
      </c>
      <c r="L196" s="46" t="str" cm="1">
        <f t="array" ref="L196">IF(INDEX(SalesData[Customer_Rating], ROW()-1)="", "—",REPT("★", INDEX(SalesData[Customer_Rating], ROW()-1)) &amp; REPT("☆", 5-INDEX(SalesData[Customer_Rating], ROW()-1)))</f>
        <v>—</v>
      </c>
      <c r="M196" s="40" t="str" cm="1">
        <f t="array" ref="M196">IF(INDEX(SalesData[Units_Sold],ROW()-1) &lt; 5, "⚠️ Reorder", "OK")</f>
        <v>OK</v>
      </c>
      <c r="N196" s="40" t="str">
        <f t="shared" si="4"/>
        <v>Profit</v>
      </c>
      <c r="O196" s="47" t="str">
        <f>SalesData[[#This Row],[Ad_Type]]</f>
        <v>Sponsored Display</v>
      </c>
      <c r="P196" s="47" t="str">
        <f>SalesData[[#This Row],[Brand]]</f>
        <v>Decathlon</v>
      </c>
      <c r="Q196" s="47" t="str">
        <f>SalesData[[#This Row],[Product_Name]]</f>
        <v>Stapler</v>
      </c>
      <c r="R196" s="47"/>
      <c r="S196" s="47"/>
      <c r="T196" s="47"/>
      <c r="U196" s="47"/>
      <c r="V196" s="47"/>
    </row>
    <row r="197" spans="1:22">
      <c r="A197" s="45" t="str">
        <f>SalesData[[#This Row],[Order_ID]]</f>
        <v>ORD-1195</v>
      </c>
      <c r="B197" s="41" cm="1">
        <f t="array" ref="B197">INDEX(SalesData[Order_Date], ROW()-1)</f>
        <v>45465</v>
      </c>
      <c r="C197" s="40" t="str" cm="1">
        <f t="array" ref="C197">INDEX(SalesData[Category], ROW()-1)</f>
        <v>Electronics</v>
      </c>
      <c r="D197" s="40" t="str" cm="1">
        <f t="array" ref="D197">INDEX(SalesData[Product_Name],ROW()-1)</f>
        <v>Smart Watch</v>
      </c>
      <c r="E197" s="40" t="str" cm="1">
        <f t="array" ref="E197">INDEX(SalesData[Customer_State],ROW()-1)</f>
        <v>Bihar</v>
      </c>
      <c r="F197" s="40" t="str" cm="1">
        <f t="array" ref="F197">INDEX(SalesData[Order_Status], ROW()-1)</f>
        <v>Delivered</v>
      </c>
      <c r="G197" s="40" t="str" cm="1">
        <f t="array" ref="G197">INDEX(SalesData[Fulfillment_Type], ROW()-1)</f>
        <v>FBA</v>
      </c>
      <c r="H197" s="40" cm="1">
        <f t="array" ref="H197">INDEX(SalesData[Units_Sold], ROW()-1)</f>
        <v>9</v>
      </c>
      <c r="I197" s="44" cm="1">
        <f t="array" ref="I197">INDEX(SalesData[Gross_Sales_INR], ROW()-1)</f>
        <v>35838</v>
      </c>
      <c r="J197" s="43" cm="1">
        <f t="array" ref="J197">INDEX(SalesData[Net_Profit_INR], ROW()-1)</f>
        <v>12847.49</v>
      </c>
      <c r="K197" s="42" cm="1">
        <f t="array" ref="K197">INDEX(SalesData[Profit_Margin_%], ROW()-1)</f>
        <v>35.799999999999997</v>
      </c>
      <c r="L197" s="46" t="str" cm="1">
        <f t="array" ref="L197">IF(INDEX(SalesData[Customer_Rating], ROW()-1)="", "—",REPT("★", INDEX(SalesData[Customer_Rating], ROW()-1)) &amp; REPT("☆", 5-INDEX(SalesData[Customer_Rating], ROW()-1)))</f>
        <v>★★★☆☆</v>
      </c>
      <c r="M197" s="40" t="str" cm="1">
        <f t="array" ref="M197">IF(INDEX(SalesData[Units_Sold],ROW()-1) &lt; 5, "⚠️ Reorder", "OK")</f>
        <v>OK</v>
      </c>
      <c r="N197" s="40" t="str">
        <f t="shared" si="4"/>
        <v>Profit</v>
      </c>
      <c r="O197" s="47" t="str">
        <f>SalesData[[#This Row],[Ad_Type]]</f>
        <v>None</v>
      </c>
      <c r="P197" s="47" t="str">
        <f>SalesData[[#This Row],[Brand]]</f>
        <v>Mamaearth</v>
      </c>
      <c r="Q197" s="47" t="str">
        <f>SalesData[[#This Row],[Product_Name]]</f>
        <v>Smart Watch</v>
      </c>
      <c r="R197" s="47"/>
      <c r="S197" s="47"/>
      <c r="T197" s="47"/>
      <c r="U197" s="47"/>
      <c r="V197" s="47"/>
    </row>
    <row r="198" spans="1:22">
      <c r="A198" s="45" t="str">
        <f>SalesData[[#This Row],[Order_ID]]</f>
        <v>ORD-1196</v>
      </c>
      <c r="B198" s="41" cm="1">
        <f t="array" ref="B198">INDEX(SalesData[Order_Date], ROW()-1)</f>
        <v>45072</v>
      </c>
      <c r="C198" s="40" t="str" cm="1">
        <f t="array" ref="C198">INDEX(SalesData[Category], ROW()-1)</f>
        <v>Fashion</v>
      </c>
      <c r="D198" s="40" t="str" cm="1">
        <f t="array" ref="D198">INDEX(SalesData[Product_Name],ROW()-1)</f>
        <v>Sports Shoes</v>
      </c>
      <c r="E198" s="40" t="str" cm="1">
        <f t="array" ref="E198">INDEX(SalesData[Customer_State],ROW()-1)</f>
        <v>Delhi</v>
      </c>
      <c r="F198" s="40" t="str" cm="1">
        <f t="array" ref="F198">INDEX(SalesData[Order_Status], ROW()-1)</f>
        <v>Delivered</v>
      </c>
      <c r="G198" s="40" t="str" cm="1">
        <f t="array" ref="G198">INDEX(SalesData[Fulfillment_Type], ROW()-1)</f>
        <v>FBM</v>
      </c>
      <c r="H198" s="40" cm="1">
        <f t="array" ref="H198">INDEX(SalesData[Units_Sold], ROW()-1)</f>
        <v>8</v>
      </c>
      <c r="I198" s="44" cm="1">
        <f t="array" ref="I198">INDEX(SalesData[Gross_Sales_INR], ROW()-1)</f>
        <v>8544</v>
      </c>
      <c r="J198" s="43" cm="1">
        <f t="array" ref="J198">INDEX(SalesData[Net_Profit_INR], ROW()-1)</f>
        <v>3892.9</v>
      </c>
      <c r="K198" s="42" cm="1">
        <f t="array" ref="K198">INDEX(SalesData[Profit_Margin_%], ROW()-1)</f>
        <v>45.6</v>
      </c>
      <c r="L198" s="46" t="str" cm="1">
        <f t="array" ref="L198">IF(INDEX(SalesData[Customer_Rating], ROW()-1)="", "—",REPT("★", INDEX(SalesData[Customer_Rating], ROW()-1)) &amp; REPT("☆", 5-INDEX(SalesData[Customer_Rating], ROW()-1)))</f>
        <v>★★★★★</v>
      </c>
      <c r="M198" s="40" t="str" cm="1">
        <f t="array" ref="M198">IF(INDEX(SalesData[Units_Sold],ROW()-1) &lt; 5, "⚠️ Reorder", "OK")</f>
        <v>OK</v>
      </c>
      <c r="N198" s="40" t="str">
        <f t="shared" ref="N198:N261" si="5">IF(J136&gt;0, "Profit", IF(J136&lt;0, "Loss", "Breakeven"))</f>
        <v>Profit</v>
      </c>
      <c r="O198" s="47" t="str">
        <f>SalesData[[#This Row],[Ad_Type]]</f>
        <v>None</v>
      </c>
      <c r="P198" s="47" t="str">
        <f>SalesData[[#This Row],[Brand]]</f>
        <v>Noise</v>
      </c>
      <c r="Q198" s="47" t="str">
        <f>SalesData[[#This Row],[Product_Name]]</f>
        <v>Sports Shoes</v>
      </c>
      <c r="R198" s="47"/>
      <c r="S198" s="47"/>
      <c r="T198" s="47"/>
      <c r="U198" s="47"/>
      <c r="V198" s="47"/>
    </row>
    <row r="199" spans="1:22">
      <c r="A199" s="45" t="str">
        <f>SalesData[[#This Row],[Order_ID]]</f>
        <v>ORD-1197</v>
      </c>
      <c r="B199" s="41" cm="1">
        <f t="array" ref="B199">INDEX(SalesData[Order_Date], ROW()-1)</f>
        <v>45633</v>
      </c>
      <c r="C199" s="40" t="str" cm="1">
        <f t="array" ref="C199">INDEX(SalesData[Category], ROW()-1)</f>
        <v>Home &amp; Kitchen</v>
      </c>
      <c r="D199" s="40" t="str" cm="1">
        <f t="array" ref="D199">INDEX(SalesData[Product_Name],ROW()-1)</f>
        <v>Water Bottle</v>
      </c>
      <c r="E199" s="40" t="str" cm="1">
        <f t="array" ref="E199">INDEX(SalesData[Customer_State],ROW()-1)</f>
        <v>Delhi</v>
      </c>
      <c r="F199" s="40" t="str" cm="1">
        <f t="array" ref="F199">INDEX(SalesData[Order_Status], ROW()-1)</f>
        <v>Delivered</v>
      </c>
      <c r="G199" s="40" t="str" cm="1">
        <f t="array" ref="G199">INDEX(SalesData[Fulfillment_Type], ROW()-1)</f>
        <v>FBM</v>
      </c>
      <c r="H199" s="40" cm="1">
        <f t="array" ref="H199">INDEX(SalesData[Units_Sold], ROW()-1)</f>
        <v>4</v>
      </c>
      <c r="I199" s="44" cm="1">
        <f t="array" ref="I199">INDEX(SalesData[Gross_Sales_INR], ROW()-1)</f>
        <v>7292</v>
      </c>
      <c r="J199" s="43" cm="1">
        <f t="array" ref="J199">INDEX(SalesData[Net_Profit_INR], ROW()-1)</f>
        <v>3649.36</v>
      </c>
      <c r="K199" s="42" cm="1">
        <f t="array" ref="K199">INDEX(SalesData[Profit_Margin_%], ROW()-1)</f>
        <v>50</v>
      </c>
      <c r="L199" s="46" t="str" cm="1">
        <f t="array" ref="L199">IF(INDEX(SalesData[Customer_Rating], ROW()-1)="", "—",REPT("★", INDEX(SalesData[Customer_Rating], ROW()-1)) &amp; REPT("☆", 5-INDEX(SalesData[Customer_Rating], ROW()-1)))</f>
        <v>★★☆☆☆</v>
      </c>
      <c r="M199" s="40" t="str" cm="1">
        <f t="array" ref="M199">IF(INDEX(SalesData[Units_Sold],ROW()-1) &lt; 5, "⚠️ Reorder", "OK")</f>
        <v>⚠️ Reorder</v>
      </c>
      <c r="N199" s="40" t="str">
        <f t="shared" si="5"/>
        <v>Profit</v>
      </c>
      <c r="O199" s="47" t="str">
        <f>SalesData[[#This Row],[Ad_Type]]</f>
        <v>None</v>
      </c>
      <c r="P199" s="47" t="str">
        <f>SalesData[[#This Row],[Brand]]</f>
        <v>Classmate</v>
      </c>
      <c r="Q199" s="47" t="str">
        <f>SalesData[[#This Row],[Product_Name]]</f>
        <v>Water Bottle</v>
      </c>
      <c r="R199" s="47"/>
      <c r="S199" s="47"/>
      <c r="T199" s="47"/>
      <c r="U199" s="47"/>
      <c r="V199" s="47"/>
    </row>
    <row r="200" spans="1:22">
      <c r="A200" s="45" t="str">
        <f>SalesData[[#This Row],[Order_ID]]</f>
        <v>ORD-1198</v>
      </c>
      <c r="B200" s="41" cm="1">
        <f t="array" ref="B200">INDEX(SalesData[Order_Date], ROW()-1)</f>
        <v>45174</v>
      </c>
      <c r="C200" s="40" t="str" cm="1">
        <f t="array" ref="C200">INDEX(SalesData[Category], ROW()-1)</f>
        <v>Office Supplies</v>
      </c>
      <c r="D200" s="40" t="str" cm="1">
        <f t="array" ref="D200">INDEX(SalesData[Product_Name],ROW()-1)</f>
        <v>Notebook</v>
      </c>
      <c r="E200" s="40" t="str" cm="1">
        <f t="array" ref="E200">INDEX(SalesData[Customer_State],ROW()-1)</f>
        <v>Telangana</v>
      </c>
      <c r="F200" s="40" t="str" cm="1">
        <f t="array" ref="F200">INDEX(SalesData[Order_Status], ROW()-1)</f>
        <v>Delivered</v>
      </c>
      <c r="G200" s="40" t="str" cm="1">
        <f t="array" ref="G200">INDEX(SalesData[Fulfillment_Type], ROW()-1)</f>
        <v>FBA</v>
      </c>
      <c r="H200" s="40" cm="1">
        <f t="array" ref="H200">INDEX(SalesData[Units_Sold], ROW()-1)</f>
        <v>7</v>
      </c>
      <c r="I200" s="44" cm="1">
        <f t="array" ref="I200">INDEX(SalesData[Gross_Sales_INR], ROW()-1)</f>
        <v>12187</v>
      </c>
      <c r="J200" s="43" cm="1">
        <f t="array" ref="J200">INDEX(SalesData[Net_Profit_INR], ROW()-1)</f>
        <v>5509.31</v>
      </c>
      <c r="K200" s="42" cm="1">
        <f t="array" ref="K200">INDEX(SalesData[Profit_Margin_%], ROW()-1)</f>
        <v>45.2</v>
      </c>
      <c r="L200" s="46" t="str" cm="1">
        <f t="array" ref="L200">IF(INDEX(SalesData[Customer_Rating], ROW()-1)="", "—",REPT("★", INDEX(SalesData[Customer_Rating], ROW()-1)) &amp; REPT("☆", 5-INDEX(SalesData[Customer_Rating], ROW()-1)))</f>
        <v>★★★★★</v>
      </c>
      <c r="M200" s="40" t="str" cm="1">
        <f t="array" ref="M200">IF(INDEX(SalesData[Units_Sold],ROW()-1) &lt; 5, "⚠️ Reorder", "OK")</f>
        <v>OK</v>
      </c>
      <c r="N200" s="40" t="str">
        <f t="shared" si="5"/>
        <v>Profit</v>
      </c>
      <c r="O200" s="47" t="str">
        <f>SalesData[[#This Row],[Ad_Type]]</f>
        <v>None</v>
      </c>
      <c r="P200" s="47" t="str">
        <f>SalesData[[#This Row],[Brand]]</f>
        <v>BoAt</v>
      </c>
      <c r="Q200" s="47" t="str">
        <f>SalesData[[#This Row],[Product_Name]]</f>
        <v>Notebook</v>
      </c>
      <c r="R200" s="47"/>
      <c r="S200" s="47"/>
      <c r="T200" s="47"/>
      <c r="U200" s="47"/>
      <c r="V200" s="47"/>
    </row>
    <row r="201" spans="1:22">
      <c r="A201" s="45" t="str">
        <f>SalesData[[#This Row],[Order_ID]]</f>
        <v>ORD-1199</v>
      </c>
      <c r="B201" s="41" cm="1">
        <f t="array" ref="B201">INDEX(SalesData[Order_Date], ROW()-1)</f>
        <v>45356</v>
      </c>
      <c r="C201" s="40" t="str" cm="1">
        <f t="array" ref="C201">INDEX(SalesData[Category], ROW()-1)</f>
        <v>Fashion</v>
      </c>
      <c r="D201" s="40" t="str" cm="1">
        <f t="array" ref="D201">INDEX(SalesData[Product_Name],ROW()-1)</f>
        <v>Wallet</v>
      </c>
      <c r="E201" s="40" t="str" cm="1">
        <f t="array" ref="E201">INDEX(SalesData[Customer_State],ROW()-1)</f>
        <v>Delhi</v>
      </c>
      <c r="F201" s="40" t="str" cm="1">
        <f t="array" ref="F201">INDEX(SalesData[Order_Status], ROW()-1)</f>
        <v>Returned</v>
      </c>
      <c r="G201" s="40" t="str" cm="1">
        <f t="array" ref="G201">INDEX(SalesData[Fulfillment_Type], ROW()-1)</f>
        <v>FBA</v>
      </c>
      <c r="H201" s="40" cm="1">
        <f t="array" ref="H201">INDEX(SalesData[Units_Sold], ROW()-1)</f>
        <v>7</v>
      </c>
      <c r="I201" s="44" cm="1">
        <f t="array" ref="I201">INDEX(SalesData[Gross_Sales_INR], ROW()-1)</f>
        <v>9520</v>
      </c>
      <c r="J201" s="43" cm="1">
        <f t="array" ref="J201">INDEX(SalesData[Net_Profit_INR], ROW()-1)</f>
        <v>-1434.15</v>
      </c>
      <c r="K201" s="42" cm="1">
        <f t="array" ref="K201">INDEX(SalesData[Profit_Margin_%], ROW()-1)</f>
        <v>-35.200000000000003</v>
      </c>
      <c r="L201" s="46" t="str" cm="1">
        <f t="array" ref="L201">IF(INDEX(SalesData[Customer_Rating], ROW()-1)="", "—",REPT("★", INDEX(SalesData[Customer_Rating], ROW()-1)) &amp; REPT("☆", 5-INDEX(SalesData[Customer_Rating], ROW()-1)))</f>
        <v>—</v>
      </c>
      <c r="M201" s="40" t="str" cm="1">
        <f t="array" ref="M201">IF(INDEX(SalesData[Units_Sold],ROW()-1) &lt; 5, "⚠️ Reorder", "OK")</f>
        <v>OK</v>
      </c>
      <c r="N201" s="40" t="str">
        <f t="shared" si="5"/>
        <v>Profit</v>
      </c>
      <c r="O201" s="47" t="str">
        <f>SalesData[[#This Row],[Ad_Type]]</f>
        <v>None</v>
      </c>
      <c r="P201" s="47" t="str">
        <f>SalesData[[#This Row],[Brand]]</f>
        <v>Himalaya</v>
      </c>
      <c r="Q201" s="47" t="str">
        <f>SalesData[[#This Row],[Product_Name]]</f>
        <v>Wallet</v>
      </c>
      <c r="R201" s="47"/>
      <c r="S201" s="47"/>
      <c r="T201" s="47"/>
      <c r="U201" s="47"/>
      <c r="V201" s="47"/>
    </row>
    <row r="202" spans="1:22">
      <c r="A202" s="45" t="str">
        <f>SalesData[[#This Row],[Order_ID]]</f>
        <v>ORD-1200</v>
      </c>
      <c r="B202" s="41" cm="1">
        <f t="array" ref="B202">INDEX(SalesData[Order_Date], ROW()-1)</f>
        <v>45357</v>
      </c>
      <c r="C202" s="40" t="str" cm="1">
        <f t="array" ref="C202">INDEX(SalesData[Category], ROW()-1)</f>
        <v>Home &amp; Kitchen</v>
      </c>
      <c r="D202" s="40" t="str" cm="1">
        <f t="array" ref="D202">INDEX(SalesData[Product_Name],ROW()-1)</f>
        <v>Air Fryer</v>
      </c>
      <c r="E202" s="40" t="str" cm="1">
        <f t="array" ref="E202">INDEX(SalesData[Customer_State],ROW()-1)</f>
        <v>Karnataka</v>
      </c>
      <c r="F202" s="40" t="str" cm="1">
        <f t="array" ref="F202">INDEX(SalesData[Order_Status], ROW()-1)</f>
        <v>In Transit</v>
      </c>
      <c r="G202" s="40" t="str" cm="1">
        <f t="array" ref="G202">INDEX(SalesData[Fulfillment_Type], ROW()-1)</f>
        <v>FBA</v>
      </c>
      <c r="H202" s="40" cm="1">
        <f t="array" ref="H202">INDEX(SalesData[Units_Sold], ROW()-1)</f>
        <v>6</v>
      </c>
      <c r="I202" s="44" cm="1">
        <f t="array" ref="I202">INDEX(SalesData[Gross_Sales_INR], ROW()-1)</f>
        <v>20538</v>
      </c>
      <c r="J202" s="43" cm="1">
        <f t="array" ref="J202">INDEX(SalesData[Net_Profit_INR], ROW()-1)</f>
        <v>9887.73</v>
      </c>
      <c r="K202" s="42" cm="1">
        <f t="array" ref="K202">INDEX(SalesData[Profit_Margin_%], ROW()-1)</f>
        <v>48.1</v>
      </c>
      <c r="L202" s="46" t="str" cm="1">
        <f t="array" ref="L202">IF(INDEX(SalesData[Customer_Rating], ROW()-1)="", "—",REPT("★", INDEX(SalesData[Customer_Rating], ROW()-1)) &amp; REPT("☆", 5-INDEX(SalesData[Customer_Rating], ROW()-1)))</f>
        <v>—</v>
      </c>
      <c r="M202" s="40" t="str" cm="1">
        <f t="array" ref="M202">IF(INDEX(SalesData[Units_Sold],ROW()-1) &lt; 5, "⚠️ Reorder", "OK")</f>
        <v>OK</v>
      </c>
      <c r="N202" s="40" t="str">
        <f t="shared" si="5"/>
        <v>Profit</v>
      </c>
      <c r="O202" s="47" t="str">
        <f>SalesData[[#This Row],[Ad_Type]]</f>
        <v>None</v>
      </c>
      <c r="P202" s="47" t="str">
        <f>SalesData[[#This Row],[Brand]]</f>
        <v>Generic</v>
      </c>
      <c r="Q202" s="47" t="str">
        <f>SalesData[[#This Row],[Product_Name]]</f>
        <v>Air Fryer</v>
      </c>
      <c r="R202" s="47"/>
      <c r="S202" s="47"/>
      <c r="T202" s="47"/>
      <c r="U202" s="47"/>
      <c r="V202" s="47"/>
    </row>
    <row r="203" spans="1:22">
      <c r="A203" s="45" t="str">
        <f>SalesData[[#This Row],[Order_ID]]</f>
        <v>ORD-1201</v>
      </c>
      <c r="B203" s="41" cm="1">
        <f t="array" ref="B203">INDEX(SalesData[Order_Date], ROW()-1)</f>
        <v>45646</v>
      </c>
      <c r="C203" s="40" t="str" cm="1">
        <f t="array" ref="C203">INDEX(SalesData[Category], ROW()-1)</f>
        <v>Office Supplies</v>
      </c>
      <c r="D203" s="40" t="str" cm="1">
        <f t="array" ref="D203">INDEX(SalesData[Product_Name],ROW()-1)</f>
        <v>Notebook</v>
      </c>
      <c r="E203" s="40" t="str" cm="1">
        <f t="array" ref="E203">INDEX(SalesData[Customer_State],ROW()-1)</f>
        <v>Tamil Nadu</v>
      </c>
      <c r="F203" s="40" t="str" cm="1">
        <f t="array" ref="F203">INDEX(SalesData[Order_Status], ROW()-1)</f>
        <v>Returned</v>
      </c>
      <c r="G203" s="40" t="str" cm="1">
        <f t="array" ref="G203">INDEX(SalesData[Fulfillment_Type], ROW()-1)</f>
        <v>FBM</v>
      </c>
      <c r="H203" s="40" cm="1">
        <f t="array" ref="H203">INDEX(SalesData[Units_Sold], ROW()-1)</f>
        <v>6</v>
      </c>
      <c r="I203" s="44" cm="1">
        <f t="array" ref="I203">INDEX(SalesData[Gross_Sales_INR], ROW()-1)</f>
        <v>18354</v>
      </c>
      <c r="J203" s="43" cm="1">
        <f t="array" ref="J203">INDEX(SalesData[Net_Profit_INR], ROW()-1)</f>
        <v>-8048.8</v>
      </c>
      <c r="K203" s="42" cm="1">
        <f t="array" ref="K203">INDEX(SalesData[Profit_Margin_%], ROW()-1)</f>
        <v>-263.10000000000002</v>
      </c>
      <c r="L203" s="46" t="str" cm="1">
        <f t="array" ref="L203">IF(INDEX(SalesData[Customer_Rating], ROW()-1)="", "—",REPT("★", INDEX(SalesData[Customer_Rating], ROW()-1)) &amp; REPT("☆", 5-INDEX(SalesData[Customer_Rating], ROW()-1)))</f>
        <v>—</v>
      </c>
      <c r="M203" s="40" t="str" cm="1">
        <f t="array" ref="M203">IF(INDEX(SalesData[Units_Sold],ROW()-1) &lt; 5, "⚠️ Reorder", "OK")</f>
        <v>OK</v>
      </c>
      <c r="N203" s="40" t="str">
        <f t="shared" si="5"/>
        <v>Profit</v>
      </c>
      <c r="O203" s="47" t="str">
        <f>SalesData[[#This Row],[Ad_Type]]</f>
        <v>None</v>
      </c>
      <c r="P203" s="47" t="str">
        <f>SalesData[[#This Row],[Brand]]</f>
        <v>Wildcraft</v>
      </c>
      <c r="Q203" s="47" t="str">
        <f>SalesData[[#This Row],[Product_Name]]</f>
        <v>Notebook</v>
      </c>
      <c r="R203" s="47"/>
      <c r="S203" s="47"/>
      <c r="T203" s="47"/>
      <c r="U203" s="47"/>
      <c r="V203" s="47"/>
    </row>
    <row r="204" spans="1:22">
      <c r="A204" s="45" t="str">
        <f>SalesData[[#This Row],[Order_ID]]</f>
        <v>ORD-1202</v>
      </c>
      <c r="B204" s="41" cm="1">
        <f t="array" ref="B204">INDEX(SalesData[Order_Date], ROW()-1)</f>
        <v>45377</v>
      </c>
      <c r="C204" s="40" t="str" cm="1">
        <f t="array" ref="C204">INDEX(SalesData[Category], ROW()-1)</f>
        <v>Electronics</v>
      </c>
      <c r="D204" s="40" t="str" cm="1">
        <f t="array" ref="D204">INDEX(SalesData[Product_Name],ROW()-1)</f>
        <v>Webcam</v>
      </c>
      <c r="E204" s="40" t="str" cm="1">
        <f t="array" ref="E204">INDEX(SalesData[Customer_State],ROW()-1)</f>
        <v>Kerala</v>
      </c>
      <c r="F204" s="40" t="str" cm="1">
        <f t="array" ref="F204">INDEX(SalesData[Order_Status], ROW()-1)</f>
        <v>Cancelled</v>
      </c>
      <c r="G204" s="40" t="str" cm="1">
        <f t="array" ref="G204">INDEX(SalesData[Fulfillment_Type], ROW()-1)</f>
        <v>FBM</v>
      </c>
      <c r="H204" s="40" cm="1">
        <f t="array" ref="H204">INDEX(SalesData[Units_Sold], ROW()-1)</f>
        <v>9</v>
      </c>
      <c r="I204" s="44" cm="1">
        <f t="array" ref="I204">INDEX(SalesData[Gross_Sales_INR], ROW()-1)</f>
        <v>21915</v>
      </c>
      <c r="J204" s="43" cm="1">
        <f t="array" ref="J204">INDEX(SalesData[Net_Profit_INR], ROW()-1)</f>
        <v>6588.82</v>
      </c>
      <c r="K204" s="42" cm="1">
        <f t="array" ref="K204">INDEX(SalesData[Profit_Margin_%], ROW()-1)</f>
        <v>30.1</v>
      </c>
      <c r="L204" s="46" t="str" cm="1">
        <f t="array" ref="L204">IF(INDEX(SalesData[Customer_Rating], ROW()-1)="", "—",REPT("★", INDEX(SalesData[Customer_Rating], ROW()-1)) &amp; REPT("☆", 5-INDEX(SalesData[Customer_Rating], ROW()-1)))</f>
        <v>—</v>
      </c>
      <c r="M204" s="40" t="str" cm="1">
        <f t="array" ref="M204">IF(INDEX(SalesData[Units_Sold],ROW()-1) &lt; 5, "⚠️ Reorder", "OK")</f>
        <v>OK</v>
      </c>
      <c r="N204" s="40" t="str">
        <f t="shared" si="5"/>
        <v>Profit</v>
      </c>
      <c r="O204" s="47" t="str">
        <f>SalesData[[#This Row],[Ad_Type]]</f>
        <v>None</v>
      </c>
      <c r="P204" s="47" t="str">
        <f>SalesData[[#This Row],[Brand]]</f>
        <v>BoAt</v>
      </c>
      <c r="Q204" s="47" t="str">
        <f>SalesData[[#This Row],[Product_Name]]</f>
        <v>Webcam</v>
      </c>
      <c r="R204" s="47"/>
      <c r="S204" s="47"/>
      <c r="T204" s="47"/>
      <c r="U204" s="47"/>
      <c r="V204" s="47"/>
    </row>
    <row r="205" spans="1:22">
      <c r="A205" s="45" t="str">
        <f>SalesData[[#This Row],[Order_ID]]</f>
        <v>ORD-1203</v>
      </c>
      <c r="B205" s="41" cm="1">
        <f t="array" ref="B205">INDEX(SalesData[Order_Date], ROW()-1)</f>
        <v>45035</v>
      </c>
      <c r="C205" s="40" t="str" cm="1">
        <f t="array" ref="C205">INDEX(SalesData[Category], ROW()-1)</f>
        <v>Fashion</v>
      </c>
      <c r="D205" s="40" t="str" cm="1">
        <f t="array" ref="D205">INDEX(SalesData[Product_Name],ROW()-1)</f>
        <v>Sunglasses</v>
      </c>
      <c r="E205" s="40" t="str" cm="1">
        <f t="array" ref="E205">INDEX(SalesData[Customer_State],ROW()-1)</f>
        <v>Madhya Pradesh</v>
      </c>
      <c r="F205" s="40" t="str" cm="1">
        <f t="array" ref="F205">INDEX(SalesData[Order_Status], ROW()-1)</f>
        <v>Delivered</v>
      </c>
      <c r="G205" s="40" t="str" cm="1">
        <f t="array" ref="G205">INDEX(SalesData[Fulfillment_Type], ROW()-1)</f>
        <v>FBA</v>
      </c>
      <c r="H205" s="40" cm="1">
        <f t="array" ref="H205">INDEX(SalesData[Units_Sold], ROW()-1)</f>
        <v>3</v>
      </c>
      <c r="I205" s="44" cm="1">
        <f t="array" ref="I205">INDEX(SalesData[Gross_Sales_INR], ROW()-1)</f>
        <v>11808</v>
      </c>
      <c r="J205" s="43" cm="1">
        <f t="array" ref="J205">INDEX(SalesData[Net_Profit_INR], ROW()-1)</f>
        <v>2911.98</v>
      </c>
      <c r="K205" s="42" cm="1">
        <f t="array" ref="K205">INDEX(SalesData[Profit_Margin_%], ROW()-1)</f>
        <v>24.7</v>
      </c>
      <c r="L205" s="46" t="str" cm="1">
        <f t="array" ref="L205">IF(INDEX(SalesData[Customer_Rating], ROW()-1)="", "—",REPT("★", INDEX(SalesData[Customer_Rating], ROW()-1)) &amp; REPT("☆", 5-INDEX(SalesData[Customer_Rating], ROW()-1)))</f>
        <v>★★★☆☆</v>
      </c>
      <c r="M205" s="40" t="str" cm="1">
        <f t="array" ref="M205">IF(INDEX(SalesData[Units_Sold],ROW()-1) &lt; 5, "⚠️ Reorder", "OK")</f>
        <v>⚠️ Reorder</v>
      </c>
      <c r="N205" s="40" t="str">
        <f t="shared" si="5"/>
        <v>Profit</v>
      </c>
      <c r="O205" s="47" t="str">
        <f>SalesData[[#This Row],[Ad_Type]]</f>
        <v>Sponsored Brands</v>
      </c>
      <c r="P205" s="47" t="str">
        <f>SalesData[[#This Row],[Brand]]</f>
        <v>Generic</v>
      </c>
      <c r="Q205" s="47" t="str">
        <f>SalesData[[#This Row],[Product_Name]]</f>
        <v>Sunglasses</v>
      </c>
      <c r="R205" s="47"/>
      <c r="S205" s="47"/>
      <c r="T205" s="47"/>
      <c r="U205" s="47"/>
      <c r="V205" s="47"/>
    </row>
    <row r="206" spans="1:22">
      <c r="A206" s="45" t="str">
        <f>SalesData[[#This Row],[Order_ID]]</f>
        <v>ORD-1204</v>
      </c>
      <c r="B206" s="41" cm="1">
        <f t="array" ref="B206">INDEX(SalesData[Order_Date], ROW()-1)</f>
        <v>45459</v>
      </c>
      <c r="C206" s="40" t="str" cm="1">
        <f t="array" ref="C206">INDEX(SalesData[Category], ROW()-1)</f>
        <v>Fashion</v>
      </c>
      <c r="D206" s="40" t="str" cm="1">
        <f t="array" ref="D206">INDEX(SalesData[Product_Name],ROW()-1)</f>
        <v>Watch Strap</v>
      </c>
      <c r="E206" s="40" t="str" cm="1">
        <f t="array" ref="E206">INDEX(SalesData[Customer_State],ROW()-1)</f>
        <v>Tamil Nadu</v>
      </c>
      <c r="F206" s="40" t="str" cm="1">
        <f t="array" ref="F206">INDEX(SalesData[Order_Status], ROW()-1)</f>
        <v>Cancelled</v>
      </c>
      <c r="G206" s="40" t="str" cm="1">
        <f t="array" ref="G206">INDEX(SalesData[Fulfillment_Type], ROW()-1)</f>
        <v>FBA</v>
      </c>
      <c r="H206" s="40" cm="1">
        <f t="array" ref="H206">INDEX(SalesData[Units_Sold], ROW()-1)</f>
        <v>10</v>
      </c>
      <c r="I206" s="44" cm="1">
        <f t="array" ref="I206">INDEX(SalesData[Gross_Sales_INR], ROW()-1)</f>
        <v>16950</v>
      </c>
      <c r="J206" s="43" cm="1">
        <f t="array" ref="J206">INDEX(SalesData[Net_Profit_INR], ROW()-1)</f>
        <v>6026.53</v>
      </c>
      <c r="K206" s="42" cm="1">
        <f t="array" ref="K206">INDEX(SalesData[Profit_Margin_%], ROW()-1)</f>
        <v>35.6</v>
      </c>
      <c r="L206" s="46" t="str" cm="1">
        <f t="array" ref="L206">IF(INDEX(SalesData[Customer_Rating], ROW()-1)="", "—",REPT("★", INDEX(SalesData[Customer_Rating], ROW()-1)) &amp; REPT("☆", 5-INDEX(SalesData[Customer_Rating], ROW()-1)))</f>
        <v>—</v>
      </c>
      <c r="M206" s="40" t="str" cm="1">
        <f t="array" ref="M206">IF(INDEX(SalesData[Units_Sold],ROW()-1) &lt; 5, "⚠️ Reorder", "OK")</f>
        <v>OK</v>
      </c>
      <c r="N206" s="40" t="str">
        <f t="shared" si="5"/>
        <v>Profit</v>
      </c>
      <c r="O206" s="47" t="str">
        <f>SalesData[[#This Row],[Ad_Type]]</f>
        <v>None</v>
      </c>
      <c r="P206" s="47" t="str">
        <f>SalesData[[#This Row],[Brand]]</f>
        <v>Generic</v>
      </c>
      <c r="Q206" s="47" t="str">
        <f>SalesData[[#This Row],[Product_Name]]</f>
        <v>Watch Strap</v>
      </c>
      <c r="R206" s="47"/>
      <c r="S206" s="47"/>
      <c r="T206" s="47"/>
      <c r="U206" s="47"/>
      <c r="V206" s="47"/>
    </row>
    <row r="207" spans="1:22">
      <c r="A207" s="45" t="str">
        <f>SalesData[[#This Row],[Order_ID]]</f>
        <v>ORD-1205</v>
      </c>
      <c r="B207" s="41" cm="1">
        <f t="array" ref="B207">INDEX(SalesData[Order_Date], ROW()-1)</f>
        <v>45517</v>
      </c>
      <c r="C207" s="40" t="str" cm="1">
        <f t="array" ref="C207">INDEX(SalesData[Category], ROW()-1)</f>
        <v>Sports</v>
      </c>
      <c r="D207" s="40" t="str" cm="1">
        <f t="array" ref="D207">INDEX(SalesData[Product_Name],ROW()-1)</f>
        <v>Running Belt</v>
      </c>
      <c r="E207" s="40" t="str" cm="1">
        <f t="array" ref="E207">INDEX(SalesData[Customer_State],ROW()-1)</f>
        <v>Bihar</v>
      </c>
      <c r="F207" s="40" t="str" cm="1">
        <f t="array" ref="F207">INDEX(SalesData[Order_Status], ROW()-1)</f>
        <v>Delivered</v>
      </c>
      <c r="G207" s="40" t="str" cm="1">
        <f t="array" ref="G207">INDEX(SalesData[Fulfillment_Type], ROW()-1)</f>
        <v>FBA</v>
      </c>
      <c r="H207" s="40" cm="1">
        <f t="array" ref="H207">INDEX(SalesData[Units_Sold], ROW()-1)</f>
        <v>4</v>
      </c>
      <c r="I207" s="44" cm="1">
        <f t="array" ref="I207">INDEX(SalesData[Gross_Sales_INR], ROW()-1)</f>
        <v>3192</v>
      </c>
      <c r="J207" s="43" cm="1">
        <f t="array" ref="J207">INDEX(SalesData[Net_Profit_INR], ROW()-1)</f>
        <v>614.58000000000004</v>
      </c>
      <c r="K207" s="42" cm="1">
        <f t="array" ref="K207">INDEX(SalesData[Profit_Margin_%], ROW()-1)</f>
        <v>19.3</v>
      </c>
      <c r="L207" s="46" t="str" cm="1">
        <f t="array" ref="L207">IF(INDEX(SalesData[Customer_Rating], ROW()-1)="", "—",REPT("★", INDEX(SalesData[Customer_Rating], ROW()-1)) &amp; REPT("☆", 5-INDEX(SalesData[Customer_Rating], ROW()-1)))</f>
        <v>★★★☆☆</v>
      </c>
      <c r="M207" s="40" t="str" cm="1">
        <f t="array" ref="M207">IF(INDEX(SalesData[Units_Sold],ROW()-1) &lt; 5, "⚠️ Reorder", "OK")</f>
        <v>⚠️ Reorder</v>
      </c>
      <c r="N207" s="40" t="str">
        <f t="shared" si="5"/>
        <v>Profit</v>
      </c>
      <c r="O207" s="47" t="str">
        <f>SalesData[[#This Row],[Ad_Type]]</f>
        <v>Sponsored Display</v>
      </c>
      <c r="P207" s="47" t="str">
        <f>SalesData[[#This Row],[Brand]]</f>
        <v>Mamaearth</v>
      </c>
      <c r="Q207" s="47" t="str">
        <f>SalesData[[#This Row],[Product_Name]]</f>
        <v>Running Belt</v>
      </c>
      <c r="R207" s="47"/>
      <c r="S207" s="47"/>
      <c r="T207" s="47"/>
      <c r="U207" s="47"/>
      <c r="V207" s="47"/>
    </row>
    <row r="208" spans="1:22">
      <c r="A208" s="45" t="str">
        <f>SalesData[[#This Row],[Order_ID]]</f>
        <v>ORD-1206</v>
      </c>
      <c r="B208" s="41" cm="1">
        <f t="array" ref="B208">INDEX(SalesData[Order_Date], ROW()-1)</f>
        <v>45454</v>
      </c>
      <c r="C208" s="40" t="str" cm="1">
        <f t="array" ref="C208">INDEX(SalesData[Category], ROW()-1)</f>
        <v>Home &amp; Kitchen</v>
      </c>
      <c r="D208" s="40" t="str" cm="1">
        <f t="array" ref="D208">INDEX(SalesData[Product_Name],ROW()-1)</f>
        <v>Chopping Board</v>
      </c>
      <c r="E208" s="40" t="str" cm="1">
        <f t="array" ref="E208">INDEX(SalesData[Customer_State],ROW()-1)</f>
        <v>Madhya Pradesh</v>
      </c>
      <c r="F208" s="40" t="str" cm="1">
        <f t="array" ref="F208">INDEX(SalesData[Order_Status], ROW()-1)</f>
        <v>Delivered</v>
      </c>
      <c r="G208" s="40" t="str" cm="1">
        <f t="array" ref="G208">INDEX(SalesData[Fulfillment_Type], ROW()-1)</f>
        <v>FBA</v>
      </c>
      <c r="H208" s="40" cm="1">
        <f t="array" ref="H208">INDEX(SalesData[Units_Sold], ROW()-1)</f>
        <v>7</v>
      </c>
      <c r="I208" s="44" cm="1">
        <f t="array" ref="I208">INDEX(SalesData[Gross_Sales_INR], ROW()-1)</f>
        <v>6573</v>
      </c>
      <c r="J208" s="43" cm="1">
        <f t="array" ref="J208">INDEX(SalesData[Net_Profit_INR], ROW()-1)</f>
        <v>1332.87</v>
      </c>
      <c r="K208" s="42" cm="1">
        <f t="array" ref="K208">INDEX(SalesData[Profit_Margin_%], ROW()-1)</f>
        <v>20.3</v>
      </c>
      <c r="L208" s="46" t="str" cm="1">
        <f t="array" ref="L208">IF(INDEX(SalesData[Customer_Rating], ROW()-1)="", "—",REPT("★", INDEX(SalesData[Customer_Rating], ROW()-1)) &amp; REPT("☆", 5-INDEX(SalesData[Customer_Rating], ROW()-1)))</f>
        <v>★☆☆☆☆</v>
      </c>
      <c r="M208" s="40" t="str" cm="1">
        <f t="array" ref="M208">IF(INDEX(SalesData[Units_Sold],ROW()-1) &lt; 5, "⚠️ Reorder", "OK")</f>
        <v>OK</v>
      </c>
      <c r="N208" s="40" t="str">
        <f t="shared" si="5"/>
        <v>Profit</v>
      </c>
      <c r="O208" s="47" t="str">
        <f>SalesData[[#This Row],[Ad_Type]]</f>
        <v>None</v>
      </c>
      <c r="P208" s="47" t="str">
        <f>SalesData[[#This Row],[Brand]]</f>
        <v>Mamaearth</v>
      </c>
      <c r="Q208" s="47" t="str">
        <f>SalesData[[#This Row],[Product_Name]]</f>
        <v>Chopping Board</v>
      </c>
      <c r="R208" s="47"/>
      <c r="S208" s="47"/>
      <c r="T208" s="47"/>
      <c r="U208" s="47"/>
      <c r="V208" s="47"/>
    </row>
    <row r="209" spans="1:22">
      <c r="A209" s="45" t="str">
        <f>SalesData[[#This Row],[Order_ID]]</f>
        <v>ORD-1207</v>
      </c>
      <c r="B209" s="41" cm="1">
        <f t="array" ref="B209">INDEX(SalesData[Order_Date], ROW()-1)</f>
        <v>45021</v>
      </c>
      <c r="C209" s="40" t="str" cm="1">
        <f t="array" ref="C209">INDEX(SalesData[Category], ROW()-1)</f>
        <v>Electronics</v>
      </c>
      <c r="D209" s="40" t="str" cm="1">
        <f t="array" ref="D209">INDEX(SalesData[Product_Name],ROW()-1)</f>
        <v>Bluetooth Speaker</v>
      </c>
      <c r="E209" s="40" t="str" cm="1">
        <f t="array" ref="E209">INDEX(SalesData[Customer_State],ROW()-1)</f>
        <v>Kerala</v>
      </c>
      <c r="F209" s="40" t="str" cm="1">
        <f t="array" ref="F209">INDEX(SalesData[Order_Status], ROW()-1)</f>
        <v>Delivered</v>
      </c>
      <c r="G209" s="40" t="str" cm="1">
        <f t="array" ref="G209">INDEX(SalesData[Fulfillment_Type], ROW()-1)</f>
        <v>FBA</v>
      </c>
      <c r="H209" s="40" cm="1">
        <f t="array" ref="H209">INDEX(SalesData[Units_Sold], ROW()-1)</f>
        <v>2</v>
      </c>
      <c r="I209" s="44" cm="1">
        <f t="array" ref="I209">INDEX(SalesData[Gross_Sales_INR], ROW()-1)</f>
        <v>3064</v>
      </c>
      <c r="J209" s="43" cm="1">
        <f t="array" ref="J209">INDEX(SalesData[Net_Profit_INR], ROW()-1)</f>
        <v>921.52</v>
      </c>
      <c r="K209" s="42" cm="1">
        <f t="array" ref="K209">INDEX(SalesData[Profit_Margin_%], ROW()-1)</f>
        <v>30.1</v>
      </c>
      <c r="L209" s="46" t="str" cm="1">
        <f t="array" ref="L209">IF(INDEX(SalesData[Customer_Rating], ROW()-1)="", "—",REPT("★", INDEX(SalesData[Customer_Rating], ROW()-1)) &amp; REPT("☆", 5-INDEX(SalesData[Customer_Rating], ROW()-1)))</f>
        <v>★★★★☆</v>
      </c>
      <c r="M209" s="40" t="str" cm="1">
        <f t="array" ref="M209">IF(INDEX(SalesData[Units_Sold],ROW()-1) &lt; 5, "⚠️ Reorder", "OK")</f>
        <v>⚠️ Reorder</v>
      </c>
      <c r="N209" s="40" t="str">
        <f t="shared" si="5"/>
        <v>Profit</v>
      </c>
      <c r="O209" s="47" t="str">
        <f>SalesData[[#This Row],[Ad_Type]]</f>
        <v>None</v>
      </c>
      <c r="P209" s="47" t="str">
        <f>SalesData[[#This Row],[Brand]]</f>
        <v>Skullcandy</v>
      </c>
      <c r="Q209" s="47" t="str">
        <f>SalesData[[#This Row],[Product_Name]]</f>
        <v>Bluetooth Speaker</v>
      </c>
      <c r="R209" s="47"/>
      <c r="S209" s="47"/>
      <c r="T209" s="47"/>
      <c r="U209" s="47"/>
      <c r="V209" s="47"/>
    </row>
    <row r="210" spans="1:22">
      <c r="A210" s="45" t="str">
        <f>SalesData[[#This Row],[Order_ID]]</f>
        <v>ORD-1208</v>
      </c>
      <c r="B210" s="41" cm="1">
        <f t="array" ref="B210">INDEX(SalesData[Order_Date], ROW()-1)</f>
        <v>45149</v>
      </c>
      <c r="C210" s="40" t="str" cm="1">
        <f t="array" ref="C210">INDEX(SalesData[Category], ROW()-1)</f>
        <v>Fashion</v>
      </c>
      <c r="D210" s="40" t="str" cm="1">
        <f t="array" ref="D210">INDEX(SalesData[Product_Name],ROW()-1)</f>
        <v>Cap</v>
      </c>
      <c r="E210" s="40" t="str" cm="1">
        <f t="array" ref="E210">INDEX(SalesData[Customer_State],ROW()-1)</f>
        <v>Delhi</v>
      </c>
      <c r="F210" s="40" t="str" cm="1">
        <f t="array" ref="F210">INDEX(SalesData[Order_Status], ROW()-1)</f>
        <v>Delivered</v>
      </c>
      <c r="G210" s="40" t="str" cm="1">
        <f t="array" ref="G210">INDEX(SalesData[Fulfillment_Type], ROW()-1)</f>
        <v>FBA</v>
      </c>
      <c r="H210" s="40" cm="1">
        <f t="array" ref="H210">INDEX(SalesData[Units_Sold], ROW()-1)</f>
        <v>2</v>
      </c>
      <c r="I210" s="44" cm="1">
        <f t="array" ref="I210">INDEX(SalesData[Gross_Sales_INR], ROW()-1)</f>
        <v>3872</v>
      </c>
      <c r="J210" s="43" cm="1">
        <f t="array" ref="J210">INDEX(SalesData[Net_Profit_INR], ROW()-1)</f>
        <v>1375.96</v>
      </c>
      <c r="K210" s="42" cm="1">
        <f t="array" ref="K210">INDEX(SalesData[Profit_Margin_%], ROW()-1)</f>
        <v>35.5</v>
      </c>
      <c r="L210" s="46" t="str" cm="1">
        <f t="array" ref="L210">IF(INDEX(SalesData[Customer_Rating], ROW()-1)="", "—",REPT("★", INDEX(SalesData[Customer_Rating], ROW()-1)) &amp; REPT("☆", 5-INDEX(SalesData[Customer_Rating], ROW()-1)))</f>
        <v>★★★☆☆</v>
      </c>
      <c r="M210" s="40" t="str" cm="1">
        <f t="array" ref="M210">IF(INDEX(SalesData[Units_Sold],ROW()-1) &lt; 5, "⚠️ Reorder", "OK")</f>
        <v>⚠️ Reorder</v>
      </c>
      <c r="N210" s="40" t="str">
        <f t="shared" si="5"/>
        <v>Profit</v>
      </c>
      <c r="O210" s="47" t="str">
        <f>SalesData[[#This Row],[Ad_Type]]</f>
        <v>Sponsored Brands</v>
      </c>
      <c r="P210" s="47" t="str">
        <f>SalesData[[#This Row],[Brand]]</f>
        <v>Fastrack</v>
      </c>
      <c r="Q210" s="47" t="str">
        <f>SalesData[[#This Row],[Product_Name]]</f>
        <v>Cap</v>
      </c>
      <c r="R210" s="47"/>
      <c r="S210" s="47"/>
      <c r="T210" s="47"/>
      <c r="U210" s="47"/>
      <c r="V210" s="47"/>
    </row>
    <row r="211" spans="1:22">
      <c r="A211" s="45" t="str">
        <f>SalesData[[#This Row],[Order_ID]]</f>
        <v>ORD-1209</v>
      </c>
      <c r="B211" s="41" cm="1">
        <f t="array" ref="B211">INDEX(SalesData[Order_Date], ROW()-1)</f>
        <v>45445</v>
      </c>
      <c r="C211" s="40" t="str" cm="1">
        <f t="array" ref="C211">INDEX(SalesData[Category], ROW()-1)</f>
        <v>Office Supplies</v>
      </c>
      <c r="D211" s="40" t="str" cm="1">
        <f t="array" ref="D211">INDEX(SalesData[Product_Name],ROW()-1)</f>
        <v>Sticky Notes</v>
      </c>
      <c r="E211" s="40" t="str" cm="1">
        <f t="array" ref="E211">INDEX(SalesData[Customer_State],ROW()-1)</f>
        <v>Kerala</v>
      </c>
      <c r="F211" s="40" t="str" cm="1">
        <f t="array" ref="F211">INDEX(SalesData[Order_Status], ROW()-1)</f>
        <v>Delivered</v>
      </c>
      <c r="G211" s="40" t="str" cm="1">
        <f t="array" ref="G211">INDEX(SalesData[Fulfillment_Type], ROW()-1)</f>
        <v>FBA</v>
      </c>
      <c r="H211" s="40" cm="1">
        <f t="array" ref="H211">INDEX(SalesData[Units_Sold], ROW()-1)</f>
        <v>6</v>
      </c>
      <c r="I211" s="44" cm="1">
        <f t="array" ref="I211">INDEX(SalesData[Gross_Sales_INR], ROW()-1)</f>
        <v>2796</v>
      </c>
      <c r="J211" s="43" cm="1">
        <f t="array" ref="J211">INDEX(SalesData[Net_Profit_INR], ROW()-1)</f>
        <v>841.44</v>
      </c>
      <c r="K211" s="42" cm="1">
        <f t="array" ref="K211">INDEX(SalesData[Profit_Margin_%], ROW()-1)</f>
        <v>30.1</v>
      </c>
      <c r="L211" s="46" t="str" cm="1">
        <f t="array" ref="L211">IF(INDEX(SalesData[Customer_Rating], ROW()-1)="", "—",REPT("★", INDEX(SalesData[Customer_Rating], ROW()-1)) &amp; REPT("☆", 5-INDEX(SalesData[Customer_Rating], ROW()-1)))</f>
        <v>★★★★☆</v>
      </c>
      <c r="M211" s="40" t="str" cm="1">
        <f t="array" ref="M211">IF(INDEX(SalesData[Units_Sold],ROW()-1) &lt; 5, "⚠️ Reorder", "OK")</f>
        <v>OK</v>
      </c>
      <c r="N211" s="40" t="str">
        <f t="shared" si="5"/>
        <v>Profit</v>
      </c>
      <c r="O211" s="47" t="str">
        <f>SalesData[[#This Row],[Ad_Type]]</f>
        <v>Sponsored Brands</v>
      </c>
      <c r="P211" s="47" t="str">
        <f>SalesData[[#This Row],[Brand]]</f>
        <v>Himalaya</v>
      </c>
      <c r="Q211" s="47" t="str">
        <f>SalesData[[#This Row],[Product_Name]]</f>
        <v>Sticky Notes</v>
      </c>
      <c r="R211" s="47"/>
      <c r="S211" s="47"/>
      <c r="T211" s="47"/>
      <c r="U211" s="47"/>
      <c r="V211" s="47"/>
    </row>
    <row r="212" spans="1:22">
      <c r="A212" s="45" t="str">
        <f>SalesData[[#This Row],[Order_ID]]</f>
        <v>ORD-1210</v>
      </c>
      <c r="B212" s="41" cm="1">
        <f t="array" ref="B212">INDEX(SalesData[Order_Date], ROW()-1)</f>
        <v>45648</v>
      </c>
      <c r="C212" s="40" t="str" cm="1">
        <f t="array" ref="C212">INDEX(SalesData[Category], ROW()-1)</f>
        <v>Home &amp; Kitchen</v>
      </c>
      <c r="D212" s="40" t="str" cm="1">
        <f t="array" ref="D212">INDEX(SalesData[Product_Name],ROW()-1)</f>
        <v>Storage Box</v>
      </c>
      <c r="E212" s="40" t="str" cm="1">
        <f t="array" ref="E212">INDEX(SalesData[Customer_State],ROW()-1)</f>
        <v>Rajasthan</v>
      </c>
      <c r="F212" s="40" t="str" cm="1">
        <f t="array" ref="F212">INDEX(SalesData[Order_Status], ROW()-1)</f>
        <v>Returned</v>
      </c>
      <c r="G212" s="40" t="str" cm="1">
        <f t="array" ref="G212">INDEX(SalesData[Fulfillment_Type], ROW()-1)</f>
        <v>FBM</v>
      </c>
      <c r="H212" s="40" cm="1">
        <f t="array" ref="H212">INDEX(SalesData[Units_Sold], ROW()-1)</f>
        <v>3</v>
      </c>
      <c r="I212" s="44" cm="1">
        <f t="array" ref="I212">INDEX(SalesData[Gross_Sales_INR], ROW()-1)</f>
        <v>771</v>
      </c>
      <c r="J212" s="43" cm="1">
        <f t="array" ref="J212">INDEX(SalesData[Net_Profit_INR], ROW()-1)</f>
        <v>212.38</v>
      </c>
      <c r="K212" s="42" cm="1">
        <f t="array" ref="K212">INDEX(SalesData[Profit_Margin_%], ROW()-1)</f>
        <v>27.5</v>
      </c>
      <c r="L212" s="46" t="str" cm="1">
        <f t="array" ref="L212">IF(INDEX(SalesData[Customer_Rating], ROW()-1)="", "—",REPT("★", INDEX(SalesData[Customer_Rating], ROW()-1)) &amp; REPT("☆", 5-INDEX(SalesData[Customer_Rating], ROW()-1)))</f>
        <v>—</v>
      </c>
      <c r="M212" s="40" t="str" cm="1">
        <f t="array" ref="M212">IF(INDEX(SalesData[Units_Sold],ROW()-1) &lt; 5, "⚠️ Reorder", "OK")</f>
        <v>⚠️ Reorder</v>
      </c>
      <c r="N212" s="40" t="str">
        <f t="shared" si="5"/>
        <v>Profit</v>
      </c>
      <c r="O212" s="47" t="str">
        <f>SalesData[[#This Row],[Ad_Type]]</f>
        <v>Sponsored Products</v>
      </c>
      <c r="P212" s="47" t="str">
        <f>SalesData[[#This Row],[Brand]]</f>
        <v>Noise</v>
      </c>
      <c r="Q212" s="47" t="str">
        <f>SalesData[[#This Row],[Product_Name]]</f>
        <v>Storage Box</v>
      </c>
      <c r="R212" s="47"/>
      <c r="S212" s="47"/>
      <c r="T212" s="47"/>
      <c r="U212" s="47"/>
      <c r="V212" s="47"/>
    </row>
    <row r="213" spans="1:22">
      <c r="A213" s="45" t="str">
        <f>SalesData[[#This Row],[Order_ID]]</f>
        <v>ORD-1211</v>
      </c>
      <c r="B213" s="41" cm="1">
        <f t="array" ref="B213">INDEX(SalesData[Order_Date], ROW()-1)</f>
        <v>45098</v>
      </c>
      <c r="C213" s="40" t="str" cm="1">
        <f t="array" ref="C213">INDEX(SalesData[Category], ROW()-1)</f>
        <v>Electronics</v>
      </c>
      <c r="D213" s="40" t="str" cm="1">
        <f t="array" ref="D213">INDEX(SalesData[Product_Name],ROW()-1)</f>
        <v>USB Cable</v>
      </c>
      <c r="E213" s="40" t="str" cm="1">
        <f t="array" ref="E213">INDEX(SalesData[Customer_State],ROW()-1)</f>
        <v>Tamil Nadu</v>
      </c>
      <c r="F213" s="40" t="str" cm="1">
        <f t="array" ref="F213">INDEX(SalesData[Order_Status], ROW()-1)</f>
        <v>Pending</v>
      </c>
      <c r="G213" s="40" t="str" cm="1">
        <f t="array" ref="G213">INDEX(SalesData[Fulfillment_Type], ROW()-1)</f>
        <v>FBM</v>
      </c>
      <c r="H213" s="40" cm="1">
        <f t="array" ref="H213">INDEX(SalesData[Units_Sold], ROW()-1)</f>
        <v>5</v>
      </c>
      <c r="I213" s="44" cm="1">
        <f t="array" ref="I213">INDEX(SalesData[Gross_Sales_INR], ROW()-1)</f>
        <v>14795</v>
      </c>
      <c r="J213" s="43" cm="1">
        <f t="array" ref="J213">INDEX(SalesData[Net_Profit_INR], ROW()-1)</f>
        <v>7505.7</v>
      </c>
      <c r="K213" s="42" cm="1">
        <f t="array" ref="K213">INDEX(SalesData[Profit_Margin_%], ROW()-1)</f>
        <v>50.7</v>
      </c>
      <c r="L213" s="46" t="str" cm="1">
        <f t="array" ref="L213">IF(INDEX(SalesData[Customer_Rating], ROW()-1)="", "—",REPT("★", INDEX(SalesData[Customer_Rating], ROW()-1)) &amp; REPT("☆", 5-INDEX(SalesData[Customer_Rating], ROW()-1)))</f>
        <v>—</v>
      </c>
      <c r="M213" s="40" t="str" cm="1">
        <f t="array" ref="M213">IF(INDEX(SalesData[Units_Sold],ROW()-1) &lt; 5, "⚠️ Reorder", "OK")</f>
        <v>OK</v>
      </c>
      <c r="N213" s="40" t="str">
        <f t="shared" si="5"/>
        <v>Profit</v>
      </c>
      <c r="O213" s="47" t="str">
        <f>SalesData[[#This Row],[Ad_Type]]</f>
        <v>Sponsored Display</v>
      </c>
      <c r="P213" s="47" t="str">
        <f>SalesData[[#This Row],[Brand]]</f>
        <v>Puma</v>
      </c>
      <c r="Q213" s="47" t="str">
        <f>SalesData[[#This Row],[Product_Name]]</f>
        <v>USB Cable</v>
      </c>
      <c r="R213" s="47"/>
      <c r="S213" s="47"/>
      <c r="T213" s="47"/>
      <c r="U213" s="47"/>
      <c r="V213" s="47"/>
    </row>
    <row r="214" spans="1:22">
      <c r="A214" s="45" t="str">
        <f>SalesData[[#This Row],[Order_ID]]</f>
        <v>ORD-1212</v>
      </c>
      <c r="B214" s="41" cm="1">
        <f t="array" ref="B214">INDEX(SalesData[Order_Date], ROW()-1)</f>
        <v>45375</v>
      </c>
      <c r="C214" s="40" t="str" cm="1">
        <f t="array" ref="C214">INDEX(SalesData[Category], ROW()-1)</f>
        <v>Electronics</v>
      </c>
      <c r="D214" s="40" t="str" cm="1">
        <f t="array" ref="D214">INDEX(SalesData[Product_Name],ROW()-1)</f>
        <v>USB Cable</v>
      </c>
      <c r="E214" s="40" t="str" cm="1">
        <f t="array" ref="E214">INDEX(SalesData[Customer_State],ROW()-1)</f>
        <v>Karnataka</v>
      </c>
      <c r="F214" s="40" t="str" cm="1">
        <f t="array" ref="F214">INDEX(SalesData[Order_Status], ROW()-1)</f>
        <v>Returned</v>
      </c>
      <c r="G214" s="40" t="str" cm="1">
        <f t="array" ref="G214">INDEX(SalesData[Fulfillment_Type], ROW()-1)</f>
        <v>FBA</v>
      </c>
      <c r="H214" s="40" cm="1">
        <f t="array" ref="H214">INDEX(SalesData[Units_Sold], ROW()-1)</f>
        <v>5</v>
      </c>
      <c r="I214" s="44" cm="1">
        <f t="array" ref="I214">INDEX(SalesData[Gross_Sales_INR], ROW()-1)</f>
        <v>15525</v>
      </c>
      <c r="J214" s="43" cm="1">
        <f t="array" ref="J214">INDEX(SalesData[Net_Profit_INR], ROW()-1)</f>
        <v>-988.6</v>
      </c>
      <c r="K214" s="42" cm="1">
        <f t="array" ref="K214">INDEX(SalesData[Profit_Margin_%], ROW()-1)</f>
        <v>-15.9</v>
      </c>
      <c r="L214" s="46" t="str" cm="1">
        <f t="array" ref="L214">IF(INDEX(SalesData[Customer_Rating], ROW()-1)="", "—",REPT("★", INDEX(SalesData[Customer_Rating], ROW()-1)) &amp; REPT("☆", 5-INDEX(SalesData[Customer_Rating], ROW()-1)))</f>
        <v>—</v>
      </c>
      <c r="M214" s="40" t="str" cm="1">
        <f t="array" ref="M214">IF(INDEX(SalesData[Units_Sold],ROW()-1) &lt; 5, "⚠️ Reorder", "OK")</f>
        <v>OK</v>
      </c>
      <c r="N214" s="40" t="str">
        <f t="shared" si="5"/>
        <v>Profit</v>
      </c>
      <c r="O214" s="47" t="str">
        <f>SalesData[[#This Row],[Ad_Type]]</f>
        <v>Sponsored Products</v>
      </c>
      <c r="P214" s="47" t="str">
        <f>SalesData[[#This Row],[Brand]]</f>
        <v>Cello</v>
      </c>
      <c r="Q214" s="47" t="str">
        <f>SalesData[[#This Row],[Product_Name]]</f>
        <v>USB Cable</v>
      </c>
      <c r="R214" s="47"/>
      <c r="S214" s="47"/>
      <c r="T214" s="47"/>
      <c r="U214" s="47"/>
      <c r="V214" s="47"/>
    </row>
    <row r="215" spans="1:22">
      <c r="A215" s="45" t="str">
        <f>SalesData[[#This Row],[Order_ID]]</f>
        <v>ORD-1213</v>
      </c>
      <c r="B215" s="41" cm="1">
        <f t="array" ref="B215">INDEX(SalesData[Order_Date], ROW()-1)</f>
        <v>45159</v>
      </c>
      <c r="C215" s="40" t="str" cm="1">
        <f t="array" ref="C215">INDEX(SalesData[Category], ROW()-1)</f>
        <v>Fashion</v>
      </c>
      <c r="D215" s="40" t="str" cm="1">
        <f t="array" ref="D215">INDEX(SalesData[Product_Name],ROW()-1)</f>
        <v>Sports Shoes</v>
      </c>
      <c r="E215" s="40" t="str" cm="1">
        <f t="array" ref="E215">INDEX(SalesData[Customer_State],ROW()-1)</f>
        <v>Kerala</v>
      </c>
      <c r="F215" s="40" t="str" cm="1">
        <f t="array" ref="F215">INDEX(SalesData[Order_Status], ROW()-1)</f>
        <v>In Transit</v>
      </c>
      <c r="G215" s="40" t="str" cm="1">
        <f t="array" ref="G215">INDEX(SalesData[Fulfillment_Type], ROW()-1)</f>
        <v>FBA</v>
      </c>
      <c r="H215" s="40" cm="1">
        <f t="array" ref="H215">INDEX(SalesData[Units_Sold], ROW()-1)</f>
        <v>6</v>
      </c>
      <c r="I215" s="44" cm="1">
        <f t="array" ref="I215">INDEX(SalesData[Gross_Sales_INR], ROW()-1)</f>
        <v>20370</v>
      </c>
      <c r="J215" s="43" cm="1">
        <f t="array" ref="J215">INDEX(SalesData[Net_Profit_INR], ROW()-1)</f>
        <v>6660.12</v>
      </c>
      <c r="K215" s="42" cm="1">
        <f t="array" ref="K215">INDEX(SalesData[Profit_Margin_%], ROW()-1)</f>
        <v>32.700000000000003</v>
      </c>
      <c r="L215" s="46" t="str" cm="1">
        <f t="array" ref="L215">IF(INDEX(SalesData[Customer_Rating], ROW()-1)="", "—",REPT("★", INDEX(SalesData[Customer_Rating], ROW()-1)) &amp; REPT("☆", 5-INDEX(SalesData[Customer_Rating], ROW()-1)))</f>
        <v>—</v>
      </c>
      <c r="M215" s="40" t="str" cm="1">
        <f t="array" ref="M215">IF(INDEX(SalesData[Units_Sold],ROW()-1) &lt; 5, "⚠️ Reorder", "OK")</f>
        <v>OK</v>
      </c>
      <c r="N215" s="40" t="str">
        <f t="shared" si="5"/>
        <v>Profit</v>
      </c>
      <c r="O215" s="47" t="str">
        <f>SalesData[[#This Row],[Ad_Type]]</f>
        <v>Sponsored Products</v>
      </c>
      <c r="P215" s="47" t="str">
        <f>SalesData[[#This Row],[Brand]]</f>
        <v>Wildcraft</v>
      </c>
      <c r="Q215" s="47" t="str">
        <f>SalesData[[#This Row],[Product_Name]]</f>
        <v>Sports Shoes</v>
      </c>
      <c r="R215" s="47"/>
      <c r="S215" s="47"/>
      <c r="T215" s="47"/>
      <c r="U215" s="47"/>
      <c r="V215" s="47"/>
    </row>
    <row r="216" spans="1:22">
      <c r="A216" s="45" t="str">
        <f>SalesData[[#This Row],[Order_ID]]</f>
        <v>ORD-1214</v>
      </c>
      <c r="B216" s="41" cm="1">
        <f t="array" ref="B216">INDEX(SalesData[Order_Date], ROW()-1)</f>
        <v>45391</v>
      </c>
      <c r="C216" s="40" t="str" cm="1">
        <f t="array" ref="C216">INDEX(SalesData[Category], ROW()-1)</f>
        <v>Fashion</v>
      </c>
      <c r="D216" s="40" t="str" cm="1">
        <f t="array" ref="D216">INDEX(SalesData[Product_Name],ROW()-1)</f>
        <v>Men's T-Shirt</v>
      </c>
      <c r="E216" s="40" t="str" cm="1">
        <f t="array" ref="E216">INDEX(SalesData[Customer_State],ROW()-1)</f>
        <v>Haryana</v>
      </c>
      <c r="F216" s="40" t="str" cm="1">
        <f t="array" ref="F216">INDEX(SalesData[Order_Status], ROW()-1)</f>
        <v>Delivered</v>
      </c>
      <c r="G216" s="40" t="str" cm="1">
        <f t="array" ref="G216">INDEX(SalesData[Fulfillment_Type], ROW()-1)</f>
        <v>FBA</v>
      </c>
      <c r="H216" s="40" cm="1">
        <f t="array" ref="H216">INDEX(SalesData[Units_Sold], ROW()-1)</f>
        <v>6</v>
      </c>
      <c r="I216" s="44" cm="1">
        <f t="array" ref="I216">INDEX(SalesData[Gross_Sales_INR], ROW()-1)</f>
        <v>2364</v>
      </c>
      <c r="J216" s="43" cm="1">
        <f t="array" ref="J216">INDEX(SalesData[Net_Profit_INR], ROW()-1)</f>
        <v>888.92</v>
      </c>
      <c r="K216" s="42" cm="1">
        <f t="array" ref="K216">INDEX(SalesData[Profit_Margin_%], ROW()-1)</f>
        <v>37.6</v>
      </c>
      <c r="L216" s="46" t="str" cm="1">
        <f t="array" ref="L216">IF(INDEX(SalesData[Customer_Rating], ROW()-1)="", "—",REPT("★", INDEX(SalesData[Customer_Rating], ROW()-1)) &amp; REPT("☆", 5-INDEX(SalesData[Customer_Rating], ROW()-1)))</f>
        <v>★☆☆☆☆</v>
      </c>
      <c r="M216" s="40" t="str" cm="1">
        <f t="array" ref="M216">IF(INDEX(SalesData[Units_Sold],ROW()-1) &lt; 5, "⚠️ Reorder", "OK")</f>
        <v>OK</v>
      </c>
      <c r="N216" s="40" t="str">
        <f t="shared" si="5"/>
        <v>Profit</v>
      </c>
      <c r="O216" s="47" t="str">
        <f>SalesData[[#This Row],[Ad_Type]]</f>
        <v>None</v>
      </c>
      <c r="P216" s="47" t="str">
        <f>SalesData[[#This Row],[Brand]]</f>
        <v>Lakme</v>
      </c>
      <c r="Q216" s="47" t="str">
        <f>SalesData[[#This Row],[Product_Name]]</f>
        <v>Men's T-Shirt</v>
      </c>
      <c r="R216" s="47"/>
      <c r="S216" s="47"/>
      <c r="T216" s="47"/>
      <c r="U216" s="47"/>
      <c r="V216" s="47"/>
    </row>
    <row r="217" spans="1:22">
      <c r="A217" s="45" t="str">
        <f>SalesData[[#This Row],[Order_ID]]</f>
        <v>ORD-1215</v>
      </c>
      <c r="B217" s="41" cm="1">
        <f t="array" ref="B217">INDEX(SalesData[Order_Date], ROW()-1)</f>
        <v>45394</v>
      </c>
      <c r="C217" s="40" t="str" cm="1">
        <f t="array" ref="C217">INDEX(SalesData[Category], ROW()-1)</f>
        <v>Electronics</v>
      </c>
      <c r="D217" s="40" t="str" cm="1">
        <f t="array" ref="D217">INDEX(SalesData[Product_Name],ROW()-1)</f>
        <v>Bluetooth Speaker</v>
      </c>
      <c r="E217" s="40" t="str" cm="1">
        <f t="array" ref="E217">INDEX(SalesData[Customer_State],ROW()-1)</f>
        <v>Gujarat</v>
      </c>
      <c r="F217" s="40" t="str" cm="1">
        <f t="array" ref="F217">INDEX(SalesData[Order_Status], ROW()-1)</f>
        <v>Delivered</v>
      </c>
      <c r="G217" s="40" t="str" cm="1">
        <f t="array" ref="G217">INDEX(SalesData[Fulfillment_Type], ROW()-1)</f>
        <v>FBA</v>
      </c>
      <c r="H217" s="40" cm="1">
        <f t="array" ref="H217">INDEX(SalesData[Units_Sold], ROW()-1)</f>
        <v>3</v>
      </c>
      <c r="I217" s="44" cm="1">
        <f t="array" ref="I217">INDEX(SalesData[Gross_Sales_INR], ROW()-1)</f>
        <v>1014</v>
      </c>
      <c r="J217" s="43" cm="1">
        <f t="array" ref="J217">INDEX(SalesData[Net_Profit_INR], ROW()-1)</f>
        <v>346.83</v>
      </c>
      <c r="K217" s="42" cm="1">
        <f t="array" ref="K217">INDEX(SalesData[Profit_Margin_%], ROW()-1)</f>
        <v>34.200000000000003</v>
      </c>
      <c r="L217" s="46" t="str" cm="1">
        <f t="array" ref="L217">IF(INDEX(SalesData[Customer_Rating], ROW()-1)="", "—",REPT("★", INDEX(SalesData[Customer_Rating], ROW()-1)) &amp; REPT("☆", 5-INDEX(SalesData[Customer_Rating], ROW()-1)))</f>
        <v>★★★★★</v>
      </c>
      <c r="M217" s="40" t="str" cm="1">
        <f t="array" ref="M217">IF(INDEX(SalesData[Units_Sold],ROW()-1) &lt; 5, "⚠️ Reorder", "OK")</f>
        <v>⚠️ Reorder</v>
      </c>
      <c r="N217" s="40" t="str">
        <f t="shared" si="5"/>
        <v>Profit</v>
      </c>
      <c r="O217" s="47" t="str">
        <f>SalesData[[#This Row],[Ad_Type]]</f>
        <v>None</v>
      </c>
      <c r="P217" s="47" t="str">
        <f>SalesData[[#This Row],[Brand]]</f>
        <v>Amazon Basics</v>
      </c>
      <c r="Q217" s="47" t="str">
        <f>SalesData[[#This Row],[Product_Name]]</f>
        <v>Bluetooth Speaker</v>
      </c>
      <c r="R217" s="47"/>
      <c r="S217" s="47"/>
      <c r="T217" s="47"/>
      <c r="U217" s="47"/>
      <c r="V217" s="47"/>
    </row>
    <row r="218" spans="1:22">
      <c r="A218" s="45" t="str">
        <f>SalesData[[#This Row],[Order_ID]]</f>
        <v>ORD-1216</v>
      </c>
      <c r="B218" s="41" cm="1">
        <f t="array" ref="B218">INDEX(SalesData[Order_Date], ROW()-1)</f>
        <v>45554</v>
      </c>
      <c r="C218" s="40" t="str" cm="1">
        <f t="array" ref="C218">INDEX(SalesData[Category], ROW()-1)</f>
        <v>Home &amp; Kitchen</v>
      </c>
      <c r="D218" s="40" t="str" cm="1">
        <f t="array" ref="D218">INDEX(SalesData[Product_Name],ROW()-1)</f>
        <v>Water Bottle</v>
      </c>
      <c r="E218" s="40" t="str" cm="1">
        <f t="array" ref="E218">INDEX(SalesData[Customer_State],ROW()-1)</f>
        <v>Kerala</v>
      </c>
      <c r="F218" s="40" t="str" cm="1">
        <f t="array" ref="F218">INDEX(SalesData[Order_Status], ROW()-1)</f>
        <v>Returned</v>
      </c>
      <c r="G218" s="40" t="str" cm="1">
        <f t="array" ref="G218">INDEX(SalesData[Fulfillment_Type], ROW()-1)</f>
        <v>FBM</v>
      </c>
      <c r="H218" s="40" cm="1">
        <f t="array" ref="H218">INDEX(SalesData[Units_Sold], ROW()-1)</f>
        <v>9</v>
      </c>
      <c r="I218" s="44" cm="1">
        <f t="array" ref="I218">INDEX(SalesData[Gross_Sales_INR], ROW()-1)</f>
        <v>3069</v>
      </c>
      <c r="J218" s="43" cm="1">
        <f t="array" ref="J218">INDEX(SalesData[Net_Profit_INR], ROW()-1)</f>
        <v>-1426.24</v>
      </c>
      <c r="K218" s="42" cm="1">
        <f t="array" ref="K218">INDEX(SalesData[Profit_Margin_%], ROW()-1)</f>
        <v>-139.4</v>
      </c>
      <c r="L218" s="46" t="str" cm="1">
        <f t="array" ref="L218">IF(INDEX(SalesData[Customer_Rating], ROW()-1)="", "—",REPT("★", INDEX(SalesData[Customer_Rating], ROW()-1)) &amp; REPT("☆", 5-INDEX(SalesData[Customer_Rating], ROW()-1)))</f>
        <v>—</v>
      </c>
      <c r="M218" s="40" t="str" cm="1">
        <f t="array" ref="M218">IF(INDEX(SalesData[Units_Sold],ROW()-1) &lt; 5, "⚠️ Reorder", "OK")</f>
        <v>OK</v>
      </c>
      <c r="N218" s="40" t="str">
        <f t="shared" si="5"/>
        <v>Profit</v>
      </c>
      <c r="O218" s="47" t="str">
        <f>SalesData[[#This Row],[Ad_Type]]</f>
        <v>Sponsored Products</v>
      </c>
      <c r="P218" s="47" t="str">
        <f>SalesData[[#This Row],[Brand]]</f>
        <v>Amazon Basics</v>
      </c>
      <c r="Q218" s="47" t="str">
        <f>SalesData[[#This Row],[Product_Name]]</f>
        <v>Water Bottle</v>
      </c>
      <c r="R218" s="47"/>
      <c r="S218" s="47"/>
      <c r="T218" s="47"/>
      <c r="U218" s="47"/>
      <c r="V218" s="47"/>
    </row>
    <row r="219" spans="1:22">
      <c r="A219" s="45" t="str">
        <f>SalesData[[#This Row],[Order_ID]]</f>
        <v>ORD-1217</v>
      </c>
      <c r="B219" s="41" cm="1">
        <f t="array" ref="B219">INDEX(SalesData[Order_Date], ROW()-1)</f>
        <v>45401</v>
      </c>
      <c r="C219" s="40" t="str" cm="1">
        <f t="array" ref="C219">INDEX(SalesData[Category], ROW()-1)</f>
        <v>Office Supplies</v>
      </c>
      <c r="D219" s="40" t="str" cm="1">
        <f t="array" ref="D219">INDEX(SalesData[Product_Name],ROW()-1)</f>
        <v>File Folder</v>
      </c>
      <c r="E219" s="40" t="str" cm="1">
        <f t="array" ref="E219">INDEX(SalesData[Customer_State],ROW()-1)</f>
        <v>Karnataka</v>
      </c>
      <c r="F219" s="40" t="str" cm="1">
        <f t="array" ref="F219">INDEX(SalesData[Order_Status], ROW()-1)</f>
        <v>Delivered</v>
      </c>
      <c r="G219" s="40" t="str" cm="1">
        <f t="array" ref="G219">INDEX(SalesData[Fulfillment_Type], ROW()-1)</f>
        <v>FBA</v>
      </c>
      <c r="H219" s="40" cm="1">
        <f t="array" ref="H219">INDEX(SalesData[Units_Sold], ROW()-1)</f>
        <v>10</v>
      </c>
      <c r="I219" s="44" cm="1">
        <f t="array" ref="I219">INDEX(SalesData[Gross_Sales_INR], ROW()-1)</f>
        <v>21190</v>
      </c>
      <c r="J219" s="43" cm="1">
        <f t="array" ref="J219">INDEX(SalesData[Net_Profit_INR], ROW()-1)</f>
        <v>9674.91</v>
      </c>
      <c r="K219" s="42" cm="1">
        <f t="array" ref="K219">INDEX(SalesData[Profit_Margin_%], ROW()-1)</f>
        <v>45.7</v>
      </c>
      <c r="L219" s="46" t="str" cm="1">
        <f t="array" ref="L219">IF(INDEX(SalesData[Customer_Rating], ROW()-1)="", "—",REPT("★", INDEX(SalesData[Customer_Rating], ROW()-1)) &amp; REPT("☆", 5-INDEX(SalesData[Customer_Rating], ROW()-1)))</f>
        <v>★★★★★</v>
      </c>
      <c r="M219" s="40" t="str" cm="1">
        <f t="array" ref="M219">IF(INDEX(SalesData[Units_Sold],ROW()-1) &lt; 5, "⚠️ Reorder", "OK")</f>
        <v>OK</v>
      </c>
      <c r="N219" s="40" t="str">
        <f t="shared" si="5"/>
        <v>Profit</v>
      </c>
      <c r="O219" s="47" t="str">
        <f>SalesData[[#This Row],[Ad_Type]]</f>
        <v>Sponsored Products</v>
      </c>
      <c r="P219" s="47" t="str">
        <f>SalesData[[#This Row],[Brand]]</f>
        <v>Decathlon</v>
      </c>
      <c r="Q219" s="47" t="str">
        <f>SalesData[[#This Row],[Product_Name]]</f>
        <v>File Folder</v>
      </c>
      <c r="R219" s="47"/>
      <c r="S219" s="47"/>
      <c r="T219" s="47"/>
      <c r="U219" s="47"/>
      <c r="V219" s="47"/>
    </row>
    <row r="220" spans="1:22">
      <c r="A220" s="45" t="str">
        <f>SalesData[[#This Row],[Order_ID]]</f>
        <v>ORD-1218</v>
      </c>
      <c r="B220" s="41" cm="1">
        <f t="array" ref="B220">INDEX(SalesData[Order_Date], ROW()-1)</f>
        <v>45210</v>
      </c>
      <c r="C220" s="40" t="str" cm="1">
        <f t="array" ref="C220">INDEX(SalesData[Category], ROW()-1)</f>
        <v>Electronics</v>
      </c>
      <c r="D220" s="40" t="str" cm="1">
        <f t="array" ref="D220">INDEX(SalesData[Product_Name],ROW()-1)</f>
        <v>Earbuds</v>
      </c>
      <c r="E220" s="40" t="str" cm="1">
        <f t="array" ref="E220">INDEX(SalesData[Customer_State],ROW()-1)</f>
        <v>Punjab</v>
      </c>
      <c r="F220" s="40" t="str" cm="1">
        <f t="array" ref="F220">INDEX(SalesData[Order_Status], ROW()-1)</f>
        <v>Delivered</v>
      </c>
      <c r="G220" s="40" t="str" cm="1">
        <f t="array" ref="G220">INDEX(SalesData[Fulfillment_Type], ROW()-1)</f>
        <v>FBM</v>
      </c>
      <c r="H220" s="40" cm="1">
        <f t="array" ref="H220">INDEX(SalesData[Units_Sold], ROW()-1)</f>
        <v>10</v>
      </c>
      <c r="I220" s="44" cm="1">
        <f t="array" ref="I220">INDEX(SalesData[Gross_Sales_INR], ROW()-1)</f>
        <v>20520</v>
      </c>
      <c r="J220" s="43" cm="1">
        <f t="array" ref="J220">INDEX(SalesData[Net_Profit_INR], ROW()-1)</f>
        <v>10392.530000000001</v>
      </c>
      <c r="K220" s="42" cm="1">
        <f t="array" ref="K220">INDEX(SalesData[Profit_Margin_%], ROW()-1)</f>
        <v>50.6</v>
      </c>
      <c r="L220" s="46" t="str" cm="1">
        <f t="array" ref="L220">IF(INDEX(SalesData[Customer_Rating], ROW()-1)="", "—",REPT("★", INDEX(SalesData[Customer_Rating], ROW()-1)) &amp; REPT("☆", 5-INDEX(SalesData[Customer_Rating], ROW()-1)))</f>
        <v>★★★★☆</v>
      </c>
      <c r="M220" s="40" t="str" cm="1">
        <f t="array" ref="M220">IF(INDEX(SalesData[Units_Sold],ROW()-1) &lt; 5, "⚠️ Reorder", "OK")</f>
        <v>OK</v>
      </c>
      <c r="N220" s="40" t="str">
        <f t="shared" si="5"/>
        <v>Profit</v>
      </c>
      <c r="O220" s="47" t="str">
        <f>SalesData[[#This Row],[Ad_Type]]</f>
        <v>Sponsored Products</v>
      </c>
      <c r="P220" s="47" t="str">
        <f>SalesData[[#This Row],[Brand]]</f>
        <v>Fastrack</v>
      </c>
      <c r="Q220" s="47" t="str">
        <f>SalesData[[#This Row],[Product_Name]]</f>
        <v>Earbuds</v>
      </c>
      <c r="R220" s="47"/>
      <c r="S220" s="47"/>
      <c r="T220" s="47"/>
      <c r="U220" s="47"/>
      <c r="V220" s="47"/>
    </row>
    <row r="221" spans="1:22">
      <c r="A221" s="45" t="str">
        <f>SalesData[[#This Row],[Order_ID]]</f>
        <v>ORD-1219</v>
      </c>
      <c r="B221" s="41" cm="1">
        <f t="array" ref="B221">INDEX(SalesData[Order_Date], ROW()-1)</f>
        <v>45260</v>
      </c>
      <c r="C221" s="40" t="str" cm="1">
        <f t="array" ref="C221">INDEX(SalesData[Category], ROW()-1)</f>
        <v>Electronics</v>
      </c>
      <c r="D221" s="40" t="str" cm="1">
        <f t="array" ref="D221">INDEX(SalesData[Product_Name],ROW()-1)</f>
        <v>Webcam</v>
      </c>
      <c r="E221" s="40" t="str" cm="1">
        <f t="array" ref="E221">INDEX(SalesData[Customer_State],ROW()-1)</f>
        <v>Gujarat</v>
      </c>
      <c r="F221" s="40" t="str" cm="1">
        <f t="array" ref="F221">INDEX(SalesData[Order_Status], ROW()-1)</f>
        <v>Delivered</v>
      </c>
      <c r="G221" s="40" t="str" cm="1">
        <f t="array" ref="G221">INDEX(SalesData[Fulfillment_Type], ROW()-1)</f>
        <v>FBA</v>
      </c>
      <c r="H221" s="40" cm="1">
        <f t="array" ref="H221">INDEX(SalesData[Units_Sold], ROW()-1)</f>
        <v>7</v>
      </c>
      <c r="I221" s="44" cm="1">
        <f t="array" ref="I221">INDEX(SalesData[Gross_Sales_INR], ROW()-1)</f>
        <v>3689</v>
      </c>
      <c r="J221" s="43" cm="1">
        <f t="array" ref="J221">INDEX(SalesData[Net_Profit_INR], ROW()-1)</f>
        <v>949.76</v>
      </c>
      <c r="K221" s="42" cm="1">
        <f t="array" ref="K221">INDEX(SalesData[Profit_Margin_%], ROW()-1)</f>
        <v>25.7</v>
      </c>
      <c r="L221" s="46" t="str" cm="1">
        <f t="array" ref="L221">IF(INDEX(SalesData[Customer_Rating], ROW()-1)="", "—",REPT("★", INDEX(SalesData[Customer_Rating], ROW()-1)) &amp; REPT("☆", 5-INDEX(SalesData[Customer_Rating], ROW()-1)))</f>
        <v>★★★☆☆</v>
      </c>
      <c r="M221" s="40" t="str" cm="1">
        <f t="array" ref="M221">IF(INDEX(SalesData[Units_Sold],ROW()-1) &lt; 5, "⚠️ Reorder", "OK")</f>
        <v>OK</v>
      </c>
      <c r="N221" s="40" t="str">
        <f t="shared" si="5"/>
        <v>Profit</v>
      </c>
      <c r="O221" s="47" t="str">
        <f>SalesData[[#This Row],[Ad_Type]]</f>
        <v>Sponsored Brands</v>
      </c>
      <c r="P221" s="47" t="str">
        <f>SalesData[[#This Row],[Brand]]</f>
        <v>Prestige</v>
      </c>
      <c r="Q221" s="47" t="str">
        <f>SalesData[[#This Row],[Product_Name]]</f>
        <v>Webcam</v>
      </c>
      <c r="R221" s="47"/>
      <c r="S221" s="47"/>
      <c r="T221" s="47"/>
      <c r="U221" s="47"/>
      <c r="V221" s="47"/>
    </row>
    <row r="222" spans="1:22">
      <c r="A222" s="45" t="str">
        <f>SalesData[[#This Row],[Order_ID]]</f>
        <v>ORD-1220</v>
      </c>
      <c r="B222" s="41" cm="1">
        <f t="array" ref="B222">INDEX(SalesData[Order_Date], ROW()-1)</f>
        <v>45426</v>
      </c>
      <c r="C222" s="40" t="str" cm="1">
        <f t="array" ref="C222">INDEX(SalesData[Category], ROW()-1)</f>
        <v>Sports</v>
      </c>
      <c r="D222" s="40" t="str" cm="1">
        <f t="array" ref="D222">INDEX(SalesData[Product_Name],ROW()-1)</f>
        <v>Dumbbell Set</v>
      </c>
      <c r="E222" s="40" t="str" cm="1">
        <f t="array" ref="E222">INDEX(SalesData[Customer_State],ROW()-1)</f>
        <v>Gujarat</v>
      </c>
      <c r="F222" s="40" t="str" cm="1">
        <f t="array" ref="F222">INDEX(SalesData[Order_Status], ROW()-1)</f>
        <v>Returned</v>
      </c>
      <c r="G222" s="40" t="str" cm="1">
        <f t="array" ref="G222">INDEX(SalesData[Fulfillment_Type], ROW()-1)</f>
        <v>FBA</v>
      </c>
      <c r="H222" s="40" cm="1">
        <f t="array" ref="H222">INDEX(SalesData[Units_Sold], ROW()-1)</f>
        <v>7</v>
      </c>
      <c r="I222" s="44" cm="1">
        <f t="array" ref="I222">INDEX(SalesData[Gross_Sales_INR], ROW()-1)</f>
        <v>27195</v>
      </c>
      <c r="J222" s="43" cm="1">
        <f t="array" ref="J222">INDEX(SalesData[Net_Profit_INR], ROW()-1)</f>
        <v>-2848.16</v>
      </c>
      <c r="K222" s="42" cm="1">
        <f t="array" ref="K222">INDEX(SalesData[Profit_Margin_%], ROW()-1)</f>
        <v>-18.3</v>
      </c>
      <c r="L222" s="46" t="str" cm="1">
        <f t="array" ref="L222">IF(INDEX(SalesData[Customer_Rating], ROW()-1)="", "—",REPT("★", INDEX(SalesData[Customer_Rating], ROW()-1)) &amp; REPT("☆", 5-INDEX(SalesData[Customer_Rating], ROW()-1)))</f>
        <v>—</v>
      </c>
      <c r="M222" s="40" t="str" cm="1">
        <f t="array" ref="M222">IF(INDEX(SalesData[Units_Sold],ROW()-1) &lt; 5, "⚠️ Reorder", "OK")</f>
        <v>OK</v>
      </c>
      <c r="N222" s="40" t="str">
        <f t="shared" si="5"/>
        <v>Profit</v>
      </c>
      <c r="O222" s="47" t="str">
        <f>SalesData[[#This Row],[Ad_Type]]</f>
        <v>Sponsored Brands</v>
      </c>
      <c r="P222" s="47" t="str">
        <f>SalesData[[#This Row],[Brand]]</f>
        <v>Himalaya</v>
      </c>
      <c r="Q222" s="47" t="str">
        <f>SalesData[[#This Row],[Product_Name]]</f>
        <v>Dumbbell Set</v>
      </c>
      <c r="R222" s="47"/>
      <c r="S222" s="47"/>
      <c r="T222" s="47"/>
      <c r="U222" s="47"/>
      <c r="V222" s="47"/>
    </row>
    <row r="223" spans="1:22">
      <c r="A223" s="45" t="str">
        <f>SalesData[[#This Row],[Order_ID]]</f>
        <v>ORD-1221</v>
      </c>
      <c r="B223" s="41" cm="1">
        <f t="array" ref="B223">INDEX(SalesData[Order_Date], ROW()-1)</f>
        <v>45536</v>
      </c>
      <c r="C223" s="40" t="str" cm="1">
        <f t="array" ref="C223">INDEX(SalesData[Category], ROW()-1)</f>
        <v>Home &amp; Kitchen</v>
      </c>
      <c r="D223" s="40" t="str" cm="1">
        <f t="array" ref="D223">INDEX(SalesData[Product_Name],ROW()-1)</f>
        <v>Knife Set</v>
      </c>
      <c r="E223" s="40" t="str" cm="1">
        <f t="array" ref="E223">INDEX(SalesData[Customer_State],ROW()-1)</f>
        <v>Karnataka</v>
      </c>
      <c r="F223" s="40" t="str" cm="1">
        <f t="array" ref="F223">INDEX(SalesData[Order_Status], ROW()-1)</f>
        <v>Delivered</v>
      </c>
      <c r="G223" s="40" t="str" cm="1">
        <f t="array" ref="G223">INDEX(SalesData[Fulfillment_Type], ROW()-1)</f>
        <v>FBA</v>
      </c>
      <c r="H223" s="40" cm="1">
        <f t="array" ref="H223">INDEX(SalesData[Units_Sold], ROW()-1)</f>
        <v>7</v>
      </c>
      <c r="I223" s="44" cm="1">
        <f t="array" ref="I223">INDEX(SalesData[Gross_Sales_INR], ROW()-1)</f>
        <v>19334</v>
      </c>
      <c r="J223" s="43" cm="1">
        <f t="array" ref="J223">INDEX(SalesData[Net_Profit_INR], ROW()-1)</f>
        <v>6121.72</v>
      </c>
      <c r="K223" s="42" cm="1">
        <f t="array" ref="K223">INDEX(SalesData[Profit_Margin_%], ROW()-1)</f>
        <v>31.7</v>
      </c>
      <c r="L223" s="46" t="str" cm="1">
        <f t="array" ref="L223">IF(INDEX(SalesData[Customer_Rating], ROW()-1)="", "—",REPT("★", INDEX(SalesData[Customer_Rating], ROW()-1)) &amp; REPT("☆", 5-INDEX(SalesData[Customer_Rating], ROW()-1)))</f>
        <v>★★★★☆</v>
      </c>
      <c r="M223" s="40" t="str" cm="1">
        <f t="array" ref="M223">IF(INDEX(SalesData[Units_Sold],ROW()-1) &lt; 5, "⚠️ Reorder", "OK")</f>
        <v>OK</v>
      </c>
      <c r="N223" s="40" t="str">
        <f t="shared" si="5"/>
        <v>Profit</v>
      </c>
      <c r="O223" s="47" t="str">
        <f>SalesData[[#This Row],[Ad_Type]]</f>
        <v>Sponsored Products</v>
      </c>
      <c r="P223" s="47" t="str">
        <f>SalesData[[#This Row],[Brand]]</f>
        <v>Mamaearth</v>
      </c>
      <c r="Q223" s="47" t="str">
        <f>SalesData[[#This Row],[Product_Name]]</f>
        <v>Knife Set</v>
      </c>
      <c r="R223" s="47"/>
      <c r="S223" s="47"/>
      <c r="T223" s="47"/>
      <c r="U223" s="47"/>
      <c r="V223" s="47"/>
    </row>
    <row r="224" spans="1:22">
      <c r="A224" s="45" t="str">
        <f>SalesData[[#This Row],[Order_ID]]</f>
        <v>ORD-1222</v>
      </c>
      <c r="B224" s="41" cm="1">
        <f t="array" ref="B224">INDEX(SalesData[Order_Date], ROW()-1)</f>
        <v>45478</v>
      </c>
      <c r="C224" s="40" t="str" cm="1">
        <f t="array" ref="C224">INDEX(SalesData[Category], ROW()-1)</f>
        <v>Electronics</v>
      </c>
      <c r="D224" s="40" t="str" cm="1">
        <f t="array" ref="D224">INDEX(SalesData[Product_Name],ROW()-1)</f>
        <v>Webcam</v>
      </c>
      <c r="E224" s="40" t="str" cm="1">
        <f t="array" ref="E224">INDEX(SalesData[Customer_State],ROW()-1)</f>
        <v>Tamil Nadu</v>
      </c>
      <c r="F224" s="40" t="str" cm="1">
        <f t="array" ref="F224">INDEX(SalesData[Order_Status], ROW()-1)</f>
        <v>Delivered</v>
      </c>
      <c r="G224" s="40" t="str" cm="1">
        <f t="array" ref="G224">INDEX(SalesData[Fulfillment_Type], ROW()-1)</f>
        <v>FBA</v>
      </c>
      <c r="H224" s="40" cm="1">
        <f t="array" ref="H224">INDEX(SalesData[Units_Sold], ROW()-1)</f>
        <v>2</v>
      </c>
      <c r="I224" s="44" cm="1">
        <f t="array" ref="I224">INDEX(SalesData[Gross_Sales_INR], ROW()-1)</f>
        <v>4168</v>
      </c>
      <c r="J224" s="43" cm="1">
        <f t="array" ref="J224">INDEX(SalesData[Net_Profit_INR], ROW()-1)</f>
        <v>1056.56</v>
      </c>
      <c r="K224" s="42" cm="1">
        <f t="array" ref="K224">INDEX(SalesData[Profit_Margin_%], ROW()-1)</f>
        <v>25.3</v>
      </c>
      <c r="L224" s="46" t="str" cm="1">
        <f t="array" ref="L224">IF(INDEX(SalesData[Customer_Rating], ROW()-1)="", "—",REPT("★", INDEX(SalesData[Customer_Rating], ROW()-1)) &amp; REPT("☆", 5-INDEX(SalesData[Customer_Rating], ROW()-1)))</f>
        <v>★☆☆☆☆</v>
      </c>
      <c r="M224" s="40" t="str" cm="1">
        <f t="array" ref="M224">IF(INDEX(SalesData[Units_Sold],ROW()-1) &lt; 5, "⚠️ Reorder", "OK")</f>
        <v>⚠️ Reorder</v>
      </c>
      <c r="N224" s="40" t="str">
        <f t="shared" si="5"/>
        <v>Profit</v>
      </c>
      <c r="O224" s="47" t="str">
        <f>SalesData[[#This Row],[Ad_Type]]</f>
        <v>None</v>
      </c>
      <c r="P224" s="47" t="str">
        <f>SalesData[[#This Row],[Brand]]</f>
        <v>Noise</v>
      </c>
      <c r="Q224" s="47" t="str">
        <f>SalesData[[#This Row],[Product_Name]]</f>
        <v>Webcam</v>
      </c>
      <c r="R224" s="47"/>
      <c r="S224" s="47"/>
      <c r="T224" s="47"/>
      <c r="U224" s="47"/>
      <c r="V224" s="47"/>
    </row>
    <row r="225" spans="1:22">
      <c r="A225" s="45" t="str">
        <f>SalesData[[#This Row],[Order_ID]]</f>
        <v>ORD-1223</v>
      </c>
      <c r="B225" s="41" cm="1">
        <f t="array" ref="B225">INDEX(SalesData[Order_Date], ROW()-1)</f>
        <v>45183</v>
      </c>
      <c r="C225" s="40" t="str" cm="1">
        <f t="array" ref="C225">INDEX(SalesData[Category], ROW()-1)</f>
        <v>Fashion</v>
      </c>
      <c r="D225" s="40" t="str" cm="1">
        <f t="array" ref="D225">INDEX(SalesData[Product_Name],ROW()-1)</f>
        <v>Men's T-Shirt</v>
      </c>
      <c r="E225" s="40" t="str" cm="1">
        <f t="array" ref="E225">INDEX(SalesData[Customer_State],ROW()-1)</f>
        <v>Gujarat</v>
      </c>
      <c r="F225" s="40" t="str" cm="1">
        <f t="array" ref="F225">INDEX(SalesData[Order_Status], ROW()-1)</f>
        <v>Delivered</v>
      </c>
      <c r="G225" s="40" t="str" cm="1">
        <f t="array" ref="G225">INDEX(SalesData[Fulfillment_Type], ROW()-1)</f>
        <v>FBA</v>
      </c>
      <c r="H225" s="40" cm="1">
        <f t="array" ref="H225">INDEX(SalesData[Units_Sold], ROW()-1)</f>
        <v>9</v>
      </c>
      <c r="I225" s="44" cm="1">
        <f t="array" ref="I225">INDEX(SalesData[Gross_Sales_INR], ROW()-1)</f>
        <v>10575</v>
      </c>
      <c r="J225" s="43" cm="1">
        <f t="array" ref="J225">INDEX(SalesData[Net_Profit_INR], ROW()-1)</f>
        <v>3407.01</v>
      </c>
      <c r="K225" s="42" cm="1">
        <f t="array" ref="K225">INDEX(SalesData[Profit_Margin_%], ROW()-1)</f>
        <v>32.200000000000003</v>
      </c>
      <c r="L225" s="46" t="str" cm="1">
        <f t="array" ref="L225">IF(INDEX(SalesData[Customer_Rating], ROW()-1)="", "—",REPT("★", INDEX(SalesData[Customer_Rating], ROW()-1)) &amp; REPT("☆", 5-INDEX(SalesData[Customer_Rating], ROW()-1)))</f>
        <v>★★★☆☆</v>
      </c>
      <c r="M225" s="40" t="str" cm="1">
        <f t="array" ref="M225">IF(INDEX(SalesData[Units_Sold],ROW()-1) &lt; 5, "⚠️ Reorder", "OK")</f>
        <v>OK</v>
      </c>
      <c r="N225" s="40" t="str">
        <f t="shared" si="5"/>
        <v>Profit</v>
      </c>
      <c r="O225" s="47" t="str">
        <f>SalesData[[#This Row],[Ad_Type]]</f>
        <v>None</v>
      </c>
      <c r="P225" s="47" t="str">
        <f>SalesData[[#This Row],[Brand]]</f>
        <v>Generic</v>
      </c>
      <c r="Q225" s="47" t="str">
        <f>SalesData[[#This Row],[Product_Name]]</f>
        <v>Men's T-Shirt</v>
      </c>
      <c r="R225" s="47"/>
      <c r="S225" s="47"/>
      <c r="T225" s="47"/>
      <c r="U225" s="47"/>
      <c r="V225" s="47"/>
    </row>
    <row r="226" spans="1:22">
      <c r="A226" s="45" t="str">
        <f>SalesData[[#This Row],[Order_ID]]</f>
        <v>ORD-1224</v>
      </c>
      <c r="B226" s="41" cm="1">
        <f t="array" ref="B226">INDEX(SalesData[Order_Date], ROW()-1)</f>
        <v>44956</v>
      </c>
      <c r="C226" s="40" t="str" cm="1">
        <f t="array" ref="C226">INDEX(SalesData[Category], ROW()-1)</f>
        <v>Office Supplies</v>
      </c>
      <c r="D226" s="40" t="str" cm="1">
        <f t="array" ref="D226">INDEX(SalesData[Product_Name],ROW()-1)</f>
        <v>Gel Pen Set</v>
      </c>
      <c r="E226" s="40" t="str" cm="1">
        <f t="array" ref="E226">INDEX(SalesData[Customer_State],ROW()-1)</f>
        <v>Bihar</v>
      </c>
      <c r="F226" s="40" t="str" cm="1">
        <f t="array" ref="F226">INDEX(SalesData[Order_Status], ROW()-1)</f>
        <v>Returned</v>
      </c>
      <c r="G226" s="40" t="str" cm="1">
        <f t="array" ref="G226">INDEX(SalesData[Fulfillment_Type], ROW()-1)</f>
        <v>FBA</v>
      </c>
      <c r="H226" s="40" cm="1">
        <f t="array" ref="H226">INDEX(SalesData[Units_Sold], ROW()-1)</f>
        <v>5</v>
      </c>
      <c r="I226" s="44" cm="1">
        <f t="array" ref="I226">INDEX(SalesData[Gross_Sales_INR], ROW()-1)</f>
        <v>4340</v>
      </c>
      <c r="J226" s="43" cm="1">
        <f t="array" ref="J226">INDEX(SalesData[Net_Profit_INR], ROW()-1)</f>
        <v>1088.3599999999999</v>
      </c>
      <c r="K226" s="42" cm="1">
        <f t="array" ref="K226">INDEX(SalesData[Profit_Margin_%], ROW()-1)</f>
        <v>31.3</v>
      </c>
      <c r="L226" s="46" t="str" cm="1">
        <f t="array" ref="L226">IF(INDEX(SalesData[Customer_Rating], ROW()-1)="", "—",REPT("★", INDEX(SalesData[Customer_Rating], ROW()-1)) &amp; REPT("☆", 5-INDEX(SalesData[Customer_Rating], ROW()-1)))</f>
        <v>—</v>
      </c>
      <c r="M226" s="40" t="str" cm="1">
        <f t="array" ref="M226">IF(INDEX(SalesData[Units_Sold],ROW()-1) &lt; 5, "⚠️ Reorder", "OK")</f>
        <v>OK</v>
      </c>
      <c r="N226" s="40" t="str">
        <f t="shared" si="5"/>
        <v>Profit</v>
      </c>
      <c r="O226" s="47" t="str">
        <f>SalesData[[#This Row],[Ad_Type]]</f>
        <v>Sponsored Brands</v>
      </c>
      <c r="P226" s="47" t="str">
        <f>SalesData[[#This Row],[Brand]]</f>
        <v>Himalaya</v>
      </c>
      <c r="Q226" s="47" t="str">
        <f>SalesData[[#This Row],[Product_Name]]</f>
        <v>Gel Pen Set</v>
      </c>
      <c r="R226" s="47"/>
      <c r="S226" s="47"/>
      <c r="T226" s="47"/>
      <c r="U226" s="47"/>
      <c r="V226" s="47"/>
    </row>
    <row r="227" spans="1:22">
      <c r="A227" s="45" t="str">
        <f>SalesData[[#This Row],[Order_ID]]</f>
        <v>ORD-1225</v>
      </c>
      <c r="B227" s="41" cm="1">
        <f t="array" ref="B227">INDEX(SalesData[Order_Date], ROW()-1)</f>
        <v>45139</v>
      </c>
      <c r="C227" s="40" t="str" cm="1">
        <f t="array" ref="C227">INDEX(SalesData[Category], ROW()-1)</f>
        <v>Fashion</v>
      </c>
      <c r="D227" s="40" t="str" cm="1">
        <f t="array" ref="D227">INDEX(SalesData[Product_Name],ROW()-1)</f>
        <v>Women's Kurti</v>
      </c>
      <c r="E227" s="40" t="str" cm="1">
        <f t="array" ref="E227">INDEX(SalesData[Customer_State],ROW()-1)</f>
        <v>Tamil Nadu</v>
      </c>
      <c r="F227" s="40" t="str" cm="1">
        <f t="array" ref="F227">INDEX(SalesData[Order_Status], ROW()-1)</f>
        <v>Delivered</v>
      </c>
      <c r="G227" s="40" t="str" cm="1">
        <f t="array" ref="G227">INDEX(SalesData[Fulfillment_Type], ROW()-1)</f>
        <v>FBM</v>
      </c>
      <c r="H227" s="40" cm="1">
        <f t="array" ref="H227">INDEX(SalesData[Units_Sold], ROW()-1)</f>
        <v>4</v>
      </c>
      <c r="I227" s="44" cm="1">
        <f t="array" ref="I227">INDEX(SalesData[Gross_Sales_INR], ROW()-1)</f>
        <v>15184</v>
      </c>
      <c r="J227" s="43" cm="1">
        <f t="array" ref="J227">INDEX(SalesData[Net_Profit_INR], ROW()-1)</f>
        <v>6831.48</v>
      </c>
      <c r="K227" s="42" cm="1">
        <f t="array" ref="K227">INDEX(SalesData[Profit_Margin_%], ROW()-1)</f>
        <v>45</v>
      </c>
      <c r="L227" s="46" t="str" cm="1">
        <f t="array" ref="L227">IF(INDEX(SalesData[Customer_Rating], ROW()-1)="", "—",REPT("★", INDEX(SalesData[Customer_Rating], ROW()-1)) &amp; REPT("☆", 5-INDEX(SalesData[Customer_Rating], ROW()-1)))</f>
        <v>★★★★★</v>
      </c>
      <c r="M227" s="40" t="str" cm="1">
        <f t="array" ref="M227">IF(INDEX(SalesData[Units_Sold],ROW()-1) &lt; 5, "⚠️ Reorder", "OK")</f>
        <v>⚠️ Reorder</v>
      </c>
      <c r="N227" s="40" t="str">
        <f t="shared" si="5"/>
        <v>Profit</v>
      </c>
      <c r="O227" s="47" t="str">
        <f>SalesData[[#This Row],[Ad_Type]]</f>
        <v>None</v>
      </c>
      <c r="P227" s="47" t="str">
        <f>SalesData[[#This Row],[Brand]]</f>
        <v>Decathlon</v>
      </c>
      <c r="Q227" s="47" t="str">
        <f>SalesData[[#This Row],[Product_Name]]</f>
        <v>Women's Kurti</v>
      </c>
      <c r="R227" s="47"/>
      <c r="S227" s="47"/>
      <c r="T227" s="47"/>
      <c r="U227" s="47"/>
      <c r="V227" s="47"/>
    </row>
    <row r="228" spans="1:22">
      <c r="A228" s="45" t="str">
        <f>SalesData[[#This Row],[Order_ID]]</f>
        <v>ORD-1226</v>
      </c>
      <c r="B228" s="41" cm="1">
        <f t="array" ref="B228">INDEX(SalesData[Order_Date], ROW()-1)</f>
        <v>45493</v>
      </c>
      <c r="C228" s="40" t="str" cm="1">
        <f t="array" ref="C228">INDEX(SalesData[Category], ROW()-1)</f>
        <v>Fashion</v>
      </c>
      <c r="D228" s="40" t="str" cm="1">
        <f t="array" ref="D228">INDEX(SalesData[Product_Name],ROW()-1)</f>
        <v>Sports Shoes</v>
      </c>
      <c r="E228" s="40" t="str" cm="1">
        <f t="array" ref="E228">INDEX(SalesData[Customer_State],ROW()-1)</f>
        <v>Gujarat</v>
      </c>
      <c r="F228" s="40" t="str" cm="1">
        <f t="array" ref="F228">INDEX(SalesData[Order_Status], ROW()-1)</f>
        <v>Delivered</v>
      </c>
      <c r="G228" s="40" t="str" cm="1">
        <f t="array" ref="G228">INDEX(SalesData[Fulfillment_Type], ROW()-1)</f>
        <v>FBA</v>
      </c>
      <c r="H228" s="40" cm="1">
        <f t="array" ref="H228">INDEX(SalesData[Units_Sold], ROW()-1)</f>
        <v>5</v>
      </c>
      <c r="I228" s="44" cm="1">
        <f t="array" ref="I228">INDEX(SalesData[Gross_Sales_INR], ROW()-1)</f>
        <v>13535</v>
      </c>
      <c r="J228" s="43" cm="1">
        <f t="array" ref="J228">INDEX(SalesData[Net_Profit_INR], ROW()-1)</f>
        <v>6502.78</v>
      </c>
      <c r="K228" s="42" cm="1">
        <f t="array" ref="K228">INDEX(SalesData[Profit_Margin_%], ROW()-1)</f>
        <v>48</v>
      </c>
      <c r="L228" s="46" t="str" cm="1">
        <f t="array" ref="L228">IF(INDEX(SalesData[Customer_Rating], ROW()-1)="", "—",REPT("★", INDEX(SalesData[Customer_Rating], ROW()-1)) &amp; REPT("☆", 5-INDEX(SalesData[Customer_Rating], ROW()-1)))</f>
        <v>★★☆☆☆</v>
      </c>
      <c r="M228" s="40" t="str" cm="1">
        <f t="array" ref="M228">IF(INDEX(SalesData[Units_Sold],ROW()-1) &lt; 5, "⚠️ Reorder", "OK")</f>
        <v>OK</v>
      </c>
      <c r="N228" s="40" t="str">
        <f t="shared" si="5"/>
        <v>Profit</v>
      </c>
      <c r="O228" s="47" t="str">
        <f>SalesData[[#This Row],[Ad_Type]]</f>
        <v>None</v>
      </c>
      <c r="P228" s="47" t="str">
        <f>SalesData[[#This Row],[Brand]]</f>
        <v>Decathlon</v>
      </c>
      <c r="Q228" s="47" t="str">
        <f>SalesData[[#This Row],[Product_Name]]</f>
        <v>Sports Shoes</v>
      </c>
      <c r="R228" s="47"/>
      <c r="S228" s="47"/>
      <c r="T228" s="47"/>
      <c r="U228" s="47"/>
      <c r="V228" s="47"/>
    </row>
    <row r="229" spans="1:22">
      <c r="A229" s="45" t="str">
        <f>SalesData[[#This Row],[Order_ID]]</f>
        <v>ORD-1227</v>
      </c>
      <c r="B229" s="41" cm="1">
        <f t="array" ref="B229">INDEX(SalesData[Order_Date], ROW()-1)</f>
        <v>45366</v>
      </c>
      <c r="C229" s="40" t="str" cm="1">
        <f t="array" ref="C229">INDEX(SalesData[Category], ROW()-1)</f>
        <v>Home &amp; Kitchen</v>
      </c>
      <c r="D229" s="40" t="str" cm="1">
        <f t="array" ref="D229">INDEX(SalesData[Product_Name],ROW()-1)</f>
        <v>Air Fryer</v>
      </c>
      <c r="E229" s="40" t="str" cm="1">
        <f t="array" ref="E229">INDEX(SalesData[Customer_State],ROW()-1)</f>
        <v>Telangana</v>
      </c>
      <c r="F229" s="40" t="str" cm="1">
        <f t="array" ref="F229">INDEX(SalesData[Order_Status], ROW()-1)</f>
        <v>Cancelled</v>
      </c>
      <c r="G229" s="40" t="str" cm="1">
        <f t="array" ref="G229">INDEX(SalesData[Fulfillment_Type], ROW()-1)</f>
        <v>FBA</v>
      </c>
      <c r="H229" s="40" cm="1">
        <f t="array" ref="H229">INDEX(SalesData[Units_Sold], ROW()-1)</f>
        <v>9</v>
      </c>
      <c r="I229" s="44" cm="1">
        <f t="array" ref="I229">INDEX(SalesData[Gross_Sales_INR], ROW()-1)</f>
        <v>23049</v>
      </c>
      <c r="J229" s="43" cm="1">
        <f t="array" ref="J229">INDEX(SalesData[Net_Profit_INR], ROW()-1)</f>
        <v>6490.64</v>
      </c>
      <c r="K229" s="42" cm="1">
        <f t="array" ref="K229">INDEX(SalesData[Profit_Margin_%], ROW()-1)</f>
        <v>28.2</v>
      </c>
      <c r="L229" s="46" t="str" cm="1">
        <f t="array" ref="L229">IF(INDEX(SalesData[Customer_Rating], ROW()-1)="", "—",REPT("★", INDEX(SalesData[Customer_Rating], ROW()-1)) &amp; REPT("☆", 5-INDEX(SalesData[Customer_Rating], ROW()-1)))</f>
        <v>—</v>
      </c>
      <c r="M229" s="40" t="str" cm="1">
        <f t="array" ref="M229">IF(INDEX(SalesData[Units_Sold],ROW()-1) &lt; 5, "⚠️ Reorder", "OK")</f>
        <v>OK</v>
      </c>
      <c r="N229" s="40" t="str">
        <f t="shared" si="5"/>
        <v>Loss</v>
      </c>
      <c r="O229" s="47" t="str">
        <f>SalesData[[#This Row],[Ad_Type]]</f>
        <v>Sponsored Products</v>
      </c>
      <c r="P229" s="47" t="str">
        <f>SalesData[[#This Row],[Brand]]</f>
        <v>Wildcraft</v>
      </c>
      <c r="Q229" s="47" t="str">
        <f>SalesData[[#This Row],[Product_Name]]</f>
        <v>Air Fryer</v>
      </c>
      <c r="R229" s="47"/>
      <c r="S229" s="47"/>
      <c r="T229" s="47"/>
      <c r="U229" s="47"/>
      <c r="V229" s="47"/>
    </row>
    <row r="230" spans="1:22">
      <c r="A230" s="45" t="str">
        <f>SalesData[[#This Row],[Order_ID]]</f>
        <v>ORD-1228</v>
      </c>
      <c r="B230" s="41" cm="1">
        <f t="array" ref="B230">INDEX(SalesData[Order_Date], ROW()-1)</f>
        <v>45173</v>
      </c>
      <c r="C230" s="40" t="str" cm="1">
        <f t="array" ref="C230">INDEX(SalesData[Category], ROW()-1)</f>
        <v>Beauty</v>
      </c>
      <c r="D230" s="40" t="str" cm="1">
        <f t="array" ref="D230">INDEX(SalesData[Product_Name],ROW()-1)</f>
        <v>Eye Cream</v>
      </c>
      <c r="E230" s="40" t="str" cm="1">
        <f t="array" ref="E230">INDEX(SalesData[Customer_State],ROW()-1)</f>
        <v>Rajasthan</v>
      </c>
      <c r="F230" s="40" t="str" cm="1">
        <f t="array" ref="F230">INDEX(SalesData[Order_Status], ROW()-1)</f>
        <v>Pending</v>
      </c>
      <c r="G230" s="40" t="str" cm="1">
        <f t="array" ref="G230">INDEX(SalesData[Fulfillment_Type], ROW()-1)</f>
        <v>FBA</v>
      </c>
      <c r="H230" s="40" cm="1">
        <f t="array" ref="H230">INDEX(SalesData[Units_Sold], ROW()-1)</f>
        <v>10</v>
      </c>
      <c r="I230" s="44" cm="1">
        <f t="array" ref="I230">INDEX(SalesData[Gross_Sales_INR], ROW()-1)</f>
        <v>38970</v>
      </c>
      <c r="J230" s="43" cm="1">
        <f t="array" ref="J230">INDEX(SalesData[Net_Profit_INR], ROW()-1)</f>
        <v>13700.26</v>
      </c>
      <c r="K230" s="42" cm="1">
        <f t="array" ref="K230">INDEX(SalesData[Profit_Margin_%], ROW()-1)</f>
        <v>35.200000000000003</v>
      </c>
      <c r="L230" s="46" t="str" cm="1">
        <f t="array" ref="L230">IF(INDEX(SalesData[Customer_Rating], ROW()-1)="", "—",REPT("★", INDEX(SalesData[Customer_Rating], ROW()-1)) &amp; REPT("☆", 5-INDEX(SalesData[Customer_Rating], ROW()-1)))</f>
        <v>—</v>
      </c>
      <c r="M230" s="40" t="str" cm="1">
        <f t="array" ref="M230">IF(INDEX(SalesData[Units_Sold],ROW()-1) &lt; 5, "⚠️ Reorder", "OK")</f>
        <v>OK</v>
      </c>
      <c r="N230" s="40" t="str">
        <f t="shared" si="5"/>
        <v>Profit</v>
      </c>
      <c r="O230" s="47" t="str">
        <f>SalesData[[#This Row],[Ad_Type]]</f>
        <v>Sponsored Products</v>
      </c>
      <c r="P230" s="47" t="str">
        <f>SalesData[[#This Row],[Brand]]</f>
        <v>BoAt</v>
      </c>
      <c r="Q230" s="47" t="str">
        <f>SalesData[[#This Row],[Product_Name]]</f>
        <v>Eye Cream</v>
      </c>
      <c r="R230" s="47"/>
      <c r="S230" s="47"/>
      <c r="T230" s="47"/>
      <c r="U230" s="47"/>
      <c r="V230" s="47"/>
    </row>
    <row r="231" spans="1:22">
      <c r="A231" s="45" t="str">
        <f>SalesData[[#This Row],[Order_ID]]</f>
        <v>ORD-1229</v>
      </c>
      <c r="B231" s="41" cm="1">
        <f t="array" ref="B231">INDEX(SalesData[Order_Date], ROW()-1)</f>
        <v>45655</v>
      </c>
      <c r="C231" s="40" t="str" cm="1">
        <f t="array" ref="C231">INDEX(SalesData[Category], ROW()-1)</f>
        <v>Beauty</v>
      </c>
      <c r="D231" s="40" t="str" cm="1">
        <f t="array" ref="D231">INDEX(SalesData[Product_Name],ROW()-1)</f>
        <v>Lip Balm</v>
      </c>
      <c r="E231" s="40" t="str" cm="1">
        <f t="array" ref="E231">INDEX(SalesData[Customer_State],ROW()-1)</f>
        <v>Rajasthan</v>
      </c>
      <c r="F231" s="40" t="str" cm="1">
        <f t="array" ref="F231">INDEX(SalesData[Order_Status], ROW()-1)</f>
        <v>In Transit</v>
      </c>
      <c r="G231" s="40" t="str" cm="1">
        <f t="array" ref="G231">INDEX(SalesData[Fulfillment_Type], ROW()-1)</f>
        <v>FBA</v>
      </c>
      <c r="H231" s="40" cm="1">
        <f t="array" ref="H231">INDEX(SalesData[Units_Sold], ROW()-1)</f>
        <v>5</v>
      </c>
      <c r="I231" s="44" cm="1">
        <f t="array" ref="I231">INDEX(SalesData[Gross_Sales_INR], ROW()-1)</f>
        <v>10890</v>
      </c>
      <c r="J231" s="43" cm="1">
        <f t="array" ref="J231">INDEX(SalesData[Net_Profit_INR], ROW()-1)</f>
        <v>4893.12</v>
      </c>
      <c r="K231" s="42" cm="1">
        <f t="array" ref="K231">INDEX(SalesData[Profit_Margin_%], ROW()-1)</f>
        <v>44.9</v>
      </c>
      <c r="L231" s="46" t="str" cm="1">
        <f t="array" ref="L231">IF(INDEX(SalesData[Customer_Rating], ROW()-1)="", "—",REPT("★", INDEX(SalesData[Customer_Rating], ROW()-1)) &amp; REPT("☆", 5-INDEX(SalesData[Customer_Rating], ROW()-1)))</f>
        <v>—</v>
      </c>
      <c r="M231" s="40" t="str" cm="1">
        <f t="array" ref="M231">IF(INDEX(SalesData[Units_Sold],ROW()-1) &lt; 5, "⚠️ Reorder", "OK")</f>
        <v>OK</v>
      </c>
      <c r="N231" s="40" t="str">
        <f t="shared" si="5"/>
        <v>Profit</v>
      </c>
      <c r="O231" s="47" t="str">
        <f>SalesData[[#This Row],[Ad_Type]]</f>
        <v>None</v>
      </c>
      <c r="P231" s="47" t="str">
        <f>SalesData[[#This Row],[Brand]]</f>
        <v>Prestige</v>
      </c>
      <c r="Q231" s="47" t="str">
        <f>SalesData[[#This Row],[Product_Name]]</f>
        <v>Lip Balm</v>
      </c>
      <c r="R231" s="47"/>
      <c r="S231" s="47"/>
      <c r="T231" s="47"/>
      <c r="U231" s="47"/>
      <c r="V231" s="47"/>
    </row>
    <row r="232" spans="1:22">
      <c r="A232" s="45" t="str">
        <f>SalesData[[#This Row],[Order_ID]]</f>
        <v>ORD-1230</v>
      </c>
      <c r="B232" s="41" cm="1">
        <f t="array" ref="B232">INDEX(SalesData[Order_Date], ROW()-1)</f>
        <v>45047</v>
      </c>
      <c r="C232" s="40" t="str" cm="1">
        <f t="array" ref="C232">INDEX(SalesData[Category], ROW()-1)</f>
        <v>Sports</v>
      </c>
      <c r="D232" s="40" t="str" cm="1">
        <f t="array" ref="D232">INDEX(SalesData[Product_Name],ROW()-1)</f>
        <v>Yoga Mat</v>
      </c>
      <c r="E232" s="40" t="str" cm="1">
        <f t="array" ref="E232">INDEX(SalesData[Customer_State],ROW()-1)</f>
        <v>Karnataka</v>
      </c>
      <c r="F232" s="40" t="str" cm="1">
        <f t="array" ref="F232">INDEX(SalesData[Order_Status], ROW()-1)</f>
        <v>In Transit</v>
      </c>
      <c r="G232" s="40" t="str" cm="1">
        <f t="array" ref="G232">INDEX(SalesData[Fulfillment_Type], ROW()-1)</f>
        <v>FBM</v>
      </c>
      <c r="H232" s="40" cm="1">
        <f t="array" ref="H232">INDEX(SalesData[Units_Sold], ROW()-1)</f>
        <v>8</v>
      </c>
      <c r="I232" s="44" cm="1">
        <f t="array" ref="I232">INDEX(SalesData[Gross_Sales_INR], ROW()-1)</f>
        <v>21640</v>
      </c>
      <c r="J232" s="43" cm="1">
        <f t="array" ref="J232">INDEX(SalesData[Net_Profit_INR], ROW()-1)</f>
        <v>9321.7800000000007</v>
      </c>
      <c r="K232" s="42" cm="1">
        <f t="array" ref="K232">INDEX(SalesData[Profit_Margin_%], ROW()-1)</f>
        <v>43.1</v>
      </c>
      <c r="L232" s="46" t="str" cm="1">
        <f t="array" ref="L232">IF(INDEX(SalesData[Customer_Rating], ROW()-1)="", "—",REPT("★", INDEX(SalesData[Customer_Rating], ROW()-1)) &amp; REPT("☆", 5-INDEX(SalesData[Customer_Rating], ROW()-1)))</f>
        <v>—</v>
      </c>
      <c r="M232" s="40" t="str" cm="1">
        <f t="array" ref="M232">IF(INDEX(SalesData[Units_Sold],ROW()-1) &lt; 5, "⚠️ Reorder", "OK")</f>
        <v>OK</v>
      </c>
      <c r="N232" s="40" t="str">
        <f t="shared" si="5"/>
        <v>Profit</v>
      </c>
      <c r="O232" s="47" t="str">
        <f>SalesData[[#This Row],[Ad_Type]]</f>
        <v>Sponsored Products</v>
      </c>
      <c r="P232" s="47" t="str">
        <f>SalesData[[#This Row],[Brand]]</f>
        <v>Noise</v>
      </c>
      <c r="Q232" s="47" t="str">
        <f>SalesData[[#This Row],[Product_Name]]</f>
        <v>Yoga Mat</v>
      </c>
      <c r="R232" s="47"/>
      <c r="S232" s="47"/>
      <c r="T232" s="47"/>
      <c r="U232" s="47"/>
      <c r="V232" s="47"/>
    </row>
    <row r="233" spans="1:22">
      <c r="A233" s="45" t="str">
        <f>SalesData[[#This Row],[Order_ID]]</f>
        <v>ORD-1231</v>
      </c>
      <c r="B233" s="41" cm="1">
        <f t="array" ref="B233">INDEX(SalesData[Order_Date], ROW()-1)</f>
        <v>45336</v>
      </c>
      <c r="C233" s="40" t="str" cm="1">
        <f t="array" ref="C233">INDEX(SalesData[Category], ROW()-1)</f>
        <v>Office Supplies</v>
      </c>
      <c r="D233" s="40" t="str" cm="1">
        <f t="array" ref="D233">INDEX(SalesData[Product_Name],ROW()-1)</f>
        <v>Desk Organizer</v>
      </c>
      <c r="E233" s="40" t="str" cm="1">
        <f t="array" ref="E233">INDEX(SalesData[Customer_State],ROW()-1)</f>
        <v>Maharashtra</v>
      </c>
      <c r="F233" s="40" t="str" cm="1">
        <f t="array" ref="F233">INDEX(SalesData[Order_Status], ROW()-1)</f>
        <v>Returned</v>
      </c>
      <c r="G233" s="40" t="str" cm="1">
        <f t="array" ref="G233">INDEX(SalesData[Fulfillment_Type], ROW()-1)</f>
        <v>FBM</v>
      </c>
      <c r="H233" s="40" cm="1">
        <f t="array" ref="H233">INDEX(SalesData[Units_Sold], ROW()-1)</f>
        <v>8</v>
      </c>
      <c r="I233" s="44" cm="1">
        <f t="array" ref="I233">INDEX(SalesData[Gross_Sales_INR], ROW()-1)</f>
        <v>37344</v>
      </c>
      <c r="J233" s="43" cm="1">
        <f t="array" ref="J233">INDEX(SalesData[Net_Profit_INR], ROW()-1)</f>
        <v>814.9</v>
      </c>
      <c r="K233" s="42" cm="1">
        <f t="array" ref="K233">INDEX(SalesData[Profit_Margin_%], ROW()-1)</f>
        <v>4.4000000000000004</v>
      </c>
      <c r="L233" s="46" t="str" cm="1">
        <f t="array" ref="L233">IF(INDEX(SalesData[Customer_Rating], ROW()-1)="", "—",REPT("★", INDEX(SalesData[Customer_Rating], ROW()-1)) &amp; REPT("☆", 5-INDEX(SalesData[Customer_Rating], ROW()-1)))</f>
        <v>—</v>
      </c>
      <c r="M233" s="40" t="str" cm="1">
        <f t="array" ref="M233">IF(INDEX(SalesData[Units_Sold],ROW()-1) &lt; 5, "⚠️ Reorder", "OK")</f>
        <v>OK</v>
      </c>
      <c r="N233" s="40" t="str">
        <f t="shared" si="5"/>
        <v>Profit</v>
      </c>
      <c r="O233" s="47" t="str">
        <f>SalesData[[#This Row],[Ad_Type]]</f>
        <v>Sponsored Products</v>
      </c>
      <c r="P233" s="47" t="str">
        <f>SalesData[[#This Row],[Brand]]</f>
        <v>Decathlon</v>
      </c>
      <c r="Q233" s="47" t="str">
        <f>SalesData[[#This Row],[Product_Name]]</f>
        <v>Desk Organizer</v>
      </c>
      <c r="R233" s="47"/>
      <c r="S233" s="47"/>
      <c r="T233" s="47"/>
      <c r="U233" s="47"/>
      <c r="V233" s="47"/>
    </row>
    <row r="234" spans="1:22">
      <c r="A234" s="45" t="str">
        <f>SalesData[[#This Row],[Order_ID]]</f>
        <v>ORD-1232</v>
      </c>
      <c r="B234" s="41" cm="1">
        <f t="array" ref="B234">INDEX(SalesData[Order_Date], ROW()-1)</f>
        <v>45519</v>
      </c>
      <c r="C234" s="40" t="str" cm="1">
        <f t="array" ref="C234">INDEX(SalesData[Category], ROW()-1)</f>
        <v>Office Supplies</v>
      </c>
      <c r="D234" s="40" t="str" cm="1">
        <f t="array" ref="D234">INDEX(SalesData[Product_Name],ROW()-1)</f>
        <v>Tape Dispenser</v>
      </c>
      <c r="E234" s="40" t="str" cm="1">
        <f t="array" ref="E234">INDEX(SalesData[Customer_State],ROW()-1)</f>
        <v>Kerala</v>
      </c>
      <c r="F234" s="40" t="str" cm="1">
        <f t="array" ref="F234">INDEX(SalesData[Order_Status], ROW()-1)</f>
        <v>Delivered</v>
      </c>
      <c r="G234" s="40" t="str" cm="1">
        <f t="array" ref="G234">INDEX(SalesData[Fulfillment_Type], ROW()-1)</f>
        <v>FBA</v>
      </c>
      <c r="H234" s="40" cm="1">
        <f t="array" ref="H234">INDEX(SalesData[Units_Sold], ROW()-1)</f>
        <v>10</v>
      </c>
      <c r="I234" s="44" cm="1">
        <f t="array" ref="I234">INDEX(SalesData[Gross_Sales_INR], ROW()-1)</f>
        <v>5720</v>
      </c>
      <c r="J234" s="43" cm="1">
        <f t="array" ref="J234">INDEX(SalesData[Net_Profit_INR], ROW()-1)</f>
        <v>2375.71</v>
      </c>
      <c r="K234" s="42" cm="1">
        <f t="array" ref="K234">INDEX(SalesData[Profit_Margin_%], ROW()-1)</f>
        <v>41.5</v>
      </c>
      <c r="L234" s="46" t="str" cm="1">
        <f t="array" ref="L234">IF(INDEX(SalesData[Customer_Rating], ROW()-1)="", "—",REPT("★", INDEX(SalesData[Customer_Rating], ROW()-1)) &amp; REPT("☆", 5-INDEX(SalesData[Customer_Rating], ROW()-1)))</f>
        <v>★★★☆☆</v>
      </c>
      <c r="M234" s="40" t="str" cm="1">
        <f t="array" ref="M234">IF(INDEX(SalesData[Units_Sold],ROW()-1) &lt; 5, "⚠️ Reorder", "OK")</f>
        <v>OK</v>
      </c>
      <c r="N234" s="40" t="str">
        <f t="shared" si="5"/>
        <v>Profit</v>
      </c>
      <c r="O234" s="47" t="str">
        <f>SalesData[[#This Row],[Ad_Type]]</f>
        <v>None</v>
      </c>
      <c r="P234" s="47" t="str">
        <f>SalesData[[#This Row],[Brand]]</f>
        <v>Lakme</v>
      </c>
      <c r="Q234" s="47" t="str">
        <f>SalesData[[#This Row],[Product_Name]]</f>
        <v>Tape Dispenser</v>
      </c>
      <c r="R234" s="47"/>
      <c r="S234" s="47"/>
      <c r="T234" s="47"/>
      <c r="U234" s="47"/>
      <c r="V234" s="47"/>
    </row>
    <row r="235" spans="1:22">
      <c r="A235" s="45" t="str">
        <f>SalesData[[#This Row],[Order_ID]]</f>
        <v>ORD-1233</v>
      </c>
      <c r="B235" s="41" cm="1">
        <f t="array" ref="B235">INDEX(SalesData[Order_Date], ROW()-1)</f>
        <v>45618</v>
      </c>
      <c r="C235" s="40" t="str" cm="1">
        <f t="array" ref="C235">INDEX(SalesData[Category], ROW()-1)</f>
        <v>Electronics</v>
      </c>
      <c r="D235" s="40" t="str" cm="1">
        <f t="array" ref="D235">INDEX(SalesData[Product_Name],ROW()-1)</f>
        <v>Bluetooth Speaker</v>
      </c>
      <c r="E235" s="40" t="str" cm="1">
        <f t="array" ref="E235">INDEX(SalesData[Customer_State],ROW()-1)</f>
        <v>West Bengal</v>
      </c>
      <c r="F235" s="40" t="str" cm="1">
        <f t="array" ref="F235">INDEX(SalesData[Order_Status], ROW()-1)</f>
        <v>Delivered</v>
      </c>
      <c r="G235" s="40" t="str" cm="1">
        <f t="array" ref="G235">INDEX(SalesData[Fulfillment_Type], ROW()-1)</f>
        <v>FBA</v>
      </c>
      <c r="H235" s="40" cm="1">
        <f t="array" ref="H235">INDEX(SalesData[Units_Sold], ROW()-1)</f>
        <v>4</v>
      </c>
      <c r="I235" s="44" cm="1">
        <f t="array" ref="I235">INDEX(SalesData[Gross_Sales_INR], ROW()-1)</f>
        <v>12308</v>
      </c>
      <c r="J235" s="43" cm="1">
        <f t="array" ref="J235">INDEX(SalesData[Net_Profit_INR], ROW()-1)</f>
        <v>4165.41</v>
      </c>
      <c r="K235" s="42" cm="1">
        <f t="array" ref="K235">INDEX(SalesData[Profit_Margin_%], ROW()-1)</f>
        <v>33.799999999999997</v>
      </c>
      <c r="L235" s="46" t="str" cm="1">
        <f t="array" ref="L235">IF(INDEX(SalesData[Customer_Rating], ROW()-1)="", "—",REPT("★", INDEX(SalesData[Customer_Rating], ROW()-1)) &amp; REPT("☆", 5-INDEX(SalesData[Customer_Rating], ROW()-1)))</f>
        <v>★★★★★</v>
      </c>
      <c r="M235" s="40" t="str" cm="1">
        <f t="array" ref="M235">IF(INDEX(SalesData[Units_Sold],ROW()-1) &lt; 5, "⚠️ Reorder", "OK")</f>
        <v>⚠️ Reorder</v>
      </c>
      <c r="N235" s="40" t="str">
        <f t="shared" si="5"/>
        <v>Profit</v>
      </c>
      <c r="O235" s="47" t="str">
        <f>SalesData[[#This Row],[Ad_Type]]</f>
        <v>None</v>
      </c>
      <c r="P235" s="47" t="str">
        <f>SalesData[[#This Row],[Brand]]</f>
        <v>Puma</v>
      </c>
      <c r="Q235" s="47" t="str">
        <f>SalesData[[#This Row],[Product_Name]]</f>
        <v>Bluetooth Speaker</v>
      </c>
      <c r="R235" s="47"/>
      <c r="S235" s="47"/>
      <c r="T235" s="47"/>
      <c r="U235" s="47"/>
      <c r="V235" s="47"/>
    </row>
    <row r="236" spans="1:22">
      <c r="A236" s="45" t="str">
        <f>SalesData[[#This Row],[Order_ID]]</f>
        <v>ORD-1234</v>
      </c>
      <c r="B236" s="41" cm="1">
        <f t="array" ref="B236">INDEX(SalesData[Order_Date], ROW()-1)</f>
        <v>45040</v>
      </c>
      <c r="C236" s="40" t="str" cm="1">
        <f t="array" ref="C236">INDEX(SalesData[Category], ROW()-1)</f>
        <v>Sports</v>
      </c>
      <c r="D236" s="40" t="str" cm="1">
        <f t="array" ref="D236">INDEX(SalesData[Product_Name],ROW()-1)</f>
        <v>Dumbbell Set</v>
      </c>
      <c r="E236" s="40" t="str" cm="1">
        <f t="array" ref="E236">INDEX(SalesData[Customer_State],ROW()-1)</f>
        <v>Uttar Pradesh</v>
      </c>
      <c r="F236" s="40" t="str" cm="1">
        <f t="array" ref="F236">INDEX(SalesData[Order_Status], ROW()-1)</f>
        <v>Returned</v>
      </c>
      <c r="G236" s="40" t="str" cm="1">
        <f t="array" ref="G236">INDEX(SalesData[Fulfillment_Type], ROW()-1)</f>
        <v>FBA</v>
      </c>
      <c r="H236" s="40" cm="1">
        <f t="array" ref="H236">INDEX(SalesData[Units_Sold], ROW()-1)</f>
        <v>8</v>
      </c>
      <c r="I236" s="44" cm="1">
        <f t="array" ref="I236">INDEX(SalesData[Gross_Sales_INR], ROW()-1)</f>
        <v>2912</v>
      </c>
      <c r="J236" s="43" cm="1">
        <f t="array" ref="J236">INDEX(SalesData[Net_Profit_INR], ROW()-1)</f>
        <v>336.76</v>
      </c>
      <c r="K236" s="42" cm="1">
        <f t="array" ref="K236">INDEX(SalesData[Profit_Margin_%], ROW()-1)</f>
        <v>13.2</v>
      </c>
      <c r="L236" s="46" t="str" cm="1">
        <f t="array" ref="L236">IF(INDEX(SalesData[Customer_Rating], ROW()-1)="", "—",REPT("★", INDEX(SalesData[Customer_Rating], ROW()-1)) &amp; REPT("☆", 5-INDEX(SalesData[Customer_Rating], ROW()-1)))</f>
        <v>—</v>
      </c>
      <c r="M236" s="40" t="str" cm="1">
        <f t="array" ref="M236">IF(INDEX(SalesData[Units_Sold],ROW()-1) &lt; 5, "⚠️ Reorder", "OK")</f>
        <v>OK</v>
      </c>
      <c r="N236" s="40" t="str">
        <f t="shared" si="5"/>
        <v>Profit</v>
      </c>
      <c r="O236" s="47" t="str">
        <f>SalesData[[#This Row],[Ad_Type]]</f>
        <v>Sponsored Brands</v>
      </c>
      <c r="P236" s="47" t="str">
        <f>SalesData[[#This Row],[Brand]]</f>
        <v>Puma</v>
      </c>
      <c r="Q236" s="47" t="str">
        <f>SalesData[[#This Row],[Product_Name]]</f>
        <v>Dumbbell Set</v>
      </c>
      <c r="R236" s="47"/>
      <c r="S236" s="47"/>
      <c r="T236" s="47"/>
      <c r="U236" s="47"/>
      <c r="V236" s="47"/>
    </row>
    <row r="237" spans="1:22">
      <c r="A237" s="45" t="str">
        <f>SalesData[[#This Row],[Order_ID]]</f>
        <v>ORD-1235</v>
      </c>
      <c r="B237" s="41" cm="1">
        <f t="array" ref="B237">INDEX(SalesData[Order_Date], ROW()-1)</f>
        <v>45325</v>
      </c>
      <c r="C237" s="40" t="str" cm="1">
        <f t="array" ref="C237">INDEX(SalesData[Category], ROW()-1)</f>
        <v>Electronics</v>
      </c>
      <c r="D237" s="40" t="str" cm="1">
        <f t="array" ref="D237">INDEX(SalesData[Product_Name],ROW()-1)</f>
        <v>Earbuds</v>
      </c>
      <c r="E237" s="40" t="str" cm="1">
        <f t="array" ref="E237">INDEX(SalesData[Customer_State],ROW()-1)</f>
        <v>Haryana</v>
      </c>
      <c r="F237" s="40" t="str" cm="1">
        <f t="array" ref="F237">INDEX(SalesData[Order_Status], ROW()-1)</f>
        <v>Delivered</v>
      </c>
      <c r="G237" s="40" t="str" cm="1">
        <f t="array" ref="G237">INDEX(SalesData[Fulfillment_Type], ROW()-1)</f>
        <v>FBM</v>
      </c>
      <c r="H237" s="40" cm="1">
        <f t="array" ref="H237">INDEX(SalesData[Units_Sold], ROW()-1)</f>
        <v>5</v>
      </c>
      <c r="I237" s="44" cm="1">
        <f t="array" ref="I237">INDEX(SalesData[Gross_Sales_INR], ROW()-1)</f>
        <v>10775</v>
      </c>
      <c r="J237" s="43" cm="1">
        <f t="array" ref="J237">INDEX(SalesData[Net_Profit_INR], ROW()-1)</f>
        <v>5446.98</v>
      </c>
      <c r="K237" s="42" cm="1">
        <f t="array" ref="K237">INDEX(SalesData[Profit_Margin_%], ROW()-1)</f>
        <v>50.6</v>
      </c>
      <c r="L237" s="46" t="str" cm="1">
        <f t="array" ref="L237">IF(INDEX(SalesData[Customer_Rating], ROW()-1)="", "—",REPT("★", INDEX(SalesData[Customer_Rating], ROW()-1)) &amp; REPT("☆", 5-INDEX(SalesData[Customer_Rating], ROW()-1)))</f>
        <v>★★★☆☆</v>
      </c>
      <c r="M237" s="40" t="str" cm="1">
        <f t="array" ref="M237">IF(INDEX(SalesData[Units_Sold],ROW()-1) &lt; 5, "⚠️ Reorder", "OK")</f>
        <v>OK</v>
      </c>
      <c r="N237" s="40" t="str">
        <f t="shared" si="5"/>
        <v>Profit</v>
      </c>
      <c r="O237" s="47" t="str">
        <f>SalesData[[#This Row],[Ad_Type]]</f>
        <v>Sponsored Brands</v>
      </c>
      <c r="P237" s="47" t="str">
        <f>SalesData[[#This Row],[Brand]]</f>
        <v>Mamaearth</v>
      </c>
      <c r="Q237" s="47" t="str">
        <f>SalesData[[#This Row],[Product_Name]]</f>
        <v>Earbuds</v>
      </c>
      <c r="R237" s="47"/>
      <c r="S237" s="47"/>
      <c r="T237" s="47"/>
      <c r="U237" s="47"/>
      <c r="V237" s="47"/>
    </row>
    <row r="238" spans="1:22">
      <c r="A238" s="45" t="str">
        <f>SalesData[[#This Row],[Order_ID]]</f>
        <v>ORD-1236</v>
      </c>
      <c r="B238" s="41" cm="1">
        <f t="array" ref="B238">INDEX(SalesData[Order_Date], ROW()-1)</f>
        <v>45627</v>
      </c>
      <c r="C238" s="40" t="str" cm="1">
        <f t="array" ref="C238">INDEX(SalesData[Category], ROW()-1)</f>
        <v>Home &amp; Kitchen</v>
      </c>
      <c r="D238" s="40" t="str" cm="1">
        <f t="array" ref="D238">INDEX(SalesData[Product_Name],ROW()-1)</f>
        <v>Air Fryer</v>
      </c>
      <c r="E238" s="40" t="str" cm="1">
        <f t="array" ref="E238">INDEX(SalesData[Customer_State],ROW()-1)</f>
        <v>Gujarat</v>
      </c>
      <c r="F238" s="40" t="str" cm="1">
        <f t="array" ref="F238">INDEX(SalesData[Order_Status], ROW()-1)</f>
        <v>Delivered</v>
      </c>
      <c r="G238" s="40" t="str" cm="1">
        <f t="array" ref="G238">INDEX(SalesData[Fulfillment_Type], ROW()-1)</f>
        <v>FBA</v>
      </c>
      <c r="H238" s="40" cm="1">
        <f t="array" ref="H238">INDEX(SalesData[Units_Sold], ROW()-1)</f>
        <v>8</v>
      </c>
      <c r="I238" s="44" cm="1">
        <f t="array" ref="I238">INDEX(SalesData[Gross_Sales_INR], ROW()-1)</f>
        <v>5712</v>
      </c>
      <c r="J238" s="43" cm="1">
        <f t="array" ref="J238">INDEX(SalesData[Net_Profit_INR], ROW()-1)</f>
        <v>2707.66</v>
      </c>
      <c r="K238" s="42" cm="1">
        <f t="array" ref="K238">INDEX(SalesData[Profit_Margin_%], ROW()-1)</f>
        <v>47.4</v>
      </c>
      <c r="L238" s="46" t="str" cm="1">
        <f t="array" ref="L238">IF(INDEX(SalesData[Customer_Rating], ROW()-1)="", "—",REPT("★", INDEX(SalesData[Customer_Rating], ROW()-1)) &amp; REPT("☆", 5-INDEX(SalesData[Customer_Rating], ROW()-1)))</f>
        <v>★★★★★</v>
      </c>
      <c r="M238" s="40" t="str" cm="1">
        <f t="array" ref="M238">IF(INDEX(SalesData[Units_Sold],ROW()-1) &lt; 5, "⚠️ Reorder", "OK")</f>
        <v>OK</v>
      </c>
      <c r="N238" s="40" t="str">
        <f t="shared" si="5"/>
        <v>Profit</v>
      </c>
      <c r="O238" s="47" t="str">
        <f>SalesData[[#This Row],[Ad_Type]]</f>
        <v>None</v>
      </c>
      <c r="P238" s="47" t="str">
        <f>SalesData[[#This Row],[Brand]]</f>
        <v>Prestige</v>
      </c>
      <c r="Q238" s="47" t="str">
        <f>SalesData[[#This Row],[Product_Name]]</f>
        <v>Air Fryer</v>
      </c>
      <c r="R238" s="47"/>
      <c r="S238" s="47"/>
      <c r="T238" s="47"/>
      <c r="U238" s="47"/>
      <c r="V238" s="47"/>
    </row>
    <row r="239" spans="1:22">
      <c r="A239" s="45" t="str">
        <f>SalesData[[#This Row],[Order_ID]]</f>
        <v>ORD-1237</v>
      </c>
      <c r="B239" s="41" cm="1">
        <f t="array" ref="B239">INDEX(SalesData[Order_Date], ROW()-1)</f>
        <v>45280</v>
      </c>
      <c r="C239" s="40" t="str" cm="1">
        <f t="array" ref="C239">INDEX(SalesData[Category], ROW()-1)</f>
        <v>Electronics</v>
      </c>
      <c r="D239" s="40" t="str" cm="1">
        <f t="array" ref="D239">INDEX(SalesData[Product_Name],ROW()-1)</f>
        <v>Phone Case</v>
      </c>
      <c r="E239" s="40" t="str" cm="1">
        <f t="array" ref="E239">INDEX(SalesData[Customer_State],ROW()-1)</f>
        <v>Tamil Nadu</v>
      </c>
      <c r="F239" s="40" t="str" cm="1">
        <f t="array" ref="F239">INDEX(SalesData[Order_Status], ROW()-1)</f>
        <v>Delivered</v>
      </c>
      <c r="G239" s="40" t="str" cm="1">
        <f t="array" ref="G239">INDEX(SalesData[Fulfillment_Type], ROW()-1)</f>
        <v>FBM</v>
      </c>
      <c r="H239" s="40" cm="1">
        <f t="array" ref="H239">INDEX(SalesData[Units_Sold], ROW()-1)</f>
        <v>6</v>
      </c>
      <c r="I239" s="44" cm="1">
        <f t="array" ref="I239">INDEX(SalesData[Gross_Sales_INR], ROW()-1)</f>
        <v>15486</v>
      </c>
      <c r="J239" s="43" cm="1">
        <f t="array" ref="J239">INDEX(SalesData[Net_Profit_INR], ROW()-1)</f>
        <v>8915.1299999999992</v>
      </c>
      <c r="K239" s="42" cm="1">
        <f t="array" ref="K239">INDEX(SalesData[Profit_Margin_%], ROW()-1)</f>
        <v>57.6</v>
      </c>
      <c r="L239" s="46" t="str" cm="1">
        <f t="array" ref="L239">IF(INDEX(SalesData[Customer_Rating], ROW()-1)="", "—",REPT("★", INDEX(SalesData[Customer_Rating], ROW()-1)) &amp; REPT("☆", 5-INDEX(SalesData[Customer_Rating], ROW()-1)))</f>
        <v>★★☆☆☆</v>
      </c>
      <c r="M239" s="40" t="str" cm="1">
        <f t="array" ref="M239">IF(INDEX(SalesData[Units_Sold],ROW()-1) &lt; 5, "⚠️ Reorder", "OK")</f>
        <v>OK</v>
      </c>
      <c r="N239" s="40" t="str">
        <f t="shared" si="5"/>
        <v>Profit</v>
      </c>
      <c r="O239" s="47" t="str">
        <f>SalesData[[#This Row],[Ad_Type]]</f>
        <v>None</v>
      </c>
      <c r="P239" s="47" t="str">
        <f>SalesData[[#This Row],[Brand]]</f>
        <v>Generic</v>
      </c>
      <c r="Q239" s="47" t="str">
        <f>SalesData[[#This Row],[Product_Name]]</f>
        <v>Phone Case</v>
      </c>
      <c r="R239" s="47"/>
      <c r="S239" s="47"/>
      <c r="T239" s="47"/>
      <c r="U239" s="47"/>
      <c r="V239" s="47"/>
    </row>
    <row r="240" spans="1:22">
      <c r="A240" s="45" t="str">
        <f>SalesData[[#This Row],[Order_ID]]</f>
        <v>ORD-1238</v>
      </c>
      <c r="B240" s="41" cm="1">
        <f t="array" ref="B240">INDEX(SalesData[Order_Date], ROW()-1)</f>
        <v>45561</v>
      </c>
      <c r="C240" s="40" t="str" cm="1">
        <f t="array" ref="C240">INDEX(SalesData[Category], ROW()-1)</f>
        <v>Home &amp; Kitchen</v>
      </c>
      <c r="D240" s="40" t="str" cm="1">
        <f t="array" ref="D240">INDEX(SalesData[Product_Name],ROW()-1)</f>
        <v>Water Bottle</v>
      </c>
      <c r="E240" s="40" t="str" cm="1">
        <f t="array" ref="E240">INDEX(SalesData[Customer_State],ROW()-1)</f>
        <v>Haryana</v>
      </c>
      <c r="F240" s="40" t="str" cm="1">
        <f t="array" ref="F240">INDEX(SalesData[Order_Status], ROW()-1)</f>
        <v>Delivered</v>
      </c>
      <c r="G240" s="40" t="str" cm="1">
        <f t="array" ref="G240">INDEX(SalesData[Fulfillment_Type], ROW()-1)</f>
        <v>FBM</v>
      </c>
      <c r="H240" s="40" cm="1">
        <f t="array" ref="H240">INDEX(SalesData[Units_Sold], ROW()-1)</f>
        <v>9</v>
      </c>
      <c r="I240" s="44" cm="1">
        <f t="array" ref="I240">INDEX(SalesData[Gross_Sales_INR], ROW()-1)</f>
        <v>14463</v>
      </c>
      <c r="J240" s="43" cm="1">
        <f t="array" ref="J240">INDEX(SalesData[Net_Profit_INR], ROW()-1)</f>
        <v>7820.18</v>
      </c>
      <c r="K240" s="42" cm="1">
        <f t="array" ref="K240">INDEX(SalesData[Profit_Margin_%], ROW()-1)</f>
        <v>54.1</v>
      </c>
      <c r="L240" s="46" t="str" cm="1">
        <f t="array" ref="L240">IF(INDEX(SalesData[Customer_Rating], ROW()-1)="", "—",REPT("★", INDEX(SalesData[Customer_Rating], ROW()-1)) &amp; REPT("☆", 5-INDEX(SalesData[Customer_Rating], ROW()-1)))</f>
        <v>★★★★★</v>
      </c>
      <c r="M240" s="40" t="str" cm="1">
        <f t="array" ref="M240">IF(INDEX(SalesData[Units_Sold],ROW()-1) &lt; 5, "⚠️ Reorder", "OK")</f>
        <v>OK</v>
      </c>
      <c r="N240" s="40" t="str">
        <f t="shared" si="5"/>
        <v>Loss</v>
      </c>
      <c r="O240" s="47" t="str">
        <f>SalesData[[#This Row],[Ad_Type]]</f>
        <v>Sponsored Brands</v>
      </c>
      <c r="P240" s="47" t="str">
        <f>SalesData[[#This Row],[Brand]]</f>
        <v>Fastrack</v>
      </c>
      <c r="Q240" s="47" t="str">
        <f>SalesData[[#This Row],[Product_Name]]</f>
        <v>Water Bottle</v>
      </c>
      <c r="R240" s="47"/>
      <c r="S240" s="47"/>
      <c r="T240" s="47"/>
      <c r="U240" s="47"/>
      <c r="V240" s="47"/>
    </row>
    <row r="241" spans="1:22">
      <c r="A241" s="45" t="str">
        <f>SalesData[[#This Row],[Order_ID]]</f>
        <v>ORD-1239</v>
      </c>
      <c r="B241" s="41" cm="1">
        <f t="array" ref="B241">INDEX(SalesData[Order_Date], ROW()-1)</f>
        <v>45409</v>
      </c>
      <c r="C241" s="40" t="str" cm="1">
        <f t="array" ref="C241">INDEX(SalesData[Category], ROW()-1)</f>
        <v>Beauty</v>
      </c>
      <c r="D241" s="40" t="str" cm="1">
        <f t="array" ref="D241">INDEX(SalesData[Product_Name],ROW()-1)</f>
        <v>Moisturizer</v>
      </c>
      <c r="E241" s="40" t="str" cm="1">
        <f t="array" ref="E241">INDEX(SalesData[Customer_State],ROW()-1)</f>
        <v>Gujarat</v>
      </c>
      <c r="F241" s="40" t="str" cm="1">
        <f t="array" ref="F241">INDEX(SalesData[Order_Status], ROW()-1)</f>
        <v>Pending</v>
      </c>
      <c r="G241" s="40" t="str" cm="1">
        <f t="array" ref="G241">INDEX(SalesData[Fulfillment_Type], ROW()-1)</f>
        <v>FBA</v>
      </c>
      <c r="H241" s="40" cm="1">
        <f t="array" ref="H241">INDEX(SalesData[Units_Sold], ROW()-1)</f>
        <v>6</v>
      </c>
      <c r="I241" s="44" cm="1">
        <f t="array" ref="I241">INDEX(SalesData[Gross_Sales_INR], ROW()-1)</f>
        <v>12984</v>
      </c>
      <c r="J241" s="43" cm="1">
        <f t="array" ref="J241">INDEX(SalesData[Net_Profit_INR], ROW()-1)</f>
        <v>4637.7</v>
      </c>
      <c r="K241" s="42" cm="1">
        <f t="array" ref="K241">INDEX(SalesData[Profit_Margin_%], ROW()-1)</f>
        <v>35.700000000000003</v>
      </c>
      <c r="L241" s="46" t="str" cm="1">
        <f t="array" ref="L241">IF(INDEX(SalesData[Customer_Rating], ROW()-1)="", "—",REPT("★", INDEX(SalesData[Customer_Rating], ROW()-1)) &amp; REPT("☆", 5-INDEX(SalesData[Customer_Rating], ROW()-1)))</f>
        <v>—</v>
      </c>
      <c r="M241" s="40" t="str" cm="1">
        <f t="array" ref="M241">IF(INDEX(SalesData[Units_Sold],ROW()-1) &lt; 5, "⚠️ Reorder", "OK")</f>
        <v>OK</v>
      </c>
      <c r="N241" s="40" t="str">
        <f t="shared" si="5"/>
        <v>Profit</v>
      </c>
      <c r="O241" s="47" t="str">
        <f>SalesData[[#This Row],[Ad_Type]]</f>
        <v>None</v>
      </c>
      <c r="P241" s="47" t="str">
        <f>SalesData[[#This Row],[Brand]]</f>
        <v>Prestige</v>
      </c>
      <c r="Q241" s="47" t="str">
        <f>SalesData[[#This Row],[Product_Name]]</f>
        <v>Moisturizer</v>
      </c>
      <c r="R241" s="47"/>
      <c r="S241" s="47"/>
      <c r="T241" s="47"/>
      <c r="U241" s="47"/>
      <c r="V241" s="47"/>
    </row>
    <row r="242" spans="1:22">
      <c r="A242" s="45" t="str">
        <f>SalesData[[#This Row],[Order_ID]]</f>
        <v>ORD-1240</v>
      </c>
      <c r="B242" s="41" cm="1">
        <f t="array" ref="B242">INDEX(SalesData[Order_Date], ROW()-1)</f>
        <v>45413</v>
      </c>
      <c r="C242" s="40" t="str" cm="1">
        <f t="array" ref="C242">INDEX(SalesData[Category], ROW()-1)</f>
        <v>Home &amp; Kitchen</v>
      </c>
      <c r="D242" s="40" t="str" cm="1">
        <f t="array" ref="D242">INDEX(SalesData[Product_Name],ROW()-1)</f>
        <v>Pillow Cover</v>
      </c>
      <c r="E242" s="40" t="str" cm="1">
        <f t="array" ref="E242">INDEX(SalesData[Customer_State],ROW()-1)</f>
        <v>West Bengal</v>
      </c>
      <c r="F242" s="40" t="str" cm="1">
        <f t="array" ref="F242">INDEX(SalesData[Order_Status], ROW()-1)</f>
        <v>Delivered</v>
      </c>
      <c r="G242" s="40" t="str" cm="1">
        <f t="array" ref="G242">INDEX(SalesData[Fulfillment_Type], ROW()-1)</f>
        <v>FBA</v>
      </c>
      <c r="H242" s="40" cm="1">
        <f t="array" ref="H242">INDEX(SalesData[Units_Sold], ROW()-1)</f>
        <v>5</v>
      </c>
      <c r="I242" s="44" cm="1">
        <f t="array" ref="I242">INDEX(SalesData[Gross_Sales_INR], ROW()-1)</f>
        <v>12745</v>
      </c>
      <c r="J242" s="43" cm="1">
        <f t="array" ref="J242">INDEX(SalesData[Net_Profit_INR], ROW()-1)</f>
        <v>5490.68</v>
      </c>
      <c r="K242" s="42" cm="1">
        <f t="array" ref="K242">INDEX(SalesData[Profit_Margin_%], ROW()-1)</f>
        <v>43.1</v>
      </c>
      <c r="L242" s="46" t="str" cm="1">
        <f t="array" ref="L242">IF(INDEX(SalesData[Customer_Rating], ROW()-1)="", "—",REPT("★", INDEX(SalesData[Customer_Rating], ROW()-1)) &amp; REPT("☆", 5-INDEX(SalesData[Customer_Rating], ROW()-1)))</f>
        <v>★★★★★</v>
      </c>
      <c r="M242" s="40" t="str" cm="1">
        <f t="array" ref="M242">IF(INDEX(SalesData[Units_Sold],ROW()-1) &lt; 5, "⚠️ Reorder", "OK")</f>
        <v>OK</v>
      </c>
      <c r="N242" s="40" t="str">
        <f t="shared" si="5"/>
        <v>Loss</v>
      </c>
      <c r="O242" s="47" t="str">
        <f>SalesData[[#This Row],[Ad_Type]]</f>
        <v>None</v>
      </c>
      <c r="P242" s="47" t="str">
        <f>SalesData[[#This Row],[Brand]]</f>
        <v>Classmate</v>
      </c>
      <c r="Q242" s="47" t="str">
        <f>SalesData[[#This Row],[Product_Name]]</f>
        <v>Pillow Cover</v>
      </c>
      <c r="R242" s="47"/>
      <c r="S242" s="47"/>
      <c r="T242" s="47"/>
      <c r="U242" s="47"/>
      <c r="V242" s="47"/>
    </row>
    <row r="243" spans="1:22">
      <c r="A243" s="45" t="str">
        <f>SalesData[[#This Row],[Order_ID]]</f>
        <v>ORD-1241</v>
      </c>
      <c r="B243" s="41" cm="1">
        <f t="array" ref="B243">INDEX(SalesData[Order_Date], ROW()-1)</f>
        <v>45161</v>
      </c>
      <c r="C243" s="40" t="str" cm="1">
        <f t="array" ref="C243">INDEX(SalesData[Category], ROW()-1)</f>
        <v>Fashion</v>
      </c>
      <c r="D243" s="40" t="str" cm="1">
        <f t="array" ref="D243">INDEX(SalesData[Product_Name],ROW()-1)</f>
        <v>Sports Shoes</v>
      </c>
      <c r="E243" s="40" t="str" cm="1">
        <f t="array" ref="E243">INDEX(SalesData[Customer_State],ROW()-1)</f>
        <v>Rajasthan</v>
      </c>
      <c r="F243" s="40" t="str" cm="1">
        <f t="array" ref="F243">INDEX(SalesData[Order_Status], ROW()-1)</f>
        <v>Returned</v>
      </c>
      <c r="G243" s="40" t="str" cm="1">
        <f t="array" ref="G243">INDEX(SalesData[Fulfillment_Type], ROW()-1)</f>
        <v>FBA</v>
      </c>
      <c r="H243" s="40" cm="1">
        <f t="array" ref="H243">INDEX(SalesData[Units_Sold], ROW()-1)</f>
        <v>10</v>
      </c>
      <c r="I243" s="44" cm="1">
        <f t="array" ref="I243">INDEX(SalesData[Gross_Sales_INR], ROW()-1)</f>
        <v>10870</v>
      </c>
      <c r="J243" s="43" cm="1">
        <f t="array" ref="J243">INDEX(SalesData[Net_Profit_INR], ROW()-1)</f>
        <v>3263.37</v>
      </c>
      <c r="K243" s="42" cm="1">
        <f t="array" ref="K243">INDEX(SalesData[Profit_Margin_%], ROW()-1)</f>
        <v>30</v>
      </c>
      <c r="L243" s="46" t="str" cm="1">
        <f t="array" ref="L243">IF(INDEX(SalesData[Customer_Rating], ROW()-1)="", "—",REPT("★", INDEX(SalesData[Customer_Rating], ROW()-1)) &amp; REPT("☆", 5-INDEX(SalesData[Customer_Rating], ROW()-1)))</f>
        <v>—</v>
      </c>
      <c r="M243" s="40" t="str" cm="1">
        <f t="array" ref="M243">IF(INDEX(SalesData[Units_Sold],ROW()-1) &lt; 5, "⚠️ Reorder", "OK")</f>
        <v>OK</v>
      </c>
      <c r="N243" s="40" t="str">
        <f t="shared" si="5"/>
        <v>Profit</v>
      </c>
      <c r="O243" s="47" t="str">
        <f>SalesData[[#This Row],[Ad_Type]]</f>
        <v>Sponsored Brands</v>
      </c>
      <c r="P243" s="47" t="str">
        <f>SalesData[[#This Row],[Brand]]</f>
        <v>Decathlon</v>
      </c>
      <c r="Q243" s="47" t="str">
        <f>SalesData[[#This Row],[Product_Name]]</f>
        <v>Sports Shoes</v>
      </c>
      <c r="R243" s="47"/>
      <c r="S243" s="47"/>
      <c r="T243" s="47"/>
      <c r="U243" s="47"/>
      <c r="V243" s="47"/>
    </row>
    <row r="244" spans="1:22">
      <c r="A244" s="45" t="str">
        <f>SalesData[[#This Row],[Order_ID]]</f>
        <v>ORD-1242</v>
      </c>
      <c r="B244" s="41" cm="1">
        <f t="array" ref="B244">INDEX(SalesData[Order_Date], ROW()-1)</f>
        <v>45292</v>
      </c>
      <c r="C244" s="40" t="str" cm="1">
        <f t="array" ref="C244">INDEX(SalesData[Category], ROW()-1)</f>
        <v>Electronics</v>
      </c>
      <c r="D244" s="40" t="str" cm="1">
        <f t="array" ref="D244">INDEX(SalesData[Product_Name],ROW()-1)</f>
        <v>Webcam</v>
      </c>
      <c r="E244" s="40" t="str" cm="1">
        <f t="array" ref="E244">INDEX(SalesData[Customer_State],ROW()-1)</f>
        <v>Tamil Nadu</v>
      </c>
      <c r="F244" s="40" t="str" cm="1">
        <f t="array" ref="F244">INDEX(SalesData[Order_Status], ROW()-1)</f>
        <v>In Transit</v>
      </c>
      <c r="G244" s="40" t="str" cm="1">
        <f t="array" ref="G244">INDEX(SalesData[Fulfillment_Type], ROW()-1)</f>
        <v>FBA</v>
      </c>
      <c r="H244" s="40" cm="1">
        <f t="array" ref="H244">INDEX(SalesData[Units_Sold], ROW()-1)</f>
        <v>9</v>
      </c>
      <c r="I244" s="44" cm="1">
        <f t="array" ref="I244">INDEX(SalesData[Gross_Sales_INR], ROW()-1)</f>
        <v>21915</v>
      </c>
      <c r="J244" s="43" cm="1">
        <f t="array" ref="J244">INDEX(SalesData[Net_Profit_INR], ROW()-1)</f>
        <v>9746.9599999999991</v>
      </c>
      <c r="K244" s="42" cm="1">
        <f t="array" ref="K244">INDEX(SalesData[Profit_Margin_%], ROW()-1)</f>
        <v>44.5</v>
      </c>
      <c r="L244" s="46" t="str" cm="1">
        <f t="array" ref="L244">IF(INDEX(SalesData[Customer_Rating], ROW()-1)="", "—",REPT("★", INDEX(SalesData[Customer_Rating], ROW()-1)) &amp; REPT("☆", 5-INDEX(SalesData[Customer_Rating], ROW()-1)))</f>
        <v>—</v>
      </c>
      <c r="M244" s="40" t="str" cm="1">
        <f t="array" ref="M244">IF(INDEX(SalesData[Units_Sold],ROW()-1) &lt; 5, "⚠️ Reorder", "OK")</f>
        <v>OK</v>
      </c>
      <c r="N244" s="40" t="str">
        <f t="shared" si="5"/>
        <v>Profit</v>
      </c>
      <c r="O244" s="47" t="str">
        <f>SalesData[[#This Row],[Ad_Type]]</f>
        <v>Sponsored Display</v>
      </c>
      <c r="P244" s="47" t="str">
        <f>SalesData[[#This Row],[Brand]]</f>
        <v>Cello</v>
      </c>
      <c r="Q244" s="47" t="str">
        <f>SalesData[[#This Row],[Product_Name]]</f>
        <v>Webcam</v>
      </c>
      <c r="R244" s="47"/>
      <c r="S244" s="47"/>
      <c r="T244" s="47"/>
      <c r="U244" s="47"/>
      <c r="V244" s="47"/>
    </row>
    <row r="245" spans="1:22">
      <c r="A245" s="45" t="str">
        <f>SalesData[[#This Row],[Order_ID]]</f>
        <v>ORD-1243</v>
      </c>
      <c r="B245" s="41" cm="1">
        <f t="array" ref="B245">INDEX(SalesData[Order_Date], ROW()-1)</f>
        <v>45415</v>
      </c>
      <c r="C245" s="40" t="str" cm="1">
        <f t="array" ref="C245">INDEX(SalesData[Category], ROW()-1)</f>
        <v>Beauty</v>
      </c>
      <c r="D245" s="40" t="str" cm="1">
        <f t="array" ref="D245">INDEX(SalesData[Product_Name],ROW()-1)</f>
        <v>Body Lotion</v>
      </c>
      <c r="E245" s="40" t="str" cm="1">
        <f t="array" ref="E245">INDEX(SalesData[Customer_State],ROW()-1)</f>
        <v>Tamil Nadu</v>
      </c>
      <c r="F245" s="40" t="str" cm="1">
        <f t="array" ref="F245">INDEX(SalesData[Order_Status], ROW()-1)</f>
        <v>Cancelled</v>
      </c>
      <c r="G245" s="40" t="str" cm="1">
        <f t="array" ref="G245">INDEX(SalesData[Fulfillment_Type], ROW()-1)</f>
        <v>FBM</v>
      </c>
      <c r="H245" s="40" cm="1">
        <f t="array" ref="H245">INDEX(SalesData[Units_Sold], ROW()-1)</f>
        <v>8</v>
      </c>
      <c r="I245" s="44" cm="1">
        <f t="array" ref="I245">INDEX(SalesData[Gross_Sales_INR], ROW()-1)</f>
        <v>9624</v>
      </c>
      <c r="J245" s="43" cm="1">
        <f t="array" ref="J245">INDEX(SalesData[Net_Profit_INR], ROW()-1)</f>
        <v>3026.57</v>
      </c>
      <c r="K245" s="42" cm="1">
        <f t="array" ref="K245">INDEX(SalesData[Profit_Margin_%], ROW()-1)</f>
        <v>31.4</v>
      </c>
      <c r="L245" s="46" t="str" cm="1">
        <f t="array" ref="L245">IF(INDEX(SalesData[Customer_Rating], ROW()-1)="", "—",REPT("★", INDEX(SalesData[Customer_Rating], ROW()-1)) &amp; REPT("☆", 5-INDEX(SalesData[Customer_Rating], ROW()-1)))</f>
        <v>—</v>
      </c>
      <c r="M245" s="40" t="str" cm="1">
        <f t="array" ref="M245">IF(INDEX(SalesData[Units_Sold],ROW()-1) &lt; 5, "⚠️ Reorder", "OK")</f>
        <v>OK</v>
      </c>
      <c r="N245" s="40" t="str">
        <f t="shared" si="5"/>
        <v>Profit</v>
      </c>
      <c r="O245" s="47" t="str">
        <f>SalesData[[#This Row],[Ad_Type]]</f>
        <v>Sponsored Brands</v>
      </c>
      <c r="P245" s="47" t="str">
        <f>SalesData[[#This Row],[Brand]]</f>
        <v>Puma</v>
      </c>
      <c r="Q245" s="47" t="str">
        <f>SalesData[[#This Row],[Product_Name]]</f>
        <v>Body Lotion</v>
      </c>
      <c r="R245" s="47"/>
      <c r="S245" s="47"/>
      <c r="T245" s="47"/>
      <c r="U245" s="47"/>
      <c r="V245" s="47"/>
    </row>
    <row r="246" spans="1:22">
      <c r="A246" s="45" t="str">
        <f>SalesData[[#This Row],[Order_ID]]</f>
        <v>ORD-1244</v>
      </c>
      <c r="B246" s="41" cm="1">
        <f t="array" ref="B246">INDEX(SalesData[Order_Date], ROW()-1)</f>
        <v>45556</v>
      </c>
      <c r="C246" s="40" t="str" cm="1">
        <f t="array" ref="C246">INDEX(SalesData[Category], ROW()-1)</f>
        <v>Fashion</v>
      </c>
      <c r="D246" s="40" t="str" cm="1">
        <f t="array" ref="D246">INDEX(SalesData[Product_Name],ROW()-1)</f>
        <v>Sports Shoes</v>
      </c>
      <c r="E246" s="40" t="str" cm="1">
        <f t="array" ref="E246">INDEX(SalesData[Customer_State],ROW()-1)</f>
        <v>Kerala</v>
      </c>
      <c r="F246" s="40" t="str" cm="1">
        <f t="array" ref="F246">INDEX(SalesData[Order_Status], ROW()-1)</f>
        <v>Delivered</v>
      </c>
      <c r="G246" s="40" t="str" cm="1">
        <f t="array" ref="G246">INDEX(SalesData[Fulfillment_Type], ROW()-1)</f>
        <v>FBA</v>
      </c>
      <c r="H246" s="40" cm="1">
        <f t="array" ref="H246">INDEX(SalesData[Units_Sold], ROW()-1)</f>
        <v>4</v>
      </c>
      <c r="I246" s="44" cm="1">
        <f t="array" ref="I246">INDEX(SalesData[Gross_Sales_INR], ROW()-1)</f>
        <v>4324</v>
      </c>
      <c r="J246" s="43" cm="1">
        <f t="array" ref="J246">INDEX(SalesData[Net_Profit_INR], ROW()-1)</f>
        <v>1615.25</v>
      </c>
      <c r="K246" s="42" cm="1">
        <f t="array" ref="K246">INDEX(SalesData[Profit_Margin_%], ROW()-1)</f>
        <v>37.4</v>
      </c>
      <c r="L246" s="46" t="str" cm="1">
        <f t="array" ref="L246">IF(INDEX(SalesData[Customer_Rating], ROW()-1)="", "—",REPT("★", INDEX(SalesData[Customer_Rating], ROW()-1)) &amp; REPT("☆", 5-INDEX(SalesData[Customer_Rating], ROW()-1)))</f>
        <v>★★★★★</v>
      </c>
      <c r="M246" s="40" t="str" cm="1">
        <f t="array" ref="M246">IF(INDEX(SalesData[Units_Sold],ROW()-1) &lt; 5, "⚠️ Reorder", "OK")</f>
        <v>⚠️ Reorder</v>
      </c>
      <c r="N246" s="40" t="str">
        <f t="shared" si="5"/>
        <v>Profit</v>
      </c>
      <c r="O246" s="47" t="str">
        <f>SalesData[[#This Row],[Ad_Type]]</f>
        <v>Sponsored Products</v>
      </c>
      <c r="P246" s="47" t="str">
        <f>SalesData[[#This Row],[Brand]]</f>
        <v>Decathlon</v>
      </c>
      <c r="Q246" s="47" t="str">
        <f>SalesData[[#This Row],[Product_Name]]</f>
        <v>Sports Shoes</v>
      </c>
      <c r="R246" s="47"/>
      <c r="S246" s="47"/>
      <c r="T246" s="47"/>
      <c r="U246" s="47"/>
      <c r="V246" s="47"/>
    </row>
    <row r="247" spans="1:22">
      <c r="A247" s="45" t="str">
        <f>SalesData[[#This Row],[Order_ID]]</f>
        <v>ORD-1245</v>
      </c>
      <c r="B247" s="41" cm="1">
        <f t="array" ref="B247">INDEX(SalesData[Order_Date], ROW()-1)</f>
        <v>45088</v>
      </c>
      <c r="C247" s="40" t="str" cm="1">
        <f t="array" ref="C247">INDEX(SalesData[Category], ROW()-1)</f>
        <v>Fashion</v>
      </c>
      <c r="D247" s="40" t="str" cm="1">
        <f t="array" ref="D247">INDEX(SalesData[Product_Name],ROW()-1)</f>
        <v>Sports Shoes</v>
      </c>
      <c r="E247" s="40" t="str" cm="1">
        <f t="array" ref="E247">INDEX(SalesData[Customer_State],ROW()-1)</f>
        <v>West Bengal</v>
      </c>
      <c r="F247" s="40" t="str" cm="1">
        <f t="array" ref="F247">INDEX(SalesData[Order_Status], ROW()-1)</f>
        <v>Returned</v>
      </c>
      <c r="G247" s="40" t="str" cm="1">
        <f t="array" ref="G247">INDEX(SalesData[Fulfillment_Type], ROW()-1)</f>
        <v>FBM</v>
      </c>
      <c r="H247" s="40" cm="1">
        <f t="array" ref="H247">INDEX(SalesData[Units_Sold], ROW()-1)</f>
        <v>3</v>
      </c>
      <c r="I247" s="44" cm="1">
        <f t="array" ref="I247">INDEX(SalesData[Gross_Sales_INR], ROW()-1)</f>
        <v>1758</v>
      </c>
      <c r="J247" s="43" cm="1">
        <f t="array" ref="J247">INDEX(SalesData[Net_Profit_INR], ROW()-1)</f>
        <v>-1109.3399999999999</v>
      </c>
      <c r="K247" s="42" cm="1">
        <f t="array" ref="K247">INDEX(SalesData[Profit_Margin_%], ROW()-1)</f>
        <v>-189.3</v>
      </c>
      <c r="L247" s="46" t="str" cm="1">
        <f t="array" ref="L247">IF(INDEX(SalesData[Customer_Rating], ROW()-1)="", "—",REPT("★", INDEX(SalesData[Customer_Rating], ROW()-1)) &amp; REPT("☆", 5-INDEX(SalesData[Customer_Rating], ROW()-1)))</f>
        <v>—</v>
      </c>
      <c r="M247" s="40" t="str" cm="1">
        <f t="array" ref="M247">IF(INDEX(SalesData[Units_Sold],ROW()-1) &lt; 5, "⚠️ Reorder", "OK")</f>
        <v>⚠️ Reorder</v>
      </c>
      <c r="N247" s="40" t="str">
        <f t="shared" si="5"/>
        <v>Profit</v>
      </c>
      <c r="O247" s="47" t="str">
        <f>SalesData[[#This Row],[Ad_Type]]</f>
        <v>Sponsored Products</v>
      </c>
      <c r="P247" s="47" t="str">
        <f>SalesData[[#This Row],[Brand]]</f>
        <v>Cello</v>
      </c>
      <c r="Q247" s="47" t="str">
        <f>SalesData[[#This Row],[Product_Name]]</f>
        <v>Sports Shoes</v>
      </c>
      <c r="R247" s="47"/>
      <c r="S247" s="47"/>
      <c r="T247" s="47"/>
      <c r="U247" s="47"/>
      <c r="V247" s="47"/>
    </row>
    <row r="248" spans="1:22">
      <c r="A248" s="45" t="str">
        <f>SalesData[[#This Row],[Order_ID]]</f>
        <v>ORD-1246</v>
      </c>
      <c r="B248" s="41" cm="1">
        <f t="array" ref="B248">INDEX(SalesData[Order_Date], ROW()-1)</f>
        <v>45566</v>
      </c>
      <c r="C248" s="40" t="str" cm="1">
        <f t="array" ref="C248">INDEX(SalesData[Category], ROW()-1)</f>
        <v>Electronics</v>
      </c>
      <c r="D248" s="40" t="str" cm="1">
        <f t="array" ref="D248">INDEX(SalesData[Product_Name],ROW()-1)</f>
        <v>USB Cable</v>
      </c>
      <c r="E248" s="40" t="str" cm="1">
        <f t="array" ref="E248">INDEX(SalesData[Customer_State],ROW()-1)</f>
        <v>Gujarat</v>
      </c>
      <c r="F248" s="40" t="str" cm="1">
        <f t="array" ref="F248">INDEX(SalesData[Order_Status], ROW()-1)</f>
        <v>Delivered</v>
      </c>
      <c r="G248" s="40" t="str" cm="1">
        <f t="array" ref="G248">INDEX(SalesData[Fulfillment_Type], ROW()-1)</f>
        <v>FBM</v>
      </c>
      <c r="H248" s="40" cm="1">
        <f t="array" ref="H248">INDEX(SalesData[Units_Sold], ROW()-1)</f>
        <v>5</v>
      </c>
      <c r="I248" s="44" cm="1">
        <f t="array" ref="I248">INDEX(SalesData[Gross_Sales_INR], ROW()-1)</f>
        <v>9720</v>
      </c>
      <c r="J248" s="43" cm="1">
        <f t="array" ref="J248">INDEX(SalesData[Net_Profit_INR], ROW()-1)</f>
        <v>4478.8999999999996</v>
      </c>
      <c r="K248" s="42" cm="1">
        <f t="array" ref="K248">INDEX(SalesData[Profit_Margin_%], ROW()-1)</f>
        <v>46.1</v>
      </c>
      <c r="L248" s="46" t="str" cm="1">
        <f t="array" ref="L248">IF(INDEX(SalesData[Customer_Rating], ROW()-1)="", "—",REPT("★", INDEX(SalesData[Customer_Rating], ROW()-1)) &amp; REPT("☆", 5-INDEX(SalesData[Customer_Rating], ROW()-1)))</f>
        <v>★★★☆☆</v>
      </c>
      <c r="M248" s="40" t="str" cm="1">
        <f t="array" ref="M248">IF(INDEX(SalesData[Units_Sold],ROW()-1) &lt; 5, "⚠️ Reorder", "OK")</f>
        <v>OK</v>
      </c>
      <c r="N248" s="40" t="str">
        <f t="shared" si="5"/>
        <v>Profit</v>
      </c>
      <c r="O248" s="47" t="str">
        <f>SalesData[[#This Row],[Ad_Type]]</f>
        <v>Sponsored Brands</v>
      </c>
      <c r="P248" s="47" t="str">
        <f>SalesData[[#This Row],[Brand]]</f>
        <v>Noise</v>
      </c>
      <c r="Q248" s="47" t="str">
        <f>SalesData[[#This Row],[Product_Name]]</f>
        <v>USB Cable</v>
      </c>
      <c r="R248" s="47"/>
      <c r="S248" s="47"/>
      <c r="T248" s="47"/>
      <c r="U248" s="47"/>
      <c r="V248" s="47"/>
    </row>
    <row r="249" spans="1:22">
      <c r="A249" s="45" t="str">
        <f>SalesData[[#This Row],[Order_ID]]</f>
        <v>ORD-1247</v>
      </c>
      <c r="B249" s="41" cm="1">
        <f t="array" ref="B249">INDEX(SalesData[Order_Date], ROW()-1)</f>
        <v>45249</v>
      </c>
      <c r="C249" s="40" t="str" cm="1">
        <f t="array" ref="C249">INDEX(SalesData[Category], ROW()-1)</f>
        <v>Fashion</v>
      </c>
      <c r="D249" s="40" t="str" cm="1">
        <f t="array" ref="D249">INDEX(SalesData[Product_Name],ROW()-1)</f>
        <v>Cap</v>
      </c>
      <c r="E249" s="40" t="str" cm="1">
        <f t="array" ref="E249">INDEX(SalesData[Customer_State],ROW()-1)</f>
        <v>Karnataka</v>
      </c>
      <c r="F249" s="40" t="str" cm="1">
        <f t="array" ref="F249">INDEX(SalesData[Order_Status], ROW()-1)</f>
        <v>Delivered</v>
      </c>
      <c r="G249" s="40" t="str" cm="1">
        <f t="array" ref="G249">INDEX(SalesData[Fulfillment_Type], ROW()-1)</f>
        <v>FBM</v>
      </c>
      <c r="H249" s="40" cm="1">
        <f t="array" ref="H249">INDEX(SalesData[Units_Sold], ROW()-1)</f>
        <v>1</v>
      </c>
      <c r="I249" s="44" cm="1">
        <f t="array" ref="I249">INDEX(SalesData[Gross_Sales_INR], ROW()-1)</f>
        <v>2751</v>
      </c>
      <c r="J249" s="43" cm="1">
        <f t="array" ref="J249">INDEX(SalesData[Net_Profit_INR], ROW()-1)</f>
        <v>1043.3399999999999</v>
      </c>
      <c r="K249" s="42" cm="1">
        <f t="array" ref="K249">INDEX(SalesData[Profit_Margin_%], ROW()-1)</f>
        <v>37.9</v>
      </c>
      <c r="L249" s="46" t="str" cm="1">
        <f t="array" ref="L249">IF(INDEX(SalesData[Customer_Rating], ROW()-1)="", "—",REPT("★", INDEX(SalesData[Customer_Rating], ROW()-1)) &amp; REPT("☆", 5-INDEX(SalesData[Customer_Rating], ROW()-1)))</f>
        <v>★★★★★</v>
      </c>
      <c r="M249" s="40" t="str" cm="1">
        <f t="array" ref="M249">IF(INDEX(SalesData[Units_Sold],ROW()-1) &lt; 5, "⚠️ Reorder", "OK")</f>
        <v>⚠️ Reorder</v>
      </c>
      <c r="N249" s="40" t="str">
        <f t="shared" si="5"/>
        <v>Profit</v>
      </c>
      <c r="O249" s="47" t="str">
        <f>SalesData[[#This Row],[Ad_Type]]</f>
        <v>Sponsored Brands</v>
      </c>
      <c r="P249" s="47" t="str">
        <f>SalesData[[#This Row],[Brand]]</f>
        <v>Amazon Basics</v>
      </c>
      <c r="Q249" s="47" t="str">
        <f>SalesData[[#This Row],[Product_Name]]</f>
        <v>Cap</v>
      </c>
      <c r="R249" s="47"/>
      <c r="S249" s="47"/>
      <c r="T249" s="47"/>
      <c r="U249" s="47"/>
      <c r="V249" s="47"/>
    </row>
    <row r="250" spans="1:22">
      <c r="A250" s="45" t="str">
        <f>SalesData[[#This Row],[Order_ID]]</f>
        <v>ORD-1248</v>
      </c>
      <c r="B250" s="41" cm="1">
        <f t="array" ref="B250">INDEX(SalesData[Order_Date], ROW()-1)</f>
        <v>45178</v>
      </c>
      <c r="C250" s="40" t="str" cm="1">
        <f t="array" ref="C250">INDEX(SalesData[Category], ROW()-1)</f>
        <v>Electronics</v>
      </c>
      <c r="D250" s="40" t="str" cm="1">
        <f t="array" ref="D250">INDEX(SalesData[Product_Name],ROW()-1)</f>
        <v>Smart Watch</v>
      </c>
      <c r="E250" s="40" t="str" cm="1">
        <f t="array" ref="E250">INDEX(SalesData[Customer_State],ROW()-1)</f>
        <v>Uttar Pradesh</v>
      </c>
      <c r="F250" s="40" t="str" cm="1">
        <f t="array" ref="F250">INDEX(SalesData[Order_Status], ROW()-1)</f>
        <v>Delivered</v>
      </c>
      <c r="G250" s="40" t="str" cm="1">
        <f t="array" ref="G250">INDEX(SalesData[Fulfillment_Type], ROW()-1)</f>
        <v>FBM</v>
      </c>
      <c r="H250" s="40" cm="1">
        <f t="array" ref="H250">INDEX(SalesData[Units_Sold], ROW()-1)</f>
        <v>1</v>
      </c>
      <c r="I250" s="44" cm="1">
        <f t="array" ref="I250">INDEX(SalesData[Gross_Sales_INR], ROW()-1)</f>
        <v>545</v>
      </c>
      <c r="J250" s="43" cm="1">
        <f t="array" ref="J250">INDEX(SalesData[Net_Profit_INR], ROW()-1)</f>
        <v>-336.36</v>
      </c>
      <c r="K250" s="42" cm="1">
        <f t="array" ref="K250">INDEX(SalesData[Profit_Margin_%], ROW()-1)</f>
        <v>-61.7</v>
      </c>
      <c r="L250" s="46" t="str" cm="1">
        <f t="array" ref="L250">IF(INDEX(SalesData[Customer_Rating], ROW()-1)="", "—",REPT("★", INDEX(SalesData[Customer_Rating], ROW()-1)) &amp; REPT("☆", 5-INDEX(SalesData[Customer_Rating], ROW()-1)))</f>
        <v>★★★☆☆</v>
      </c>
      <c r="M250" s="40" t="str" cm="1">
        <f t="array" ref="M250">IF(INDEX(SalesData[Units_Sold],ROW()-1) &lt; 5, "⚠️ Reorder", "OK")</f>
        <v>⚠️ Reorder</v>
      </c>
      <c r="N250" s="40" t="str">
        <f t="shared" si="5"/>
        <v>Profit</v>
      </c>
      <c r="O250" s="47" t="str">
        <f>SalesData[[#This Row],[Ad_Type]]</f>
        <v>None</v>
      </c>
      <c r="P250" s="47" t="str">
        <f>SalesData[[#This Row],[Brand]]</f>
        <v>Milton</v>
      </c>
      <c r="Q250" s="47" t="str">
        <f>SalesData[[#This Row],[Product_Name]]</f>
        <v>Smart Watch</v>
      </c>
      <c r="R250" s="47"/>
      <c r="S250" s="47"/>
      <c r="T250" s="47"/>
      <c r="U250" s="47"/>
      <c r="V250" s="47"/>
    </row>
    <row r="251" spans="1:22">
      <c r="A251" s="45" t="str">
        <f>SalesData[[#This Row],[Order_ID]]</f>
        <v>ORD-1249</v>
      </c>
      <c r="B251" s="41" cm="1">
        <f t="array" ref="B251">INDEX(SalesData[Order_Date], ROW()-1)</f>
        <v>45485</v>
      </c>
      <c r="C251" s="40" t="str" cm="1">
        <f t="array" ref="C251">INDEX(SalesData[Category], ROW()-1)</f>
        <v>Electronics</v>
      </c>
      <c r="D251" s="40" t="str" cm="1">
        <f t="array" ref="D251">INDEX(SalesData[Product_Name],ROW()-1)</f>
        <v>Webcam</v>
      </c>
      <c r="E251" s="40" t="str" cm="1">
        <f t="array" ref="E251">INDEX(SalesData[Customer_State],ROW()-1)</f>
        <v>Bihar</v>
      </c>
      <c r="F251" s="40" t="str" cm="1">
        <f t="array" ref="F251">INDEX(SalesData[Order_Status], ROW()-1)</f>
        <v>Delivered</v>
      </c>
      <c r="G251" s="40" t="str" cm="1">
        <f t="array" ref="G251">INDEX(SalesData[Fulfillment_Type], ROW()-1)</f>
        <v>FBM</v>
      </c>
      <c r="H251" s="40" cm="1">
        <f t="array" ref="H251">INDEX(SalesData[Units_Sold], ROW()-1)</f>
        <v>3</v>
      </c>
      <c r="I251" s="44" cm="1">
        <f t="array" ref="I251">INDEX(SalesData[Gross_Sales_INR], ROW()-1)</f>
        <v>11043</v>
      </c>
      <c r="J251" s="43" cm="1">
        <f t="array" ref="J251">INDEX(SalesData[Net_Profit_INR], ROW()-1)</f>
        <v>5178.17</v>
      </c>
      <c r="K251" s="42" cm="1">
        <f t="array" ref="K251">INDEX(SalesData[Profit_Margin_%], ROW()-1)</f>
        <v>46.9</v>
      </c>
      <c r="L251" s="46" t="str" cm="1">
        <f t="array" ref="L251">IF(INDEX(SalesData[Customer_Rating], ROW()-1)="", "—",REPT("★", INDEX(SalesData[Customer_Rating], ROW()-1)) &amp; REPT("☆", 5-INDEX(SalesData[Customer_Rating], ROW()-1)))</f>
        <v>★★★★★</v>
      </c>
      <c r="M251" s="40" t="str" cm="1">
        <f t="array" ref="M251">IF(INDEX(SalesData[Units_Sold],ROW()-1) &lt; 5, "⚠️ Reorder", "OK")</f>
        <v>⚠️ Reorder</v>
      </c>
      <c r="N251" s="40" t="str">
        <f t="shared" si="5"/>
        <v>Profit</v>
      </c>
      <c r="O251" s="47" t="str">
        <f>SalesData[[#This Row],[Ad_Type]]</f>
        <v>None</v>
      </c>
      <c r="P251" s="47" t="str">
        <f>SalesData[[#This Row],[Brand]]</f>
        <v>Skullcandy</v>
      </c>
      <c r="Q251" s="47" t="str">
        <f>SalesData[[#This Row],[Product_Name]]</f>
        <v>Webcam</v>
      </c>
      <c r="R251" s="47"/>
      <c r="S251" s="47"/>
      <c r="T251" s="47"/>
      <c r="U251" s="47"/>
      <c r="V251" s="47"/>
    </row>
    <row r="252" spans="1:22">
      <c r="A252" s="45" t="str">
        <f>SalesData[[#This Row],[Order_ID]]</f>
        <v>ORD-1250</v>
      </c>
      <c r="B252" s="41" cm="1">
        <f t="array" ref="B252">INDEX(SalesData[Order_Date], ROW()-1)</f>
        <v>45359</v>
      </c>
      <c r="C252" s="40" t="str" cm="1">
        <f t="array" ref="C252">INDEX(SalesData[Category], ROW()-1)</f>
        <v>Fashion</v>
      </c>
      <c r="D252" s="40" t="str" cm="1">
        <f t="array" ref="D252">INDEX(SalesData[Product_Name],ROW()-1)</f>
        <v>Sports Shoes</v>
      </c>
      <c r="E252" s="40" t="str" cm="1">
        <f t="array" ref="E252">INDEX(SalesData[Customer_State],ROW()-1)</f>
        <v>Tamil Nadu</v>
      </c>
      <c r="F252" s="40" t="str" cm="1">
        <f t="array" ref="F252">INDEX(SalesData[Order_Status], ROW()-1)</f>
        <v>Delivered</v>
      </c>
      <c r="G252" s="40" t="str" cm="1">
        <f t="array" ref="G252">INDEX(SalesData[Fulfillment_Type], ROW()-1)</f>
        <v>FBM</v>
      </c>
      <c r="H252" s="40" cm="1">
        <f t="array" ref="H252">INDEX(SalesData[Units_Sold], ROW()-1)</f>
        <v>10</v>
      </c>
      <c r="I252" s="44" cm="1">
        <f t="array" ref="I252">INDEX(SalesData[Gross_Sales_INR], ROW()-1)</f>
        <v>12980</v>
      </c>
      <c r="J252" s="43" cm="1">
        <f t="array" ref="J252">INDEX(SalesData[Net_Profit_INR], ROW()-1)</f>
        <v>4564.51</v>
      </c>
      <c r="K252" s="42" cm="1">
        <f t="array" ref="K252">INDEX(SalesData[Profit_Margin_%], ROW()-1)</f>
        <v>35.200000000000003</v>
      </c>
      <c r="L252" s="46" t="str" cm="1">
        <f t="array" ref="L252">IF(INDEX(SalesData[Customer_Rating], ROW()-1)="", "—",REPT("★", INDEX(SalesData[Customer_Rating], ROW()-1)) &amp; REPT("☆", 5-INDEX(SalesData[Customer_Rating], ROW()-1)))</f>
        <v>★★★★☆</v>
      </c>
      <c r="M252" s="40" t="str" cm="1">
        <f t="array" ref="M252">IF(INDEX(SalesData[Units_Sold],ROW()-1) &lt; 5, "⚠️ Reorder", "OK")</f>
        <v>OK</v>
      </c>
      <c r="N252" s="40" t="str">
        <f t="shared" si="5"/>
        <v>Profit</v>
      </c>
      <c r="O252" s="47" t="str">
        <f>SalesData[[#This Row],[Ad_Type]]</f>
        <v>None</v>
      </c>
      <c r="P252" s="47" t="str">
        <f>SalesData[[#This Row],[Brand]]</f>
        <v>Generic</v>
      </c>
      <c r="Q252" s="47" t="str">
        <f>SalesData[[#This Row],[Product_Name]]</f>
        <v>Sports Shoes</v>
      </c>
      <c r="R252" s="47"/>
      <c r="S252" s="47"/>
      <c r="T252" s="47"/>
      <c r="U252" s="47"/>
      <c r="V252" s="47"/>
    </row>
    <row r="253" spans="1:22">
      <c r="A253" s="45" t="str">
        <f>SalesData[[#This Row],[Order_ID]]</f>
        <v>ORD-1251</v>
      </c>
      <c r="B253" s="41" cm="1">
        <f t="array" ref="B253">INDEX(SalesData[Order_Date], ROW()-1)</f>
        <v>45025</v>
      </c>
      <c r="C253" s="40" t="str" cm="1">
        <f t="array" ref="C253">INDEX(SalesData[Category], ROW()-1)</f>
        <v>Electronics</v>
      </c>
      <c r="D253" s="40" t="str" cm="1">
        <f t="array" ref="D253">INDEX(SalesData[Product_Name],ROW()-1)</f>
        <v>Power Bank</v>
      </c>
      <c r="E253" s="40" t="str" cm="1">
        <f t="array" ref="E253">INDEX(SalesData[Customer_State],ROW()-1)</f>
        <v>Karnataka</v>
      </c>
      <c r="F253" s="40" t="str" cm="1">
        <f t="array" ref="F253">INDEX(SalesData[Order_Status], ROW()-1)</f>
        <v>Pending</v>
      </c>
      <c r="G253" s="40" t="str" cm="1">
        <f t="array" ref="G253">INDEX(SalesData[Fulfillment_Type], ROW()-1)</f>
        <v>FBM</v>
      </c>
      <c r="H253" s="40" cm="1">
        <f t="array" ref="H253">INDEX(SalesData[Units_Sold], ROW()-1)</f>
        <v>6</v>
      </c>
      <c r="I253" s="44" cm="1">
        <f t="array" ref="I253">INDEX(SalesData[Gross_Sales_INR], ROW()-1)</f>
        <v>22986</v>
      </c>
      <c r="J253" s="43" cm="1">
        <f t="array" ref="J253">INDEX(SalesData[Net_Profit_INR], ROW()-1)</f>
        <v>8827.15</v>
      </c>
      <c r="K253" s="42" cm="1">
        <f t="array" ref="K253">INDEX(SalesData[Profit_Margin_%], ROW()-1)</f>
        <v>38.4</v>
      </c>
      <c r="L253" s="46" t="str" cm="1">
        <f t="array" ref="L253">IF(INDEX(SalesData[Customer_Rating], ROW()-1)="", "—",REPT("★", INDEX(SalesData[Customer_Rating], ROW()-1)) &amp; REPT("☆", 5-INDEX(SalesData[Customer_Rating], ROW()-1)))</f>
        <v>—</v>
      </c>
      <c r="M253" s="40" t="str" cm="1">
        <f t="array" ref="M253">IF(INDEX(SalesData[Units_Sold],ROW()-1) &lt; 5, "⚠️ Reorder", "OK")</f>
        <v>OK</v>
      </c>
      <c r="N253" s="40" t="str">
        <f t="shared" si="5"/>
        <v>Profit</v>
      </c>
      <c r="O253" s="47" t="str">
        <f>SalesData[[#This Row],[Ad_Type]]</f>
        <v>None</v>
      </c>
      <c r="P253" s="47" t="str">
        <f>SalesData[[#This Row],[Brand]]</f>
        <v>Cello</v>
      </c>
      <c r="Q253" s="47" t="str">
        <f>SalesData[[#This Row],[Product_Name]]</f>
        <v>Power Bank</v>
      </c>
      <c r="R253" s="47"/>
      <c r="S253" s="47"/>
      <c r="T253" s="47"/>
      <c r="U253" s="47"/>
      <c r="V253" s="47"/>
    </row>
    <row r="254" spans="1:22">
      <c r="A254" s="45" t="str">
        <f>SalesData[[#This Row],[Order_ID]]</f>
        <v>ORD-1252</v>
      </c>
      <c r="B254" s="41" cm="1">
        <f t="array" ref="B254">INDEX(SalesData[Order_Date], ROW()-1)</f>
        <v>45021</v>
      </c>
      <c r="C254" s="40" t="str" cm="1">
        <f t="array" ref="C254">INDEX(SalesData[Category], ROW()-1)</f>
        <v>Beauty</v>
      </c>
      <c r="D254" s="40" t="str" cm="1">
        <f t="array" ref="D254">INDEX(SalesData[Product_Name],ROW()-1)</f>
        <v>Hair Oil</v>
      </c>
      <c r="E254" s="40" t="str" cm="1">
        <f t="array" ref="E254">INDEX(SalesData[Customer_State],ROW()-1)</f>
        <v>Gujarat</v>
      </c>
      <c r="F254" s="40" t="str" cm="1">
        <f t="array" ref="F254">INDEX(SalesData[Order_Status], ROW()-1)</f>
        <v>Delivered</v>
      </c>
      <c r="G254" s="40" t="str" cm="1">
        <f t="array" ref="G254">INDEX(SalesData[Fulfillment_Type], ROW()-1)</f>
        <v>FBM</v>
      </c>
      <c r="H254" s="40" cm="1">
        <f t="array" ref="H254">INDEX(SalesData[Units_Sold], ROW()-1)</f>
        <v>8</v>
      </c>
      <c r="I254" s="44" cm="1">
        <f t="array" ref="I254">INDEX(SalesData[Gross_Sales_INR], ROW()-1)</f>
        <v>16576</v>
      </c>
      <c r="J254" s="43" cm="1">
        <f t="array" ref="J254">INDEX(SalesData[Net_Profit_INR], ROW()-1)</f>
        <v>8993.7999999999993</v>
      </c>
      <c r="K254" s="42" cm="1">
        <f t="array" ref="K254">INDEX(SalesData[Profit_Margin_%], ROW()-1)</f>
        <v>54.3</v>
      </c>
      <c r="L254" s="46" t="str" cm="1">
        <f t="array" ref="L254">IF(INDEX(SalesData[Customer_Rating], ROW()-1)="", "—",REPT("★", INDEX(SalesData[Customer_Rating], ROW()-1)) &amp; REPT("☆", 5-INDEX(SalesData[Customer_Rating], ROW()-1)))</f>
        <v>★★★★☆</v>
      </c>
      <c r="M254" s="40" t="str" cm="1">
        <f t="array" ref="M254">IF(INDEX(SalesData[Units_Sold],ROW()-1) &lt; 5, "⚠️ Reorder", "OK")</f>
        <v>OK</v>
      </c>
      <c r="N254" s="40" t="str">
        <f t="shared" si="5"/>
        <v>Profit</v>
      </c>
      <c r="O254" s="47" t="str">
        <f>SalesData[[#This Row],[Ad_Type]]</f>
        <v>None</v>
      </c>
      <c r="P254" s="47" t="str">
        <f>SalesData[[#This Row],[Brand]]</f>
        <v>Classmate</v>
      </c>
      <c r="Q254" s="47" t="str">
        <f>SalesData[[#This Row],[Product_Name]]</f>
        <v>Hair Oil</v>
      </c>
      <c r="R254" s="47"/>
      <c r="S254" s="47"/>
      <c r="T254" s="47"/>
      <c r="U254" s="47"/>
      <c r="V254" s="47"/>
    </row>
    <row r="255" spans="1:22">
      <c r="A255" s="45" t="str">
        <f>SalesData[[#This Row],[Order_ID]]</f>
        <v>ORD-1253</v>
      </c>
      <c r="B255" s="41" cm="1">
        <f t="array" ref="B255">INDEX(SalesData[Order_Date], ROW()-1)</f>
        <v>45626</v>
      </c>
      <c r="C255" s="40" t="str" cm="1">
        <f t="array" ref="C255">INDEX(SalesData[Category], ROW()-1)</f>
        <v>Beauty</v>
      </c>
      <c r="D255" s="40" t="str" cm="1">
        <f t="array" ref="D255">INDEX(SalesData[Product_Name],ROW()-1)</f>
        <v>Hair Oil</v>
      </c>
      <c r="E255" s="40" t="str" cm="1">
        <f t="array" ref="E255">INDEX(SalesData[Customer_State],ROW()-1)</f>
        <v>Karnataka</v>
      </c>
      <c r="F255" s="40" t="str" cm="1">
        <f t="array" ref="F255">INDEX(SalesData[Order_Status], ROW()-1)</f>
        <v>Delivered</v>
      </c>
      <c r="G255" s="40" t="str" cm="1">
        <f t="array" ref="G255">INDEX(SalesData[Fulfillment_Type], ROW()-1)</f>
        <v>FBM</v>
      </c>
      <c r="H255" s="40" cm="1">
        <f t="array" ref="H255">INDEX(SalesData[Units_Sold], ROW()-1)</f>
        <v>1</v>
      </c>
      <c r="I255" s="44" cm="1">
        <f t="array" ref="I255">INDEX(SalesData[Gross_Sales_INR], ROW()-1)</f>
        <v>1843</v>
      </c>
      <c r="J255" s="43" cm="1">
        <f t="array" ref="J255">INDEX(SalesData[Net_Profit_INR], ROW()-1)</f>
        <v>697.21</v>
      </c>
      <c r="K255" s="42" cm="1">
        <f t="array" ref="K255">INDEX(SalesData[Profit_Margin_%], ROW()-1)</f>
        <v>37.799999999999997</v>
      </c>
      <c r="L255" s="46" t="str" cm="1">
        <f t="array" ref="L255">IF(INDEX(SalesData[Customer_Rating], ROW()-1)="", "—",REPT("★", INDEX(SalesData[Customer_Rating], ROW()-1)) &amp; REPT("☆", 5-INDEX(SalesData[Customer_Rating], ROW()-1)))</f>
        <v>★★★★☆</v>
      </c>
      <c r="M255" s="40" t="str" cm="1">
        <f t="array" ref="M255">IF(INDEX(SalesData[Units_Sold],ROW()-1) &lt; 5, "⚠️ Reorder", "OK")</f>
        <v>⚠️ Reorder</v>
      </c>
      <c r="N255" s="40" t="str">
        <f t="shared" si="5"/>
        <v>Profit</v>
      </c>
      <c r="O255" s="47" t="str">
        <f>SalesData[[#This Row],[Ad_Type]]</f>
        <v>None</v>
      </c>
      <c r="P255" s="47" t="str">
        <f>SalesData[[#This Row],[Brand]]</f>
        <v>BoAt</v>
      </c>
      <c r="Q255" s="47" t="str">
        <f>SalesData[[#This Row],[Product_Name]]</f>
        <v>Hair Oil</v>
      </c>
      <c r="R255" s="47"/>
      <c r="S255" s="47"/>
      <c r="T255" s="47"/>
      <c r="U255" s="47"/>
      <c r="V255" s="47"/>
    </row>
    <row r="256" spans="1:22">
      <c r="A256" s="45" t="str">
        <f>SalesData[[#This Row],[Order_ID]]</f>
        <v>ORD-1254</v>
      </c>
      <c r="B256" s="41" cm="1">
        <f t="array" ref="B256">INDEX(SalesData[Order_Date], ROW()-1)</f>
        <v>45039</v>
      </c>
      <c r="C256" s="40" t="str" cm="1">
        <f t="array" ref="C256">INDEX(SalesData[Category], ROW()-1)</f>
        <v>Home &amp; Kitchen</v>
      </c>
      <c r="D256" s="40" t="str" cm="1">
        <f t="array" ref="D256">INDEX(SalesData[Product_Name],ROW()-1)</f>
        <v>Coffee Mug</v>
      </c>
      <c r="E256" s="40" t="str" cm="1">
        <f t="array" ref="E256">INDEX(SalesData[Customer_State],ROW()-1)</f>
        <v>Maharashtra</v>
      </c>
      <c r="F256" s="40" t="str" cm="1">
        <f t="array" ref="F256">INDEX(SalesData[Order_Status], ROW()-1)</f>
        <v>Delivered</v>
      </c>
      <c r="G256" s="40" t="str" cm="1">
        <f t="array" ref="G256">INDEX(SalesData[Fulfillment_Type], ROW()-1)</f>
        <v>FBM</v>
      </c>
      <c r="H256" s="40" cm="1">
        <f t="array" ref="H256">INDEX(SalesData[Units_Sold], ROW()-1)</f>
        <v>8</v>
      </c>
      <c r="I256" s="44" cm="1">
        <f t="array" ref="I256">INDEX(SalesData[Gross_Sales_INR], ROW()-1)</f>
        <v>20704</v>
      </c>
      <c r="J256" s="43" cm="1">
        <f t="array" ref="J256">INDEX(SalesData[Net_Profit_INR], ROW()-1)</f>
        <v>6652.58</v>
      </c>
      <c r="K256" s="42" cm="1">
        <f t="array" ref="K256">INDEX(SalesData[Profit_Margin_%], ROW()-1)</f>
        <v>32.1</v>
      </c>
      <c r="L256" s="46" t="str" cm="1">
        <f t="array" ref="L256">IF(INDEX(SalesData[Customer_Rating], ROW()-1)="", "—",REPT("★", INDEX(SalesData[Customer_Rating], ROW()-1)) &amp; REPT("☆", 5-INDEX(SalesData[Customer_Rating], ROW()-1)))</f>
        <v>★★★★★</v>
      </c>
      <c r="M256" s="40" t="str" cm="1">
        <f t="array" ref="M256">IF(INDEX(SalesData[Units_Sold],ROW()-1) &lt; 5, "⚠️ Reorder", "OK")</f>
        <v>OK</v>
      </c>
      <c r="N256" s="40" t="str">
        <f t="shared" si="5"/>
        <v>Profit</v>
      </c>
      <c r="O256" s="47" t="str">
        <f>SalesData[[#This Row],[Ad_Type]]</f>
        <v>None</v>
      </c>
      <c r="P256" s="47" t="str">
        <f>SalesData[[#This Row],[Brand]]</f>
        <v>Decathlon</v>
      </c>
      <c r="Q256" s="47" t="str">
        <f>SalesData[[#This Row],[Product_Name]]</f>
        <v>Coffee Mug</v>
      </c>
      <c r="R256" s="47"/>
      <c r="S256" s="47"/>
      <c r="T256" s="47"/>
      <c r="U256" s="47"/>
      <c r="V256" s="47"/>
    </row>
    <row r="257" spans="1:22">
      <c r="A257" s="45" t="str">
        <f>SalesData[[#This Row],[Order_ID]]</f>
        <v>ORD-1255</v>
      </c>
      <c r="B257" s="41" cm="1">
        <f t="array" ref="B257">INDEX(SalesData[Order_Date], ROW()-1)</f>
        <v>45458</v>
      </c>
      <c r="C257" s="40" t="str" cm="1">
        <f t="array" ref="C257">INDEX(SalesData[Category], ROW()-1)</f>
        <v>Office Supplies</v>
      </c>
      <c r="D257" s="40" t="str" cm="1">
        <f t="array" ref="D257">INDEX(SalesData[Product_Name],ROW()-1)</f>
        <v>Tape Dispenser</v>
      </c>
      <c r="E257" s="40" t="str" cm="1">
        <f t="array" ref="E257">INDEX(SalesData[Customer_State],ROW()-1)</f>
        <v>Madhya Pradesh</v>
      </c>
      <c r="F257" s="40" t="str" cm="1">
        <f t="array" ref="F257">INDEX(SalesData[Order_Status], ROW()-1)</f>
        <v>Pending</v>
      </c>
      <c r="G257" s="40" t="str" cm="1">
        <f t="array" ref="G257">INDEX(SalesData[Fulfillment_Type], ROW()-1)</f>
        <v>FBM</v>
      </c>
      <c r="H257" s="40" cm="1">
        <f t="array" ref="H257">INDEX(SalesData[Units_Sold], ROW()-1)</f>
        <v>10</v>
      </c>
      <c r="I257" s="44" cm="1">
        <f t="array" ref="I257">INDEX(SalesData[Gross_Sales_INR], ROW()-1)</f>
        <v>28790</v>
      </c>
      <c r="J257" s="43" cm="1">
        <f t="array" ref="J257">INDEX(SalesData[Net_Profit_INR], ROW()-1)</f>
        <v>11778.56</v>
      </c>
      <c r="K257" s="42" cm="1">
        <f t="array" ref="K257">INDEX(SalesData[Profit_Margin_%], ROW()-1)</f>
        <v>40.9</v>
      </c>
      <c r="L257" s="46" t="str" cm="1">
        <f t="array" ref="L257">IF(INDEX(SalesData[Customer_Rating], ROW()-1)="", "—",REPT("★", INDEX(SalesData[Customer_Rating], ROW()-1)) &amp; REPT("☆", 5-INDEX(SalesData[Customer_Rating], ROW()-1)))</f>
        <v>—</v>
      </c>
      <c r="M257" s="40" t="str" cm="1">
        <f t="array" ref="M257">IF(INDEX(SalesData[Units_Sold],ROW()-1) &lt; 5, "⚠️ Reorder", "OK")</f>
        <v>OK</v>
      </c>
      <c r="N257" s="40" t="str">
        <f t="shared" si="5"/>
        <v>Loss</v>
      </c>
      <c r="O257" s="47" t="str">
        <f>SalesData[[#This Row],[Ad_Type]]</f>
        <v>None</v>
      </c>
      <c r="P257" s="47" t="str">
        <f>SalesData[[#This Row],[Brand]]</f>
        <v>Decathlon</v>
      </c>
      <c r="Q257" s="47" t="str">
        <f>SalesData[[#This Row],[Product_Name]]</f>
        <v>Tape Dispenser</v>
      </c>
      <c r="R257" s="47"/>
      <c r="S257" s="47"/>
      <c r="T257" s="47"/>
      <c r="U257" s="47"/>
      <c r="V257" s="47"/>
    </row>
    <row r="258" spans="1:22">
      <c r="A258" s="45" t="str">
        <f>SalesData[[#This Row],[Order_ID]]</f>
        <v>ORD-1256</v>
      </c>
      <c r="B258" s="41" cm="1">
        <f t="array" ref="B258">INDEX(SalesData[Order_Date], ROW()-1)</f>
        <v>45626</v>
      </c>
      <c r="C258" s="40" t="str" cm="1">
        <f t="array" ref="C258">INDEX(SalesData[Category], ROW()-1)</f>
        <v>Fashion</v>
      </c>
      <c r="D258" s="40" t="str" cm="1">
        <f t="array" ref="D258">INDEX(SalesData[Product_Name],ROW()-1)</f>
        <v>Cap</v>
      </c>
      <c r="E258" s="40" t="str" cm="1">
        <f t="array" ref="E258">INDEX(SalesData[Customer_State],ROW()-1)</f>
        <v>Delhi</v>
      </c>
      <c r="F258" s="40" t="str" cm="1">
        <f t="array" ref="F258">INDEX(SalesData[Order_Status], ROW()-1)</f>
        <v>Returned</v>
      </c>
      <c r="G258" s="40" t="str" cm="1">
        <f t="array" ref="G258">INDEX(SalesData[Fulfillment_Type], ROW()-1)</f>
        <v>FBM</v>
      </c>
      <c r="H258" s="40" cm="1">
        <f t="array" ref="H258">INDEX(SalesData[Units_Sold], ROW()-1)</f>
        <v>7</v>
      </c>
      <c r="I258" s="44" cm="1">
        <f t="array" ref="I258">INDEX(SalesData[Gross_Sales_INR], ROW()-1)</f>
        <v>21875</v>
      </c>
      <c r="J258" s="43" cm="1">
        <f t="array" ref="J258">INDEX(SalesData[Net_Profit_INR], ROW()-1)</f>
        <v>-12063.19</v>
      </c>
      <c r="K258" s="42" cm="1">
        <f t="array" ref="K258">INDEX(SalesData[Profit_Margin_%], ROW()-1)</f>
        <v>-386</v>
      </c>
      <c r="L258" s="46" t="str" cm="1">
        <f t="array" ref="L258">IF(INDEX(SalesData[Customer_Rating], ROW()-1)="", "—",REPT("★", INDEX(SalesData[Customer_Rating], ROW()-1)) &amp; REPT("☆", 5-INDEX(SalesData[Customer_Rating], ROW()-1)))</f>
        <v>—</v>
      </c>
      <c r="M258" s="40" t="str" cm="1">
        <f t="array" ref="M258">IF(INDEX(SalesData[Units_Sold],ROW()-1) &lt; 5, "⚠️ Reorder", "OK")</f>
        <v>OK</v>
      </c>
      <c r="N258" s="40" t="str">
        <f t="shared" si="5"/>
        <v>Loss</v>
      </c>
      <c r="O258" s="47" t="str">
        <f>SalesData[[#This Row],[Ad_Type]]</f>
        <v>None</v>
      </c>
      <c r="P258" s="47" t="str">
        <f>SalesData[[#This Row],[Brand]]</f>
        <v>BoAt</v>
      </c>
      <c r="Q258" s="47" t="str">
        <f>SalesData[[#This Row],[Product_Name]]</f>
        <v>Cap</v>
      </c>
      <c r="R258" s="47"/>
      <c r="S258" s="47"/>
      <c r="T258" s="47"/>
      <c r="U258" s="47"/>
      <c r="V258" s="47"/>
    </row>
    <row r="259" spans="1:22">
      <c r="A259" s="45" t="str">
        <f>SalesData[[#This Row],[Order_ID]]</f>
        <v>ORD-1257</v>
      </c>
      <c r="B259" s="41" cm="1">
        <f t="array" ref="B259">INDEX(SalesData[Order_Date], ROW()-1)</f>
        <v>45270</v>
      </c>
      <c r="C259" s="40" t="str" cm="1">
        <f t="array" ref="C259">INDEX(SalesData[Category], ROW()-1)</f>
        <v>Electronics</v>
      </c>
      <c r="D259" s="40" t="str" cm="1">
        <f t="array" ref="D259">INDEX(SalesData[Product_Name],ROW()-1)</f>
        <v>Power Bank</v>
      </c>
      <c r="E259" s="40" t="str" cm="1">
        <f t="array" ref="E259">INDEX(SalesData[Customer_State],ROW()-1)</f>
        <v>Haryana</v>
      </c>
      <c r="F259" s="40" t="str" cm="1">
        <f t="array" ref="F259">INDEX(SalesData[Order_Status], ROW()-1)</f>
        <v>Delivered</v>
      </c>
      <c r="G259" s="40" t="str" cm="1">
        <f t="array" ref="G259">INDEX(SalesData[Fulfillment_Type], ROW()-1)</f>
        <v>FBA</v>
      </c>
      <c r="H259" s="40" cm="1">
        <f t="array" ref="H259">INDEX(SalesData[Units_Sold], ROW()-1)</f>
        <v>7</v>
      </c>
      <c r="I259" s="44" cm="1">
        <f t="array" ref="I259">INDEX(SalesData[Gross_Sales_INR], ROW()-1)</f>
        <v>15113</v>
      </c>
      <c r="J259" s="43" cm="1">
        <f t="array" ref="J259">INDEX(SalesData[Net_Profit_INR], ROW()-1)</f>
        <v>4718.6400000000003</v>
      </c>
      <c r="K259" s="42" cm="1">
        <f t="array" ref="K259">INDEX(SalesData[Profit_Margin_%], ROW()-1)</f>
        <v>31.2</v>
      </c>
      <c r="L259" s="46" t="str" cm="1">
        <f t="array" ref="L259">IF(INDEX(SalesData[Customer_Rating], ROW()-1)="", "—",REPT("★", INDEX(SalesData[Customer_Rating], ROW()-1)) &amp; REPT("☆", 5-INDEX(SalesData[Customer_Rating], ROW()-1)))</f>
        <v>★★☆☆☆</v>
      </c>
      <c r="M259" s="40" t="str" cm="1">
        <f t="array" ref="M259">IF(INDEX(SalesData[Units_Sold],ROW()-1) &lt; 5, "⚠️ Reorder", "OK")</f>
        <v>OK</v>
      </c>
      <c r="N259" s="40" t="str">
        <f t="shared" si="5"/>
        <v>Profit</v>
      </c>
      <c r="O259" s="47" t="str">
        <f>SalesData[[#This Row],[Ad_Type]]</f>
        <v>None</v>
      </c>
      <c r="P259" s="47" t="str">
        <f>SalesData[[#This Row],[Brand]]</f>
        <v>Himalaya</v>
      </c>
      <c r="Q259" s="47" t="str">
        <f>SalesData[[#This Row],[Product_Name]]</f>
        <v>Power Bank</v>
      </c>
      <c r="R259" s="47"/>
      <c r="S259" s="47"/>
      <c r="T259" s="47"/>
      <c r="U259" s="47"/>
      <c r="V259" s="47"/>
    </row>
    <row r="260" spans="1:22">
      <c r="A260" s="45" t="str">
        <f>SalesData[[#This Row],[Order_ID]]</f>
        <v>ORD-1258</v>
      </c>
      <c r="B260" s="41" cm="1">
        <f t="array" ref="B260">INDEX(SalesData[Order_Date], ROW()-1)</f>
        <v>45650</v>
      </c>
      <c r="C260" s="40" t="str" cm="1">
        <f t="array" ref="C260">INDEX(SalesData[Category], ROW()-1)</f>
        <v>Electronics</v>
      </c>
      <c r="D260" s="40" t="str" cm="1">
        <f t="array" ref="D260">INDEX(SalesData[Product_Name],ROW()-1)</f>
        <v>Smart Watch</v>
      </c>
      <c r="E260" s="40" t="str" cm="1">
        <f t="array" ref="E260">INDEX(SalesData[Customer_State],ROW()-1)</f>
        <v>Delhi</v>
      </c>
      <c r="F260" s="40" t="str" cm="1">
        <f t="array" ref="F260">INDEX(SalesData[Order_Status], ROW()-1)</f>
        <v>Cancelled</v>
      </c>
      <c r="G260" s="40" t="str" cm="1">
        <f t="array" ref="G260">INDEX(SalesData[Fulfillment_Type], ROW()-1)</f>
        <v>FBA</v>
      </c>
      <c r="H260" s="40" cm="1">
        <f t="array" ref="H260">INDEX(SalesData[Units_Sold], ROW()-1)</f>
        <v>6</v>
      </c>
      <c r="I260" s="44" cm="1">
        <f t="array" ref="I260">INDEX(SalesData[Gross_Sales_INR], ROW()-1)</f>
        <v>11526</v>
      </c>
      <c r="J260" s="43" cm="1">
        <f t="array" ref="J260">INDEX(SalesData[Net_Profit_INR], ROW()-1)</f>
        <v>3127.91</v>
      </c>
      <c r="K260" s="42" cm="1">
        <f t="array" ref="K260">INDEX(SalesData[Profit_Margin_%], ROW()-1)</f>
        <v>27.1</v>
      </c>
      <c r="L260" s="46" t="str" cm="1">
        <f t="array" ref="L260">IF(INDEX(SalesData[Customer_Rating], ROW()-1)="", "—",REPT("★", INDEX(SalesData[Customer_Rating], ROW()-1)) &amp; REPT("☆", 5-INDEX(SalesData[Customer_Rating], ROW()-1)))</f>
        <v>—</v>
      </c>
      <c r="M260" s="40" t="str" cm="1">
        <f t="array" ref="M260">IF(INDEX(SalesData[Units_Sold],ROW()-1) &lt; 5, "⚠️ Reorder", "OK")</f>
        <v>OK</v>
      </c>
      <c r="N260" s="40" t="str">
        <f t="shared" si="5"/>
        <v>Profit</v>
      </c>
      <c r="O260" s="47" t="str">
        <f>SalesData[[#This Row],[Ad_Type]]</f>
        <v>Sponsored Products</v>
      </c>
      <c r="P260" s="47" t="str">
        <f>SalesData[[#This Row],[Brand]]</f>
        <v>Amazon Basics</v>
      </c>
      <c r="Q260" s="47" t="str">
        <f>SalesData[[#This Row],[Product_Name]]</f>
        <v>Smart Watch</v>
      </c>
      <c r="R260" s="47"/>
      <c r="S260" s="47"/>
      <c r="T260" s="47"/>
      <c r="U260" s="47"/>
      <c r="V260" s="47"/>
    </row>
    <row r="261" spans="1:22">
      <c r="A261" s="45" t="str">
        <f>SalesData[[#This Row],[Order_ID]]</f>
        <v>ORD-1259</v>
      </c>
      <c r="B261" s="41" cm="1">
        <f t="array" ref="B261">INDEX(SalesData[Order_Date], ROW()-1)</f>
        <v>45115</v>
      </c>
      <c r="C261" s="40" t="str" cm="1">
        <f t="array" ref="C261">INDEX(SalesData[Category], ROW()-1)</f>
        <v>Electronics</v>
      </c>
      <c r="D261" s="40" t="str" cm="1">
        <f t="array" ref="D261">INDEX(SalesData[Product_Name],ROW()-1)</f>
        <v>Earbuds</v>
      </c>
      <c r="E261" s="40" t="str" cm="1">
        <f t="array" ref="E261">INDEX(SalesData[Customer_State],ROW()-1)</f>
        <v>Kerala</v>
      </c>
      <c r="F261" s="40" t="str" cm="1">
        <f t="array" ref="F261">INDEX(SalesData[Order_Status], ROW()-1)</f>
        <v>Cancelled</v>
      </c>
      <c r="G261" s="40" t="str" cm="1">
        <f t="array" ref="G261">INDEX(SalesData[Fulfillment_Type], ROW()-1)</f>
        <v>FBA</v>
      </c>
      <c r="H261" s="40" cm="1">
        <f t="array" ref="H261">INDEX(SalesData[Units_Sold], ROW()-1)</f>
        <v>8</v>
      </c>
      <c r="I261" s="44" cm="1">
        <f t="array" ref="I261">INDEX(SalesData[Gross_Sales_INR], ROW()-1)</f>
        <v>12936</v>
      </c>
      <c r="J261" s="43" cm="1">
        <f t="array" ref="J261">INDEX(SalesData[Net_Profit_INR], ROW()-1)</f>
        <v>4177.18</v>
      </c>
      <c r="K261" s="42" cm="1">
        <f t="array" ref="K261">INDEX(SalesData[Profit_Margin_%], ROW()-1)</f>
        <v>32.299999999999997</v>
      </c>
      <c r="L261" s="46" t="str" cm="1">
        <f t="array" ref="L261">IF(INDEX(SalesData[Customer_Rating], ROW()-1)="", "—",REPT("★", INDEX(SalesData[Customer_Rating], ROW()-1)) &amp; REPT("☆", 5-INDEX(SalesData[Customer_Rating], ROW()-1)))</f>
        <v>—</v>
      </c>
      <c r="M261" s="40" t="str" cm="1">
        <f t="array" ref="M261">IF(INDEX(SalesData[Units_Sold],ROW()-1) &lt; 5, "⚠️ Reorder", "OK")</f>
        <v>OK</v>
      </c>
      <c r="N261" s="40" t="str">
        <f t="shared" si="5"/>
        <v>Profit</v>
      </c>
      <c r="O261" s="47" t="str">
        <f>SalesData[[#This Row],[Ad_Type]]</f>
        <v>None</v>
      </c>
      <c r="P261" s="47" t="str">
        <f>SalesData[[#This Row],[Brand]]</f>
        <v>Wildcraft</v>
      </c>
      <c r="Q261" s="47" t="str">
        <f>SalesData[[#This Row],[Product_Name]]</f>
        <v>Earbuds</v>
      </c>
      <c r="R261" s="47"/>
      <c r="S261" s="47"/>
      <c r="T261" s="47"/>
      <c r="U261" s="47"/>
      <c r="V261" s="47"/>
    </row>
    <row r="262" spans="1:22">
      <c r="A262" s="45" t="str">
        <f>SalesData[[#This Row],[Order_ID]]</f>
        <v>ORD-1260</v>
      </c>
      <c r="B262" s="41" cm="1">
        <f t="array" ref="B262">INDEX(SalesData[Order_Date], ROW()-1)</f>
        <v>45226</v>
      </c>
      <c r="C262" s="40" t="str" cm="1">
        <f t="array" ref="C262">INDEX(SalesData[Category], ROW()-1)</f>
        <v>Beauty</v>
      </c>
      <c r="D262" s="40" t="str" cm="1">
        <f t="array" ref="D262">INDEX(SalesData[Product_Name],ROW()-1)</f>
        <v>Eye Cream</v>
      </c>
      <c r="E262" s="40" t="str" cm="1">
        <f t="array" ref="E262">INDEX(SalesData[Customer_State],ROW()-1)</f>
        <v>Delhi</v>
      </c>
      <c r="F262" s="40" t="str" cm="1">
        <f t="array" ref="F262">INDEX(SalesData[Order_Status], ROW()-1)</f>
        <v>Delivered</v>
      </c>
      <c r="G262" s="40" t="str" cm="1">
        <f t="array" ref="G262">INDEX(SalesData[Fulfillment_Type], ROW()-1)</f>
        <v>FBA</v>
      </c>
      <c r="H262" s="40" cm="1">
        <f t="array" ref="H262">INDEX(SalesData[Units_Sold], ROW()-1)</f>
        <v>1</v>
      </c>
      <c r="I262" s="44" cm="1">
        <f t="array" ref="I262">INDEX(SalesData[Gross_Sales_INR], ROW()-1)</f>
        <v>694</v>
      </c>
      <c r="J262" s="43" cm="1">
        <f t="array" ref="J262">INDEX(SalesData[Net_Profit_INR], ROW()-1)</f>
        <v>203.7</v>
      </c>
      <c r="K262" s="42" cm="1">
        <f t="array" ref="K262">INDEX(SalesData[Profit_Margin_%], ROW()-1)</f>
        <v>29.4</v>
      </c>
      <c r="L262" s="46" t="str" cm="1">
        <f t="array" ref="L262">IF(INDEX(SalesData[Customer_Rating], ROW()-1)="", "—",REPT("★", INDEX(SalesData[Customer_Rating], ROW()-1)) &amp; REPT("☆", 5-INDEX(SalesData[Customer_Rating], ROW()-1)))</f>
        <v>★★★★☆</v>
      </c>
      <c r="M262" s="40" t="str" cm="1">
        <f t="array" ref="M262">IF(INDEX(SalesData[Units_Sold],ROW()-1) &lt; 5, "⚠️ Reorder", "OK")</f>
        <v>⚠️ Reorder</v>
      </c>
      <c r="N262" s="40" t="str">
        <f t="shared" ref="N262:N301" si="6">IF(J200&gt;0, "Profit", IF(J200&lt;0, "Loss", "Breakeven"))</f>
        <v>Profit</v>
      </c>
      <c r="O262" s="47" t="str">
        <f>SalesData[[#This Row],[Ad_Type]]</f>
        <v>Sponsored Products</v>
      </c>
      <c r="P262" s="47" t="str">
        <f>SalesData[[#This Row],[Brand]]</f>
        <v>Wildcraft</v>
      </c>
      <c r="Q262" s="47" t="str">
        <f>SalesData[[#This Row],[Product_Name]]</f>
        <v>Eye Cream</v>
      </c>
      <c r="R262" s="47"/>
      <c r="S262" s="47"/>
      <c r="T262" s="47"/>
      <c r="U262" s="47"/>
      <c r="V262" s="47"/>
    </row>
    <row r="263" spans="1:22">
      <c r="A263" s="45" t="str">
        <f>SalesData[[#This Row],[Order_ID]]</f>
        <v>ORD-1261</v>
      </c>
      <c r="B263" s="41" cm="1">
        <f t="array" ref="B263">INDEX(SalesData[Order_Date], ROW()-1)</f>
        <v>45508</v>
      </c>
      <c r="C263" s="40" t="str" cm="1">
        <f t="array" ref="C263">INDEX(SalesData[Category], ROW()-1)</f>
        <v>Beauty</v>
      </c>
      <c r="D263" s="40" t="str" cm="1">
        <f t="array" ref="D263">INDEX(SalesData[Product_Name],ROW()-1)</f>
        <v>Body Lotion</v>
      </c>
      <c r="E263" s="40" t="str" cm="1">
        <f t="array" ref="E263">INDEX(SalesData[Customer_State],ROW()-1)</f>
        <v>Haryana</v>
      </c>
      <c r="F263" s="40" t="str" cm="1">
        <f t="array" ref="F263">INDEX(SalesData[Order_Status], ROW()-1)</f>
        <v>Cancelled</v>
      </c>
      <c r="G263" s="40" t="str" cm="1">
        <f t="array" ref="G263">INDEX(SalesData[Fulfillment_Type], ROW()-1)</f>
        <v>FBM</v>
      </c>
      <c r="H263" s="40" cm="1">
        <f t="array" ref="H263">INDEX(SalesData[Units_Sold], ROW()-1)</f>
        <v>3</v>
      </c>
      <c r="I263" s="44" cm="1">
        <f t="array" ref="I263">INDEX(SalesData[Gross_Sales_INR], ROW()-1)</f>
        <v>6693</v>
      </c>
      <c r="J263" s="43" cm="1">
        <f t="array" ref="J263">INDEX(SalesData[Net_Profit_INR], ROW()-1)</f>
        <v>1895.32</v>
      </c>
      <c r="K263" s="42" cm="1">
        <f t="array" ref="K263">INDEX(SalesData[Profit_Margin_%], ROW()-1)</f>
        <v>28.3</v>
      </c>
      <c r="L263" s="46" t="str" cm="1">
        <f t="array" ref="L263">IF(INDEX(SalesData[Customer_Rating], ROW()-1)="", "—",REPT("★", INDEX(SalesData[Customer_Rating], ROW()-1)) &amp; REPT("☆", 5-INDEX(SalesData[Customer_Rating], ROW()-1)))</f>
        <v>—</v>
      </c>
      <c r="M263" s="40" t="str" cm="1">
        <f t="array" ref="M263">IF(INDEX(SalesData[Units_Sold],ROW()-1) &lt; 5, "⚠️ Reorder", "OK")</f>
        <v>⚠️ Reorder</v>
      </c>
      <c r="N263" s="40" t="str">
        <f t="shared" si="6"/>
        <v>Loss</v>
      </c>
      <c r="O263" s="47" t="str">
        <f>SalesData[[#This Row],[Ad_Type]]</f>
        <v>None</v>
      </c>
      <c r="P263" s="47" t="str">
        <f>SalesData[[#This Row],[Brand]]</f>
        <v>Mamaearth</v>
      </c>
      <c r="Q263" s="47" t="str">
        <f>SalesData[[#This Row],[Product_Name]]</f>
        <v>Body Lotion</v>
      </c>
      <c r="R263" s="47"/>
      <c r="S263" s="47"/>
      <c r="T263" s="47"/>
      <c r="U263" s="47"/>
      <c r="V263" s="47"/>
    </row>
    <row r="264" spans="1:22">
      <c r="A264" s="45" t="str">
        <f>SalesData[[#This Row],[Order_ID]]</f>
        <v>ORD-1262</v>
      </c>
      <c r="B264" s="41" cm="1">
        <f t="array" ref="B264">INDEX(SalesData[Order_Date], ROW()-1)</f>
        <v>45468</v>
      </c>
      <c r="C264" s="40" t="str" cm="1">
        <f t="array" ref="C264">INDEX(SalesData[Category], ROW()-1)</f>
        <v>Beauty</v>
      </c>
      <c r="D264" s="40" t="str" cm="1">
        <f t="array" ref="D264">INDEX(SalesData[Product_Name],ROW()-1)</f>
        <v>Sunscreen</v>
      </c>
      <c r="E264" s="40" t="str" cm="1">
        <f t="array" ref="E264">INDEX(SalesData[Customer_State],ROW()-1)</f>
        <v>West Bengal</v>
      </c>
      <c r="F264" s="40" t="str" cm="1">
        <f t="array" ref="F264">INDEX(SalesData[Order_Status], ROW()-1)</f>
        <v>Cancelled</v>
      </c>
      <c r="G264" s="40" t="str" cm="1">
        <f t="array" ref="G264">INDEX(SalesData[Fulfillment_Type], ROW()-1)</f>
        <v>FBA</v>
      </c>
      <c r="H264" s="40" cm="1">
        <f t="array" ref="H264">INDEX(SalesData[Units_Sold], ROW()-1)</f>
        <v>5</v>
      </c>
      <c r="I264" s="44" cm="1">
        <f t="array" ref="I264">INDEX(SalesData[Gross_Sales_INR], ROW()-1)</f>
        <v>15405</v>
      </c>
      <c r="J264" s="43" cm="1">
        <f t="array" ref="J264">INDEX(SalesData[Net_Profit_INR], ROW()-1)</f>
        <v>5409.11</v>
      </c>
      <c r="K264" s="42" cm="1">
        <f t="array" ref="K264">INDEX(SalesData[Profit_Margin_%], ROW()-1)</f>
        <v>35.1</v>
      </c>
      <c r="L264" s="46" t="str" cm="1">
        <f t="array" ref="L264">IF(INDEX(SalesData[Customer_Rating], ROW()-1)="", "—",REPT("★", INDEX(SalesData[Customer_Rating], ROW()-1)) &amp; REPT("☆", 5-INDEX(SalesData[Customer_Rating], ROW()-1)))</f>
        <v>—</v>
      </c>
      <c r="M264" s="40" t="str" cm="1">
        <f t="array" ref="M264">IF(INDEX(SalesData[Units_Sold],ROW()-1) &lt; 5, "⚠️ Reorder", "OK")</f>
        <v>OK</v>
      </c>
      <c r="N264" s="40" t="str">
        <f t="shared" si="6"/>
        <v>Profit</v>
      </c>
      <c r="O264" s="47" t="str">
        <f>SalesData[[#This Row],[Ad_Type]]</f>
        <v>Sponsored Display</v>
      </c>
      <c r="P264" s="47" t="str">
        <f>SalesData[[#This Row],[Brand]]</f>
        <v>Milton</v>
      </c>
      <c r="Q264" s="47" t="str">
        <f>SalesData[[#This Row],[Product_Name]]</f>
        <v>Sunscreen</v>
      </c>
      <c r="R264" s="47"/>
      <c r="S264" s="47"/>
      <c r="T264" s="47"/>
      <c r="U264" s="47"/>
      <c r="V264" s="47"/>
    </row>
    <row r="265" spans="1:22">
      <c r="A265" s="45" t="str">
        <f>SalesData[[#This Row],[Order_ID]]</f>
        <v>ORD-1263</v>
      </c>
      <c r="B265" s="41" cm="1">
        <f t="array" ref="B265">INDEX(SalesData[Order_Date], ROW()-1)</f>
        <v>45047</v>
      </c>
      <c r="C265" s="40" t="str" cm="1">
        <f t="array" ref="C265">INDEX(SalesData[Category], ROW()-1)</f>
        <v>Beauty</v>
      </c>
      <c r="D265" s="40" t="str" cm="1">
        <f t="array" ref="D265">INDEX(SalesData[Product_Name],ROW()-1)</f>
        <v>Face Wash</v>
      </c>
      <c r="E265" s="40" t="str" cm="1">
        <f t="array" ref="E265">INDEX(SalesData[Customer_State],ROW()-1)</f>
        <v>Haryana</v>
      </c>
      <c r="F265" s="40" t="str" cm="1">
        <f t="array" ref="F265">INDEX(SalesData[Order_Status], ROW()-1)</f>
        <v>Delivered</v>
      </c>
      <c r="G265" s="40" t="str" cm="1">
        <f t="array" ref="G265">INDEX(SalesData[Fulfillment_Type], ROW()-1)</f>
        <v>FBA</v>
      </c>
      <c r="H265" s="40" cm="1">
        <f t="array" ref="H265">INDEX(SalesData[Units_Sold], ROW()-1)</f>
        <v>6</v>
      </c>
      <c r="I265" s="44" cm="1">
        <f t="array" ref="I265">INDEX(SalesData[Gross_Sales_INR], ROW()-1)</f>
        <v>18534</v>
      </c>
      <c r="J265" s="43" cm="1">
        <f t="array" ref="J265">INDEX(SalesData[Net_Profit_INR], ROW()-1)</f>
        <v>8785.27</v>
      </c>
      <c r="K265" s="42" cm="1">
        <f t="array" ref="K265">INDEX(SalesData[Profit_Margin_%], ROW()-1)</f>
        <v>47.4</v>
      </c>
      <c r="L265" s="46" t="str" cm="1">
        <f t="array" ref="L265">IF(INDEX(SalesData[Customer_Rating], ROW()-1)="", "—",REPT("★", INDEX(SalesData[Customer_Rating], ROW()-1)) &amp; REPT("☆", 5-INDEX(SalesData[Customer_Rating], ROW()-1)))</f>
        <v>★★★★☆</v>
      </c>
      <c r="M265" s="40" t="str" cm="1">
        <f t="array" ref="M265">IF(INDEX(SalesData[Units_Sold],ROW()-1) &lt; 5, "⚠️ Reorder", "OK")</f>
        <v>OK</v>
      </c>
      <c r="N265" s="40" t="str">
        <f t="shared" si="6"/>
        <v>Loss</v>
      </c>
      <c r="O265" s="47" t="str">
        <f>SalesData[[#This Row],[Ad_Type]]</f>
        <v>None</v>
      </c>
      <c r="P265" s="47" t="str">
        <f>SalesData[[#This Row],[Brand]]</f>
        <v>Himalaya</v>
      </c>
      <c r="Q265" s="47" t="str">
        <f>SalesData[[#This Row],[Product_Name]]</f>
        <v>Face Wash</v>
      </c>
      <c r="R265" s="47"/>
      <c r="S265" s="47"/>
      <c r="T265" s="47"/>
      <c r="U265" s="47"/>
      <c r="V265" s="47"/>
    </row>
    <row r="266" spans="1:22">
      <c r="A266" s="45" t="str">
        <f>SalesData[[#This Row],[Order_ID]]</f>
        <v>ORD-1264</v>
      </c>
      <c r="B266" s="41" cm="1">
        <f t="array" ref="B266">INDEX(SalesData[Order_Date], ROW()-1)</f>
        <v>45427</v>
      </c>
      <c r="C266" s="40" t="str" cm="1">
        <f t="array" ref="C266">INDEX(SalesData[Category], ROW()-1)</f>
        <v>Sports</v>
      </c>
      <c r="D266" s="40" t="str" cm="1">
        <f t="array" ref="D266">INDEX(SalesData[Product_Name],ROW()-1)</f>
        <v>Resistance Band</v>
      </c>
      <c r="E266" s="40" t="str" cm="1">
        <f t="array" ref="E266">INDEX(SalesData[Customer_State],ROW()-1)</f>
        <v>Rajasthan</v>
      </c>
      <c r="F266" s="40" t="str" cm="1">
        <f t="array" ref="F266">INDEX(SalesData[Order_Status], ROW()-1)</f>
        <v>Delivered</v>
      </c>
      <c r="G266" s="40" t="str" cm="1">
        <f t="array" ref="G266">INDEX(SalesData[Fulfillment_Type], ROW()-1)</f>
        <v>FBM</v>
      </c>
      <c r="H266" s="40" cm="1">
        <f t="array" ref="H266">INDEX(SalesData[Units_Sold], ROW()-1)</f>
        <v>10</v>
      </c>
      <c r="I266" s="44" cm="1">
        <f t="array" ref="I266">INDEX(SalesData[Gross_Sales_INR], ROW()-1)</f>
        <v>14780</v>
      </c>
      <c r="J266" s="43" cm="1">
        <f t="array" ref="J266">INDEX(SalesData[Net_Profit_INR], ROW()-1)</f>
        <v>6951.28</v>
      </c>
      <c r="K266" s="42" cm="1">
        <f t="array" ref="K266">INDEX(SalesData[Profit_Margin_%], ROW()-1)</f>
        <v>47</v>
      </c>
      <c r="L266" s="46" t="str" cm="1">
        <f t="array" ref="L266">IF(INDEX(SalesData[Customer_Rating], ROW()-1)="", "—",REPT("★", INDEX(SalesData[Customer_Rating], ROW()-1)) &amp; REPT("☆", 5-INDEX(SalesData[Customer_Rating], ROW()-1)))</f>
        <v>★★★★★</v>
      </c>
      <c r="M266" s="40" t="str" cm="1">
        <f t="array" ref="M266">IF(INDEX(SalesData[Units_Sold],ROW()-1) &lt; 5, "⚠️ Reorder", "OK")</f>
        <v>OK</v>
      </c>
      <c r="N266" s="40" t="str">
        <f t="shared" si="6"/>
        <v>Profit</v>
      </c>
      <c r="O266" s="47" t="str">
        <f>SalesData[[#This Row],[Ad_Type]]</f>
        <v>Sponsored Display</v>
      </c>
      <c r="P266" s="47" t="str">
        <f>SalesData[[#This Row],[Brand]]</f>
        <v>Wildcraft</v>
      </c>
      <c r="Q266" s="47" t="str">
        <f>SalesData[[#This Row],[Product_Name]]</f>
        <v>Resistance Band</v>
      </c>
      <c r="R266" s="47"/>
      <c r="S266" s="47"/>
      <c r="T266" s="47"/>
      <c r="U266" s="47"/>
      <c r="V266" s="47"/>
    </row>
    <row r="267" spans="1:22">
      <c r="A267" s="45" t="str">
        <f>SalesData[[#This Row],[Order_ID]]</f>
        <v>ORD-1265</v>
      </c>
      <c r="B267" s="41" cm="1">
        <f t="array" ref="B267">INDEX(SalesData[Order_Date], ROW()-1)</f>
        <v>45130</v>
      </c>
      <c r="C267" s="40" t="str" cm="1">
        <f t="array" ref="C267">INDEX(SalesData[Category], ROW()-1)</f>
        <v>Home &amp; Kitchen</v>
      </c>
      <c r="D267" s="40" t="str" cm="1">
        <f t="array" ref="D267">INDEX(SalesData[Product_Name],ROW()-1)</f>
        <v>Coffee Mug</v>
      </c>
      <c r="E267" s="40" t="str" cm="1">
        <f t="array" ref="E267">INDEX(SalesData[Customer_State],ROW()-1)</f>
        <v>Gujarat</v>
      </c>
      <c r="F267" s="40" t="str" cm="1">
        <f t="array" ref="F267">INDEX(SalesData[Order_Status], ROW()-1)</f>
        <v>Pending</v>
      </c>
      <c r="G267" s="40" t="str" cm="1">
        <f t="array" ref="G267">INDEX(SalesData[Fulfillment_Type], ROW()-1)</f>
        <v>FBM</v>
      </c>
      <c r="H267" s="40" cm="1">
        <f t="array" ref="H267">INDEX(SalesData[Units_Sold], ROW()-1)</f>
        <v>2</v>
      </c>
      <c r="I267" s="44" cm="1">
        <f t="array" ref="I267">INDEX(SalesData[Gross_Sales_INR], ROW()-1)</f>
        <v>2160</v>
      </c>
      <c r="J267" s="43" cm="1">
        <f t="array" ref="J267">INDEX(SalesData[Net_Profit_INR], ROW()-1)</f>
        <v>880.49</v>
      </c>
      <c r="K267" s="42" cm="1">
        <f t="array" ref="K267">INDEX(SalesData[Profit_Margin_%], ROW()-1)</f>
        <v>40.799999999999997</v>
      </c>
      <c r="L267" s="46" t="str" cm="1">
        <f t="array" ref="L267">IF(INDEX(SalesData[Customer_Rating], ROW()-1)="", "—",REPT("★", INDEX(SalesData[Customer_Rating], ROW()-1)) &amp; REPT("☆", 5-INDEX(SalesData[Customer_Rating], ROW()-1)))</f>
        <v>—</v>
      </c>
      <c r="M267" s="40" t="str" cm="1">
        <f t="array" ref="M267">IF(INDEX(SalesData[Units_Sold],ROW()-1) &lt; 5, "⚠️ Reorder", "OK")</f>
        <v>⚠️ Reorder</v>
      </c>
      <c r="N267" s="40" t="str">
        <f t="shared" si="6"/>
        <v>Profit</v>
      </c>
      <c r="O267" s="47" t="str">
        <f>SalesData[[#This Row],[Ad_Type]]</f>
        <v>Sponsored Brands</v>
      </c>
      <c r="P267" s="47" t="str">
        <f>SalesData[[#This Row],[Brand]]</f>
        <v>Skullcandy</v>
      </c>
      <c r="Q267" s="47" t="str">
        <f>SalesData[[#This Row],[Product_Name]]</f>
        <v>Coffee Mug</v>
      </c>
      <c r="R267" s="47"/>
      <c r="S267" s="47"/>
      <c r="T267" s="47"/>
      <c r="U267" s="47"/>
      <c r="V267" s="47"/>
    </row>
    <row r="268" spans="1:22">
      <c r="A268" s="45" t="str">
        <f>SalesData[[#This Row],[Order_ID]]</f>
        <v>ORD-1266</v>
      </c>
      <c r="B268" s="41" cm="1">
        <f t="array" ref="B268">INDEX(SalesData[Order_Date], ROW()-1)</f>
        <v>45434</v>
      </c>
      <c r="C268" s="40" t="str" cm="1">
        <f t="array" ref="C268">INDEX(SalesData[Category], ROW()-1)</f>
        <v>Beauty</v>
      </c>
      <c r="D268" s="40" t="str" cm="1">
        <f t="array" ref="D268">INDEX(SalesData[Product_Name],ROW()-1)</f>
        <v>Lip Balm</v>
      </c>
      <c r="E268" s="40" t="str" cm="1">
        <f t="array" ref="E268">INDEX(SalesData[Customer_State],ROW()-1)</f>
        <v>Madhya Pradesh</v>
      </c>
      <c r="F268" s="40" t="str" cm="1">
        <f t="array" ref="F268">INDEX(SalesData[Order_Status], ROW()-1)</f>
        <v>Delivered</v>
      </c>
      <c r="G268" s="40" t="str" cm="1">
        <f t="array" ref="G268">INDEX(SalesData[Fulfillment_Type], ROW()-1)</f>
        <v>FBA</v>
      </c>
      <c r="H268" s="40" cm="1">
        <f t="array" ref="H268">INDEX(SalesData[Units_Sold], ROW()-1)</f>
        <v>7</v>
      </c>
      <c r="I268" s="44" cm="1">
        <f t="array" ref="I268">INDEX(SalesData[Gross_Sales_INR], ROW()-1)</f>
        <v>27377</v>
      </c>
      <c r="J268" s="43" cm="1">
        <f t="array" ref="J268">INDEX(SalesData[Net_Profit_INR], ROW()-1)</f>
        <v>11178.49</v>
      </c>
      <c r="K268" s="42" cm="1">
        <f t="array" ref="K268">INDEX(SalesData[Profit_Margin_%], ROW()-1)</f>
        <v>40.799999999999997</v>
      </c>
      <c r="L268" s="46" t="str" cm="1">
        <f t="array" ref="L268">IF(INDEX(SalesData[Customer_Rating], ROW()-1)="", "—",REPT("★", INDEX(SalesData[Customer_Rating], ROW()-1)) &amp; REPT("☆", 5-INDEX(SalesData[Customer_Rating], ROW()-1)))</f>
        <v>★★★☆☆</v>
      </c>
      <c r="M268" s="40" t="str" cm="1">
        <f t="array" ref="M268">IF(INDEX(SalesData[Units_Sold],ROW()-1) &lt; 5, "⚠️ Reorder", "OK")</f>
        <v>OK</v>
      </c>
      <c r="N268" s="40" t="str">
        <f t="shared" si="6"/>
        <v>Profit</v>
      </c>
      <c r="O268" s="47" t="str">
        <f>SalesData[[#This Row],[Ad_Type]]</f>
        <v>None</v>
      </c>
      <c r="P268" s="47" t="str">
        <f>SalesData[[#This Row],[Brand]]</f>
        <v>Classmate</v>
      </c>
      <c r="Q268" s="47" t="str">
        <f>SalesData[[#This Row],[Product_Name]]</f>
        <v>Lip Balm</v>
      </c>
      <c r="R268" s="47"/>
      <c r="S268" s="47"/>
      <c r="T268" s="47"/>
      <c r="U268" s="47"/>
      <c r="V268" s="47"/>
    </row>
    <row r="269" spans="1:22">
      <c r="A269" s="45" t="str">
        <f>SalesData[[#This Row],[Order_ID]]</f>
        <v>ORD-1267</v>
      </c>
      <c r="B269" s="41" cm="1">
        <f t="array" ref="B269">INDEX(SalesData[Order_Date], ROW()-1)</f>
        <v>45432</v>
      </c>
      <c r="C269" s="40" t="str" cm="1">
        <f t="array" ref="C269">INDEX(SalesData[Category], ROW()-1)</f>
        <v>Home &amp; Kitchen</v>
      </c>
      <c r="D269" s="40" t="str" cm="1">
        <f t="array" ref="D269">INDEX(SalesData[Product_Name],ROW()-1)</f>
        <v>Coffee Mug</v>
      </c>
      <c r="E269" s="40" t="str" cm="1">
        <f t="array" ref="E269">INDEX(SalesData[Customer_State],ROW()-1)</f>
        <v>Tamil Nadu</v>
      </c>
      <c r="F269" s="40" t="str" cm="1">
        <f t="array" ref="F269">INDEX(SalesData[Order_Status], ROW()-1)</f>
        <v>Delivered</v>
      </c>
      <c r="G269" s="40" t="str" cm="1">
        <f t="array" ref="G269">INDEX(SalesData[Fulfillment_Type], ROW()-1)</f>
        <v>FBA</v>
      </c>
      <c r="H269" s="40" cm="1">
        <f t="array" ref="H269">INDEX(SalesData[Units_Sold], ROW()-1)</f>
        <v>10</v>
      </c>
      <c r="I269" s="44" cm="1">
        <f t="array" ref="I269">INDEX(SalesData[Gross_Sales_INR], ROW()-1)</f>
        <v>19000</v>
      </c>
      <c r="J269" s="43" cm="1">
        <f t="array" ref="J269">INDEX(SalesData[Net_Profit_INR], ROW()-1)</f>
        <v>7394.19</v>
      </c>
      <c r="K269" s="42" cm="1">
        <f t="array" ref="K269">INDEX(SalesData[Profit_Margin_%], ROW()-1)</f>
        <v>38.9</v>
      </c>
      <c r="L269" s="46" t="str" cm="1">
        <f t="array" ref="L269">IF(INDEX(SalesData[Customer_Rating], ROW()-1)="", "—",REPT("★", INDEX(SalesData[Customer_Rating], ROW()-1)) &amp; REPT("☆", 5-INDEX(SalesData[Customer_Rating], ROW()-1)))</f>
        <v>★★★★☆</v>
      </c>
      <c r="M269" s="40" t="str" cm="1">
        <f t="array" ref="M269">IF(INDEX(SalesData[Units_Sold],ROW()-1) &lt; 5, "⚠️ Reorder", "OK")</f>
        <v>OK</v>
      </c>
      <c r="N269" s="40" t="str">
        <f t="shared" si="6"/>
        <v>Profit</v>
      </c>
      <c r="O269" s="47" t="str">
        <f>SalesData[[#This Row],[Ad_Type]]</f>
        <v>None</v>
      </c>
      <c r="P269" s="47" t="str">
        <f>SalesData[[#This Row],[Brand]]</f>
        <v>Prestige</v>
      </c>
      <c r="Q269" s="47" t="str">
        <f>SalesData[[#This Row],[Product_Name]]</f>
        <v>Coffee Mug</v>
      </c>
      <c r="R269" s="47"/>
      <c r="S269" s="47"/>
      <c r="T269" s="47"/>
      <c r="U269" s="47"/>
      <c r="V269" s="47"/>
    </row>
    <row r="270" spans="1:22">
      <c r="A270" s="45" t="str">
        <f>SalesData[[#This Row],[Order_ID]]</f>
        <v>ORD-1268</v>
      </c>
      <c r="B270" s="41" cm="1">
        <f t="array" ref="B270">INDEX(SalesData[Order_Date], ROW()-1)</f>
        <v>44931</v>
      </c>
      <c r="C270" s="40" t="str" cm="1">
        <f t="array" ref="C270">INDEX(SalesData[Category], ROW()-1)</f>
        <v>Fashion</v>
      </c>
      <c r="D270" s="40" t="str" cm="1">
        <f t="array" ref="D270">INDEX(SalesData[Product_Name],ROW()-1)</f>
        <v>Cap</v>
      </c>
      <c r="E270" s="40" t="str" cm="1">
        <f t="array" ref="E270">INDEX(SalesData[Customer_State],ROW()-1)</f>
        <v>Karnataka</v>
      </c>
      <c r="F270" s="40" t="str" cm="1">
        <f t="array" ref="F270">INDEX(SalesData[Order_Status], ROW()-1)</f>
        <v>Cancelled</v>
      </c>
      <c r="G270" s="40" t="str" cm="1">
        <f t="array" ref="G270">INDEX(SalesData[Fulfillment_Type], ROW()-1)</f>
        <v>FBM</v>
      </c>
      <c r="H270" s="40" cm="1">
        <f t="array" ref="H270">INDEX(SalesData[Units_Sold], ROW()-1)</f>
        <v>3</v>
      </c>
      <c r="I270" s="44" cm="1">
        <f t="array" ref="I270">INDEX(SalesData[Gross_Sales_INR], ROW()-1)</f>
        <v>6231</v>
      </c>
      <c r="J270" s="43" cm="1">
        <f t="array" ref="J270">INDEX(SalesData[Net_Profit_INR], ROW()-1)</f>
        <v>2066.0300000000002</v>
      </c>
      <c r="K270" s="42" cm="1">
        <f t="array" ref="K270">INDEX(SalesData[Profit_Margin_%], ROW()-1)</f>
        <v>33.200000000000003</v>
      </c>
      <c r="L270" s="46" t="str" cm="1">
        <f t="array" ref="L270">IF(INDEX(SalesData[Customer_Rating], ROW()-1)="", "—",REPT("★", INDEX(SalesData[Customer_Rating], ROW()-1)) &amp; REPT("☆", 5-INDEX(SalesData[Customer_Rating], ROW()-1)))</f>
        <v>—</v>
      </c>
      <c r="M270" s="40" t="str" cm="1">
        <f t="array" ref="M270">IF(INDEX(SalesData[Units_Sold],ROW()-1) &lt; 5, "⚠️ Reorder", "OK")</f>
        <v>⚠️ Reorder</v>
      </c>
      <c r="N270" s="40" t="str">
        <f t="shared" si="6"/>
        <v>Profit</v>
      </c>
      <c r="O270" s="47" t="str">
        <f>SalesData[[#This Row],[Ad_Type]]</f>
        <v>Sponsored Products</v>
      </c>
      <c r="P270" s="47" t="str">
        <f>SalesData[[#This Row],[Brand]]</f>
        <v>Classmate</v>
      </c>
      <c r="Q270" s="47" t="str">
        <f>SalesData[[#This Row],[Product_Name]]</f>
        <v>Cap</v>
      </c>
      <c r="R270" s="47"/>
      <c r="S270" s="47"/>
      <c r="T270" s="47"/>
      <c r="U270" s="47"/>
      <c r="V270" s="47"/>
    </row>
    <row r="271" spans="1:22">
      <c r="A271" s="45" t="str">
        <f>SalesData[[#This Row],[Order_ID]]</f>
        <v>ORD-1269</v>
      </c>
      <c r="B271" s="41" cm="1">
        <f t="array" ref="B271">INDEX(SalesData[Order_Date], ROW()-1)</f>
        <v>45479</v>
      </c>
      <c r="C271" s="40" t="str" cm="1">
        <f t="array" ref="C271">INDEX(SalesData[Category], ROW()-1)</f>
        <v>Home &amp; Kitchen</v>
      </c>
      <c r="D271" s="40" t="str" cm="1">
        <f t="array" ref="D271">INDEX(SalesData[Product_Name],ROW()-1)</f>
        <v>Knife Set</v>
      </c>
      <c r="E271" s="40" t="str" cm="1">
        <f t="array" ref="E271">INDEX(SalesData[Customer_State],ROW()-1)</f>
        <v>Delhi</v>
      </c>
      <c r="F271" s="40" t="str" cm="1">
        <f t="array" ref="F271">INDEX(SalesData[Order_Status], ROW()-1)</f>
        <v>Cancelled</v>
      </c>
      <c r="G271" s="40" t="str" cm="1">
        <f t="array" ref="G271">INDEX(SalesData[Fulfillment_Type], ROW()-1)</f>
        <v>FBA</v>
      </c>
      <c r="H271" s="40" cm="1">
        <f t="array" ref="H271">INDEX(SalesData[Units_Sold], ROW()-1)</f>
        <v>1</v>
      </c>
      <c r="I271" s="44" cm="1">
        <f t="array" ref="I271">INDEX(SalesData[Gross_Sales_INR], ROW()-1)</f>
        <v>3132</v>
      </c>
      <c r="J271" s="43" cm="1">
        <f t="array" ref="J271">INDEX(SalesData[Net_Profit_INR], ROW()-1)</f>
        <v>1466.31</v>
      </c>
      <c r="K271" s="42" cm="1">
        <f t="array" ref="K271">INDEX(SalesData[Profit_Margin_%], ROW()-1)</f>
        <v>46.8</v>
      </c>
      <c r="L271" s="46" t="str" cm="1">
        <f t="array" ref="L271">IF(INDEX(SalesData[Customer_Rating], ROW()-1)="", "—",REPT("★", INDEX(SalesData[Customer_Rating], ROW()-1)) &amp; REPT("☆", 5-INDEX(SalesData[Customer_Rating], ROW()-1)))</f>
        <v>—</v>
      </c>
      <c r="M271" s="40" t="str" cm="1">
        <f t="array" ref="M271">IF(INDEX(SalesData[Units_Sold],ROW()-1) &lt; 5, "⚠️ Reorder", "OK")</f>
        <v>⚠️ Reorder</v>
      </c>
      <c r="N271" s="40" t="str">
        <f t="shared" si="6"/>
        <v>Profit</v>
      </c>
      <c r="O271" s="47" t="str">
        <f>SalesData[[#This Row],[Ad_Type]]</f>
        <v>None</v>
      </c>
      <c r="P271" s="47" t="str">
        <f>SalesData[[#This Row],[Brand]]</f>
        <v>Prestige</v>
      </c>
      <c r="Q271" s="47" t="str">
        <f>SalesData[[#This Row],[Product_Name]]</f>
        <v>Knife Set</v>
      </c>
      <c r="R271" s="47"/>
      <c r="S271" s="47"/>
      <c r="T271" s="47"/>
      <c r="U271" s="47"/>
      <c r="V271" s="47"/>
    </row>
    <row r="272" spans="1:22">
      <c r="A272" s="45" t="str">
        <f>SalesData[[#This Row],[Order_ID]]</f>
        <v>ORD-1270</v>
      </c>
      <c r="B272" s="41" cm="1">
        <f t="array" ref="B272">INDEX(SalesData[Order_Date], ROW()-1)</f>
        <v>45296</v>
      </c>
      <c r="C272" s="40" t="str" cm="1">
        <f t="array" ref="C272">INDEX(SalesData[Category], ROW()-1)</f>
        <v>Electronics</v>
      </c>
      <c r="D272" s="40" t="str" cm="1">
        <f t="array" ref="D272">INDEX(SalesData[Product_Name],ROW()-1)</f>
        <v>Phone Case</v>
      </c>
      <c r="E272" s="40" t="str" cm="1">
        <f t="array" ref="E272">INDEX(SalesData[Customer_State],ROW()-1)</f>
        <v>Kerala</v>
      </c>
      <c r="F272" s="40" t="str" cm="1">
        <f t="array" ref="F272">INDEX(SalesData[Order_Status], ROW()-1)</f>
        <v>Delivered</v>
      </c>
      <c r="G272" s="40" t="str" cm="1">
        <f t="array" ref="G272">INDEX(SalesData[Fulfillment_Type], ROW()-1)</f>
        <v>FBA</v>
      </c>
      <c r="H272" s="40" cm="1">
        <f t="array" ref="H272">INDEX(SalesData[Units_Sold], ROW()-1)</f>
        <v>4</v>
      </c>
      <c r="I272" s="44" cm="1">
        <f t="array" ref="I272">INDEX(SalesData[Gross_Sales_INR], ROW()-1)</f>
        <v>3900</v>
      </c>
      <c r="J272" s="43" cm="1">
        <f t="array" ref="J272">INDEX(SalesData[Net_Profit_INR], ROW()-1)</f>
        <v>1337.67</v>
      </c>
      <c r="K272" s="42" cm="1">
        <f t="array" ref="K272">INDEX(SalesData[Profit_Margin_%], ROW()-1)</f>
        <v>34.299999999999997</v>
      </c>
      <c r="L272" s="46" t="str" cm="1">
        <f t="array" ref="L272">IF(INDEX(SalesData[Customer_Rating], ROW()-1)="", "—",REPT("★", INDEX(SalesData[Customer_Rating], ROW()-1)) &amp; REPT("☆", 5-INDEX(SalesData[Customer_Rating], ROW()-1)))</f>
        <v>★★★☆☆</v>
      </c>
      <c r="M272" s="40" t="str" cm="1">
        <f t="array" ref="M272">IF(INDEX(SalesData[Units_Sold],ROW()-1) &lt; 5, "⚠️ Reorder", "OK")</f>
        <v>⚠️ Reorder</v>
      </c>
      <c r="N272" s="40" t="str">
        <f t="shared" si="6"/>
        <v>Profit</v>
      </c>
      <c r="O272" s="47" t="str">
        <f>SalesData[[#This Row],[Ad_Type]]</f>
        <v>Sponsored Display</v>
      </c>
      <c r="P272" s="47" t="str">
        <f>SalesData[[#This Row],[Brand]]</f>
        <v>Fastrack</v>
      </c>
      <c r="Q272" s="47" t="str">
        <f>SalesData[[#This Row],[Product_Name]]</f>
        <v>Phone Case</v>
      </c>
      <c r="R272" s="47"/>
      <c r="S272" s="47"/>
      <c r="T272" s="47"/>
      <c r="U272" s="47"/>
      <c r="V272" s="47"/>
    </row>
    <row r="273" spans="1:22">
      <c r="A273" s="45" t="str">
        <f>SalesData[[#This Row],[Order_ID]]</f>
        <v>ORD-1271</v>
      </c>
      <c r="B273" s="41" cm="1">
        <f t="array" ref="B273">INDEX(SalesData[Order_Date], ROW()-1)</f>
        <v>45302</v>
      </c>
      <c r="C273" s="40" t="str" cm="1">
        <f t="array" ref="C273">INDEX(SalesData[Category], ROW()-1)</f>
        <v>Home &amp; Kitchen</v>
      </c>
      <c r="D273" s="40" t="str" cm="1">
        <f t="array" ref="D273">INDEX(SalesData[Product_Name],ROW()-1)</f>
        <v>Bed Sheet</v>
      </c>
      <c r="E273" s="40" t="str" cm="1">
        <f t="array" ref="E273">INDEX(SalesData[Customer_State],ROW()-1)</f>
        <v>Karnataka</v>
      </c>
      <c r="F273" s="40" t="str" cm="1">
        <f t="array" ref="F273">INDEX(SalesData[Order_Status], ROW()-1)</f>
        <v>Returned</v>
      </c>
      <c r="G273" s="40" t="str" cm="1">
        <f t="array" ref="G273">INDEX(SalesData[Fulfillment_Type], ROW()-1)</f>
        <v>FBM</v>
      </c>
      <c r="H273" s="40" cm="1">
        <f t="array" ref="H273">INDEX(SalesData[Units_Sold], ROW()-1)</f>
        <v>8</v>
      </c>
      <c r="I273" s="44" cm="1">
        <f t="array" ref="I273">INDEX(SalesData[Gross_Sales_INR], ROW()-1)</f>
        <v>23960</v>
      </c>
      <c r="J273" s="43" cm="1">
        <f t="array" ref="J273">INDEX(SalesData[Net_Profit_INR], ROW()-1)</f>
        <v>9151.52</v>
      </c>
      <c r="K273" s="42" cm="1">
        <f t="array" ref="K273">INDEX(SalesData[Profit_Margin_%], ROW()-1)</f>
        <v>43.7</v>
      </c>
      <c r="L273" s="46" t="str" cm="1">
        <f t="array" ref="L273">IF(INDEX(SalesData[Customer_Rating], ROW()-1)="", "—",REPT("★", INDEX(SalesData[Customer_Rating], ROW()-1)) &amp; REPT("☆", 5-INDEX(SalesData[Customer_Rating], ROW()-1)))</f>
        <v>—</v>
      </c>
      <c r="M273" s="40" t="str" cm="1">
        <f t="array" ref="M273">IF(INDEX(SalesData[Units_Sold],ROW()-1) &lt; 5, "⚠️ Reorder", "OK")</f>
        <v>OK</v>
      </c>
      <c r="N273" s="40" t="str">
        <f t="shared" si="6"/>
        <v>Profit</v>
      </c>
      <c r="O273" s="47" t="str">
        <f>SalesData[[#This Row],[Ad_Type]]</f>
        <v>Sponsored Brands</v>
      </c>
      <c r="P273" s="47" t="str">
        <f>SalesData[[#This Row],[Brand]]</f>
        <v>Skullcandy</v>
      </c>
      <c r="Q273" s="47" t="str">
        <f>SalesData[[#This Row],[Product_Name]]</f>
        <v>Bed Sheet</v>
      </c>
      <c r="R273" s="47"/>
      <c r="S273" s="47"/>
      <c r="T273" s="47"/>
      <c r="U273" s="47"/>
      <c r="V273" s="47"/>
    </row>
    <row r="274" spans="1:22">
      <c r="A274" s="45" t="str">
        <f>SalesData[[#This Row],[Order_ID]]</f>
        <v>ORD-1272</v>
      </c>
      <c r="B274" s="41" cm="1">
        <f t="array" ref="B274">INDEX(SalesData[Order_Date], ROW()-1)</f>
        <v>45369</v>
      </c>
      <c r="C274" s="40" t="str" cm="1">
        <f t="array" ref="C274">INDEX(SalesData[Category], ROW()-1)</f>
        <v>Sports</v>
      </c>
      <c r="D274" s="40" t="str" cm="1">
        <f t="array" ref="D274">INDEX(SalesData[Product_Name],ROW()-1)</f>
        <v>Jump Rope</v>
      </c>
      <c r="E274" s="40" t="str" cm="1">
        <f t="array" ref="E274">INDEX(SalesData[Customer_State],ROW()-1)</f>
        <v>Karnataka</v>
      </c>
      <c r="F274" s="40" t="str" cm="1">
        <f t="array" ref="F274">INDEX(SalesData[Order_Status], ROW()-1)</f>
        <v>Pending</v>
      </c>
      <c r="G274" s="40" t="str" cm="1">
        <f t="array" ref="G274">INDEX(SalesData[Fulfillment_Type], ROW()-1)</f>
        <v>FBA</v>
      </c>
      <c r="H274" s="40" cm="1">
        <f t="array" ref="H274">INDEX(SalesData[Units_Sold], ROW()-1)</f>
        <v>7</v>
      </c>
      <c r="I274" s="44" cm="1">
        <f t="array" ref="I274">INDEX(SalesData[Gross_Sales_INR], ROW()-1)</f>
        <v>25193</v>
      </c>
      <c r="J274" s="43" cm="1">
        <f t="array" ref="J274">INDEX(SalesData[Net_Profit_INR], ROW()-1)</f>
        <v>9774.4699999999993</v>
      </c>
      <c r="K274" s="42" cm="1">
        <f t="array" ref="K274">INDEX(SalesData[Profit_Margin_%], ROW()-1)</f>
        <v>38.799999999999997</v>
      </c>
      <c r="L274" s="46" t="str" cm="1">
        <f t="array" ref="L274">IF(INDEX(SalesData[Customer_Rating], ROW()-1)="", "—",REPT("★", INDEX(SalesData[Customer_Rating], ROW()-1)) &amp; REPT("☆", 5-INDEX(SalesData[Customer_Rating], ROW()-1)))</f>
        <v>—</v>
      </c>
      <c r="M274" s="40" t="str" cm="1">
        <f t="array" ref="M274">IF(INDEX(SalesData[Units_Sold],ROW()-1) &lt; 5, "⚠️ Reorder", "OK")</f>
        <v>OK</v>
      </c>
      <c r="N274" s="40" t="str">
        <f t="shared" si="6"/>
        <v>Profit</v>
      </c>
      <c r="O274" s="47" t="str">
        <f>SalesData[[#This Row],[Ad_Type]]</f>
        <v>Sponsored Products</v>
      </c>
      <c r="P274" s="47" t="str">
        <f>SalesData[[#This Row],[Brand]]</f>
        <v>Fastrack</v>
      </c>
      <c r="Q274" s="47" t="str">
        <f>SalesData[[#This Row],[Product_Name]]</f>
        <v>Jump Rope</v>
      </c>
      <c r="R274" s="47"/>
      <c r="S274" s="47"/>
      <c r="T274" s="47"/>
      <c r="U274" s="47"/>
      <c r="V274" s="47"/>
    </row>
    <row r="275" spans="1:22">
      <c r="A275" s="45" t="str">
        <f>SalesData[[#This Row],[Order_ID]]</f>
        <v>ORD-1273</v>
      </c>
      <c r="B275" s="41" cm="1">
        <f t="array" ref="B275">INDEX(SalesData[Order_Date], ROW()-1)</f>
        <v>45529</v>
      </c>
      <c r="C275" s="40" t="str" cm="1">
        <f t="array" ref="C275">INDEX(SalesData[Category], ROW()-1)</f>
        <v>Electronics</v>
      </c>
      <c r="D275" s="40" t="str" cm="1">
        <f t="array" ref="D275">INDEX(SalesData[Product_Name],ROW()-1)</f>
        <v>Phone Case</v>
      </c>
      <c r="E275" s="40" t="str" cm="1">
        <f t="array" ref="E275">INDEX(SalesData[Customer_State],ROW()-1)</f>
        <v>Gujarat</v>
      </c>
      <c r="F275" s="40" t="str" cm="1">
        <f t="array" ref="F275">INDEX(SalesData[Order_Status], ROW()-1)</f>
        <v>In Transit</v>
      </c>
      <c r="G275" s="40" t="str" cm="1">
        <f t="array" ref="G275">INDEX(SalesData[Fulfillment_Type], ROW()-1)</f>
        <v>FBM</v>
      </c>
      <c r="H275" s="40" cm="1">
        <f t="array" ref="H275">INDEX(SalesData[Units_Sold], ROW()-1)</f>
        <v>2</v>
      </c>
      <c r="I275" s="44" cm="1">
        <f t="array" ref="I275">INDEX(SalesData[Gross_Sales_INR], ROW()-1)</f>
        <v>1586</v>
      </c>
      <c r="J275" s="43" cm="1">
        <f t="array" ref="J275">INDEX(SalesData[Net_Profit_INR], ROW()-1)</f>
        <v>577.51</v>
      </c>
      <c r="K275" s="42" cm="1">
        <f t="array" ref="K275">INDEX(SalesData[Profit_Margin_%], ROW()-1)</f>
        <v>36.4</v>
      </c>
      <c r="L275" s="46" t="str" cm="1">
        <f t="array" ref="L275">IF(INDEX(SalesData[Customer_Rating], ROW()-1)="", "—",REPT("★", INDEX(SalesData[Customer_Rating], ROW()-1)) &amp; REPT("☆", 5-INDEX(SalesData[Customer_Rating], ROW()-1)))</f>
        <v>—</v>
      </c>
      <c r="M275" s="40" t="str" cm="1">
        <f t="array" ref="M275">IF(INDEX(SalesData[Units_Sold],ROW()-1) &lt; 5, "⚠️ Reorder", "OK")</f>
        <v>⚠️ Reorder</v>
      </c>
      <c r="N275" s="40" t="str">
        <f t="shared" si="6"/>
        <v>Profit</v>
      </c>
      <c r="O275" s="47" t="str">
        <f>SalesData[[#This Row],[Ad_Type]]</f>
        <v>Sponsored Products</v>
      </c>
      <c r="P275" s="47" t="str">
        <f>SalesData[[#This Row],[Brand]]</f>
        <v>Himalaya</v>
      </c>
      <c r="Q275" s="47" t="str">
        <f>SalesData[[#This Row],[Product_Name]]</f>
        <v>Phone Case</v>
      </c>
      <c r="R275" s="47"/>
      <c r="S275" s="47"/>
      <c r="T275" s="47"/>
      <c r="U275" s="47"/>
      <c r="V275" s="47"/>
    </row>
    <row r="276" spans="1:22">
      <c r="A276" s="45" t="str">
        <f>SalesData[[#This Row],[Order_ID]]</f>
        <v>ORD-1274</v>
      </c>
      <c r="B276" s="41" cm="1">
        <f t="array" ref="B276">INDEX(SalesData[Order_Date], ROW()-1)</f>
        <v>45220</v>
      </c>
      <c r="C276" s="40" t="str" cm="1">
        <f t="array" ref="C276">INDEX(SalesData[Category], ROW()-1)</f>
        <v>Beauty</v>
      </c>
      <c r="D276" s="40" t="str" cm="1">
        <f t="array" ref="D276">INDEX(SalesData[Product_Name],ROW()-1)</f>
        <v>Moisturizer</v>
      </c>
      <c r="E276" s="40" t="str" cm="1">
        <f t="array" ref="E276">INDEX(SalesData[Customer_State],ROW()-1)</f>
        <v>Telangana</v>
      </c>
      <c r="F276" s="40" t="str" cm="1">
        <f t="array" ref="F276">INDEX(SalesData[Order_Status], ROW()-1)</f>
        <v>In Transit</v>
      </c>
      <c r="G276" s="40" t="str" cm="1">
        <f t="array" ref="G276">INDEX(SalesData[Fulfillment_Type], ROW()-1)</f>
        <v>FBM</v>
      </c>
      <c r="H276" s="40" cm="1">
        <f t="array" ref="H276">INDEX(SalesData[Units_Sold], ROW()-1)</f>
        <v>3</v>
      </c>
      <c r="I276" s="44" cm="1">
        <f t="array" ref="I276">INDEX(SalesData[Gross_Sales_INR], ROW()-1)</f>
        <v>552</v>
      </c>
      <c r="J276" s="43" cm="1">
        <f t="array" ref="J276">INDEX(SalesData[Net_Profit_INR], ROW()-1)</f>
        <v>164.84</v>
      </c>
      <c r="K276" s="42" cm="1">
        <f t="array" ref="K276">INDEX(SalesData[Profit_Margin_%], ROW()-1)</f>
        <v>29.9</v>
      </c>
      <c r="L276" s="46" t="str" cm="1">
        <f t="array" ref="L276">IF(INDEX(SalesData[Customer_Rating], ROW()-1)="", "—",REPT("★", INDEX(SalesData[Customer_Rating], ROW()-1)) &amp; REPT("☆", 5-INDEX(SalesData[Customer_Rating], ROW()-1)))</f>
        <v>—</v>
      </c>
      <c r="M276" s="40" t="str" cm="1">
        <f t="array" ref="M276">IF(INDEX(SalesData[Units_Sold],ROW()-1) &lt; 5, "⚠️ Reorder", "OK")</f>
        <v>⚠️ Reorder</v>
      </c>
      <c r="N276" s="40" t="str">
        <f t="shared" si="6"/>
        <v>Loss</v>
      </c>
      <c r="O276" s="47" t="str">
        <f>SalesData[[#This Row],[Ad_Type]]</f>
        <v>Sponsored Brands</v>
      </c>
      <c r="P276" s="47" t="str">
        <f>SalesData[[#This Row],[Brand]]</f>
        <v>Cello</v>
      </c>
      <c r="Q276" s="47" t="str">
        <f>SalesData[[#This Row],[Product_Name]]</f>
        <v>Moisturizer</v>
      </c>
      <c r="R276" s="47"/>
      <c r="S276" s="47"/>
      <c r="T276" s="47"/>
      <c r="U276" s="47"/>
      <c r="V276" s="47"/>
    </row>
    <row r="277" spans="1:22">
      <c r="A277" s="45" t="str">
        <f>SalesData[[#This Row],[Order_ID]]</f>
        <v>ORD-1275</v>
      </c>
      <c r="B277" s="41" cm="1">
        <f t="array" ref="B277">INDEX(SalesData[Order_Date], ROW()-1)</f>
        <v>45632</v>
      </c>
      <c r="C277" s="40" t="str" cm="1">
        <f t="array" ref="C277">INDEX(SalesData[Category], ROW()-1)</f>
        <v>Sports</v>
      </c>
      <c r="D277" s="40" t="str" cm="1">
        <f t="array" ref="D277">INDEX(SalesData[Product_Name],ROW()-1)</f>
        <v>Jump Rope</v>
      </c>
      <c r="E277" s="40" t="str" cm="1">
        <f t="array" ref="E277">INDEX(SalesData[Customer_State],ROW()-1)</f>
        <v>Madhya Pradesh</v>
      </c>
      <c r="F277" s="40" t="str" cm="1">
        <f t="array" ref="F277">INDEX(SalesData[Order_Status], ROW()-1)</f>
        <v>Cancelled</v>
      </c>
      <c r="G277" s="40" t="str" cm="1">
        <f t="array" ref="G277">INDEX(SalesData[Fulfillment_Type], ROW()-1)</f>
        <v>FBA</v>
      </c>
      <c r="H277" s="40" cm="1">
        <f t="array" ref="H277">INDEX(SalesData[Units_Sold], ROW()-1)</f>
        <v>4</v>
      </c>
      <c r="I277" s="44" cm="1">
        <f t="array" ref="I277">INDEX(SalesData[Gross_Sales_INR], ROW()-1)</f>
        <v>3068</v>
      </c>
      <c r="J277" s="43" cm="1">
        <f t="array" ref="J277">INDEX(SalesData[Net_Profit_INR], ROW()-1)</f>
        <v>1210.79</v>
      </c>
      <c r="K277" s="42" cm="1">
        <f t="array" ref="K277">INDEX(SalesData[Profit_Margin_%], ROW()-1)</f>
        <v>39.5</v>
      </c>
      <c r="L277" s="46" t="str" cm="1">
        <f t="array" ref="L277">IF(INDEX(SalesData[Customer_Rating], ROW()-1)="", "—",REPT("★", INDEX(SalesData[Customer_Rating], ROW()-1)) &amp; REPT("☆", 5-INDEX(SalesData[Customer_Rating], ROW()-1)))</f>
        <v>—</v>
      </c>
      <c r="M277" s="40" t="str" cm="1">
        <f t="array" ref="M277">IF(INDEX(SalesData[Units_Sold],ROW()-1) &lt; 5, "⚠️ Reorder", "OK")</f>
        <v>⚠️ Reorder</v>
      </c>
      <c r="N277" s="40" t="str">
        <f t="shared" si="6"/>
        <v>Profit</v>
      </c>
      <c r="O277" s="47" t="str">
        <f>SalesData[[#This Row],[Ad_Type]]</f>
        <v>None</v>
      </c>
      <c r="P277" s="47" t="str">
        <f>SalesData[[#This Row],[Brand]]</f>
        <v>Mamaearth</v>
      </c>
      <c r="Q277" s="47" t="str">
        <f>SalesData[[#This Row],[Product_Name]]</f>
        <v>Jump Rope</v>
      </c>
      <c r="R277" s="47"/>
      <c r="S277" s="47"/>
      <c r="T277" s="47"/>
      <c r="U277" s="47"/>
      <c r="V277" s="47"/>
    </row>
    <row r="278" spans="1:22">
      <c r="A278" s="45" t="str">
        <f>SalesData[[#This Row],[Order_ID]]</f>
        <v>ORD-1276</v>
      </c>
      <c r="B278" s="41" cm="1">
        <f t="array" ref="B278">INDEX(SalesData[Order_Date], ROW()-1)</f>
        <v>45333</v>
      </c>
      <c r="C278" s="40" t="str" cm="1">
        <f t="array" ref="C278">INDEX(SalesData[Category], ROW()-1)</f>
        <v>Office Supplies</v>
      </c>
      <c r="D278" s="40" t="str" cm="1">
        <f t="array" ref="D278">INDEX(SalesData[Product_Name],ROW()-1)</f>
        <v>File Folder</v>
      </c>
      <c r="E278" s="40" t="str" cm="1">
        <f t="array" ref="E278">INDEX(SalesData[Customer_State],ROW()-1)</f>
        <v>Maharashtra</v>
      </c>
      <c r="F278" s="40" t="str" cm="1">
        <f t="array" ref="F278">INDEX(SalesData[Order_Status], ROW()-1)</f>
        <v>Delivered</v>
      </c>
      <c r="G278" s="40" t="str" cm="1">
        <f t="array" ref="G278">INDEX(SalesData[Fulfillment_Type], ROW()-1)</f>
        <v>FBM</v>
      </c>
      <c r="H278" s="40" cm="1">
        <f t="array" ref="H278">INDEX(SalesData[Units_Sold], ROW()-1)</f>
        <v>4</v>
      </c>
      <c r="I278" s="44" cm="1">
        <f t="array" ref="I278">INDEX(SalesData[Gross_Sales_INR], ROW()-1)</f>
        <v>5612</v>
      </c>
      <c r="J278" s="43" cm="1">
        <f t="array" ref="J278">INDEX(SalesData[Net_Profit_INR], ROW()-1)</f>
        <v>2114.31</v>
      </c>
      <c r="K278" s="42" cm="1">
        <f t="array" ref="K278">INDEX(SalesData[Profit_Margin_%], ROW()-1)</f>
        <v>37.700000000000003</v>
      </c>
      <c r="L278" s="46" t="str" cm="1">
        <f t="array" ref="L278">IF(INDEX(SalesData[Customer_Rating], ROW()-1)="", "—",REPT("★", INDEX(SalesData[Customer_Rating], ROW()-1)) &amp; REPT("☆", 5-INDEX(SalesData[Customer_Rating], ROW()-1)))</f>
        <v>★★★★★</v>
      </c>
      <c r="M278" s="40" t="str" cm="1">
        <f t="array" ref="M278">IF(INDEX(SalesData[Units_Sold],ROW()-1) &lt; 5, "⚠️ Reorder", "OK")</f>
        <v>⚠️ Reorder</v>
      </c>
      <c r="N278" s="40" t="str">
        <f t="shared" si="6"/>
        <v>Profit</v>
      </c>
      <c r="O278" s="47" t="str">
        <f>SalesData[[#This Row],[Ad_Type]]</f>
        <v>Sponsored Display</v>
      </c>
      <c r="P278" s="47" t="str">
        <f>SalesData[[#This Row],[Brand]]</f>
        <v>Amazon Basics</v>
      </c>
      <c r="Q278" s="47" t="str">
        <f>SalesData[[#This Row],[Product_Name]]</f>
        <v>File Folder</v>
      </c>
      <c r="R278" s="47"/>
      <c r="S278" s="47"/>
      <c r="T278" s="47"/>
      <c r="U278" s="47"/>
      <c r="V278" s="47"/>
    </row>
    <row r="279" spans="1:22">
      <c r="A279" s="45" t="str">
        <f>SalesData[[#This Row],[Order_ID]]</f>
        <v>ORD-1277</v>
      </c>
      <c r="B279" s="41" cm="1">
        <f t="array" ref="B279">INDEX(SalesData[Order_Date], ROW()-1)</f>
        <v>45504</v>
      </c>
      <c r="C279" s="40" t="str" cm="1">
        <f t="array" ref="C279">INDEX(SalesData[Category], ROW()-1)</f>
        <v>Fashion</v>
      </c>
      <c r="D279" s="40" t="str" cm="1">
        <f t="array" ref="D279">INDEX(SalesData[Product_Name],ROW()-1)</f>
        <v>Men's T-Shirt</v>
      </c>
      <c r="E279" s="40" t="str" cm="1">
        <f t="array" ref="E279">INDEX(SalesData[Customer_State],ROW()-1)</f>
        <v>Uttar Pradesh</v>
      </c>
      <c r="F279" s="40" t="str" cm="1">
        <f t="array" ref="F279">INDEX(SalesData[Order_Status], ROW()-1)</f>
        <v>Delivered</v>
      </c>
      <c r="G279" s="40" t="str" cm="1">
        <f t="array" ref="G279">INDEX(SalesData[Fulfillment_Type], ROW()-1)</f>
        <v>FBA</v>
      </c>
      <c r="H279" s="40" cm="1">
        <f t="array" ref="H279">INDEX(SalesData[Units_Sold], ROW()-1)</f>
        <v>2</v>
      </c>
      <c r="I279" s="44" cm="1">
        <f t="array" ref="I279">INDEX(SalesData[Gross_Sales_INR], ROW()-1)</f>
        <v>3446</v>
      </c>
      <c r="J279" s="43" cm="1">
        <f t="array" ref="J279">INDEX(SalesData[Net_Profit_INR], ROW()-1)</f>
        <v>1549.57</v>
      </c>
      <c r="K279" s="42" cm="1">
        <f t="array" ref="K279">INDEX(SalesData[Profit_Margin_%], ROW()-1)</f>
        <v>45</v>
      </c>
      <c r="L279" s="46" t="str" cm="1">
        <f t="array" ref="L279">IF(INDEX(SalesData[Customer_Rating], ROW()-1)="", "—",REPT("★", INDEX(SalesData[Customer_Rating], ROW()-1)) &amp; REPT("☆", 5-INDEX(SalesData[Customer_Rating], ROW()-1)))</f>
        <v>★★★★☆</v>
      </c>
      <c r="M279" s="40" t="str" cm="1">
        <f t="array" ref="M279">IF(INDEX(SalesData[Units_Sold],ROW()-1) &lt; 5, "⚠️ Reorder", "OK")</f>
        <v>⚠️ Reorder</v>
      </c>
      <c r="N279" s="40" t="str">
        <f t="shared" si="6"/>
        <v>Profit</v>
      </c>
      <c r="O279" s="47" t="str">
        <f>SalesData[[#This Row],[Ad_Type]]</f>
        <v>None</v>
      </c>
      <c r="P279" s="47" t="str">
        <f>SalesData[[#This Row],[Brand]]</f>
        <v>Generic</v>
      </c>
      <c r="Q279" s="47" t="str">
        <f>SalesData[[#This Row],[Product_Name]]</f>
        <v>Men's T-Shirt</v>
      </c>
      <c r="R279" s="47"/>
      <c r="S279" s="47"/>
      <c r="T279" s="47"/>
      <c r="U279" s="47"/>
      <c r="V279" s="47"/>
    </row>
    <row r="280" spans="1:22">
      <c r="A280" s="45" t="str">
        <f>SalesData[[#This Row],[Order_ID]]</f>
        <v>ORD-1278</v>
      </c>
      <c r="B280" s="41" cm="1">
        <f t="array" ref="B280">INDEX(SalesData[Order_Date], ROW()-1)</f>
        <v>45351</v>
      </c>
      <c r="C280" s="40" t="str" cm="1">
        <f t="array" ref="C280">INDEX(SalesData[Category], ROW()-1)</f>
        <v>Home &amp; Kitchen</v>
      </c>
      <c r="D280" s="40" t="str" cm="1">
        <f t="array" ref="D280">INDEX(SalesData[Product_Name],ROW()-1)</f>
        <v>Water Bottle</v>
      </c>
      <c r="E280" s="40" t="str" cm="1">
        <f t="array" ref="E280">INDEX(SalesData[Customer_State],ROW()-1)</f>
        <v>Bihar</v>
      </c>
      <c r="F280" s="40" t="str" cm="1">
        <f t="array" ref="F280">INDEX(SalesData[Order_Status], ROW()-1)</f>
        <v>Delivered</v>
      </c>
      <c r="G280" s="40" t="str" cm="1">
        <f t="array" ref="G280">INDEX(SalesData[Fulfillment_Type], ROW()-1)</f>
        <v>FBA</v>
      </c>
      <c r="H280" s="40" cm="1">
        <f t="array" ref="H280">INDEX(SalesData[Units_Sold], ROW()-1)</f>
        <v>3</v>
      </c>
      <c r="I280" s="44" cm="1">
        <f t="array" ref="I280">INDEX(SalesData[Gross_Sales_INR], ROW()-1)</f>
        <v>2928</v>
      </c>
      <c r="J280" s="43" cm="1">
        <f t="array" ref="J280">INDEX(SalesData[Net_Profit_INR], ROW()-1)</f>
        <v>485.15</v>
      </c>
      <c r="K280" s="42" cm="1">
        <f t="array" ref="K280">INDEX(SalesData[Profit_Margin_%], ROW()-1)</f>
        <v>16.600000000000001</v>
      </c>
      <c r="L280" s="46" t="str" cm="1">
        <f t="array" ref="L280">IF(INDEX(SalesData[Customer_Rating], ROW()-1)="", "—",REPT("★", INDEX(SalesData[Customer_Rating], ROW()-1)) &amp; REPT("☆", 5-INDEX(SalesData[Customer_Rating], ROW()-1)))</f>
        <v>★★★★☆</v>
      </c>
      <c r="M280" s="40" t="str" cm="1">
        <f t="array" ref="M280">IF(INDEX(SalesData[Units_Sold],ROW()-1) &lt; 5, "⚠️ Reorder", "OK")</f>
        <v>⚠️ Reorder</v>
      </c>
      <c r="N280" s="40" t="str">
        <f t="shared" si="6"/>
        <v>Loss</v>
      </c>
      <c r="O280" s="47" t="str">
        <f>SalesData[[#This Row],[Ad_Type]]</f>
        <v>Sponsored Products</v>
      </c>
      <c r="P280" s="47" t="str">
        <f>SalesData[[#This Row],[Brand]]</f>
        <v>Noise</v>
      </c>
      <c r="Q280" s="47" t="str">
        <f>SalesData[[#This Row],[Product_Name]]</f>
        <v>Water Bottle</v>
      </c>
      <c r="R280" s="47"/>
      <c r="S280" s="47"/>
      <c r="T280" s="47"/>
      <c r="U280" s="47"/>
      <c r="V280" s="47"/>
    </row>
    <row r="281" spans="1:22">
      <c r="A281" s="45" t="str">
        <f>SalesData[[#This Row],[Order_ID]]</f>
        <v>ORD-1279</v>
      </c>
      <c r="B281" s="41" cm="1">
        <f t="array" ref="B281">INDEX(SalesData[Order_Date], ROW()-1)</f>
        <v>45576</v>
      </c>
      <c r="C281" s="40" t="str" cm="1">
        <f t="array" ref="C281">INDEX(SalesData[Category], ROW()-1)</f>
        <v>Beauty</v>
      </c>
      <c r="D281" s="40" t="str" cm="1">
        <f t="array" ref="D281">INDEX(SalesData[Product_Name],ROW()-1)</f>
        <v>Face Wash</v>
      </c>
      <c r="E281" s="40" t="str" cm="1">
        <f t="array" ref="E281">INDEX(SalesData[Customer_State],ROW()-1)</f>
        <v>Tamil Nadu</v>
      </c>
      <c r="F281" s="40" t="str" cm="1">
        <f t="array" ref="F281">INDEX(SalesData[Order_Status], ROW()-1)</f>
        <v>Delivered</v>
      </c>
      <c r="G281" s="40" t="str" cm="1">
        <f t="array" ref="G281">INDEX(SalesData[Fulfillment_Type], ROW()-1)</f>
        <v>FBM</v>
      </c>
      <c r="H281" s="40" cm="1">
        <f t="array" ref="H281">INDEX(SalesData[Units_Sold], ROW()-1)</f>
        <v>4</v>
      </c>
      <c r="I281" s="44" cm="1">
        <f t="array" ref="I281">INDEX(SalesData[Gross_Sales_INR], ROW()-1)</f>
        <v>14376</v>
      </c>
      <c r="J281" s="43" cm="1">
        <f t="array" ref="J281">INDEX(SalesData[Net_Profit_INR], ROW()-1)</f>
        <v>5081.25</v>
      </c>
      <c r="K281" s="42" cm="1">
        <f t="array" ref="K281">INDEX(SalesData[Profit_Margin_%], ROW()-1)</f>
        <v>35.299999999999997</v>
      </c>
      <c r="L281" s="46" t="str" cm="1">
        <f t="array" ref="L281">IF(INDEX(SalesData[Customer_Rating], ROW()-1)="", "—",REPT("★", INDEX(SalesData[Customer_Rating], ROW()-1)) &amp; REPT("☆", 5-INDEX(SalesData[Customer_Rating], ROW()-1)))</f>
        <v>★☆☆☆☆</v>
      </c>
      <c r="M281" s="40" t="str" cm="1">
        <f t="array" ref="M281">IF(INDEX(SalesData[Units_Sold],ROW()-1) &lt; 5, "⚠️ Reorder", "OK")</f>
        <v>⚠️ Reorder</v>
      </c>
      <c r="N281" s="40" t="str">
        <f t="shared" si="6"/>
        <v>Profit</v>
      </c>
      <c r="O281" s="47" t="str">
        <f>SalesData[[#This Row],[Ad_Type]]</f>
        <v>Sponsored Display</v>
      </c>
      <c r="P281" s="47" t="str">
        <f>SalesData[[#This Row],[Brand]]</f>
        <v>Lakme</v>
      </c>
      <c r="Q281" s="47" t="str">
        <f>SalesData[[#This Row],[Product_Name]]</f>
        <v>Face Wash</v>
      </c>
      <c r="R281" s="47"/>
      <c r="S281" s="47"/>
      <c r="T281" s="47"/>
      <c r="U281" s="47"/>
      <c r="V281" s="47"/>
    </row>
    <row r="282" spans="1:22">
      <c r="A282" s="45" t="str">
        <f>SalesData[[#This Row],[Order_ID]]</f>
        <v>ORD-1280</v>
      </c>
      <c r="B282" s="41" cm="1">
        <f t="array" ref="B282">INDEX(SalesData[Order_Date], ROW()-1)</f>
        <v>45019</v>
      </c>
      <c r="C282" s="40" t="str" cm="1">
        <f t="array" ref="C282">INDEX(SalesData[Category], ROW()-1)</f>
        <v>Fashion</v>
      </c>
      <c r="D282" s="40" t="str" cm="1">
        <f t="array" ref="D282">INDEX(SalesData[Product_Name],ROW()-1)</f>
        <v>Sports Shoes</v>
      </c>
      <c r="E282" s="40" t="str" cm="1">
        <f t="array" ref="E282">INDEX(SalesData[Customer_State],ROW()-1)</f>
        <v>Karnataka</v>
      </c>
      <c r="F282" s="40" t="str" cm="1">
        <f t="array" ref="F282">INDEX(SalesData[Order_Status], ROW()-1)</f>
        <v>Cancelled</v>
      </c>
      <c r="G282" s="40" t="str" cm="1">
        <f t="array" ref="G282">INDEX(SalesData[Fulfillment_Type], ROW()-1)</f>
        <v>FBA</v>
      </c>
      <c r="H282" s="40" cm="1">
        <f t="array" ref="H282">INDEX(SalesData[Units_Sold], ROW()-1)</f>
        <v>4</v>
      </c>
      <c r="I282" s="44" cm="1">
        <f t="array" ref="I282">INDEX(SalesData[Gross_Sales_INR], ROW()-1)</f>
        <v>9964</v>
      </c>
      <c r="J282" s="43" cm="1">
        <f t="array" ref="J282">INDEX(SalesData[Net_Profit_INR], ROW()-1)</f>
        <v>3899.6</v>
      </c>
      <c r="K282" s="42" cm="1">
        <f t="array" ref="K282">INDEX(SalesData[Profit_Margin_%], ROW()-1)</f>
        <v>39.1</v>
      </c>
      <c r="L282" s="46" t="str" cm="1">
        <f t="array" ref="L282">IF(INDEX(SalesData[Customer_Rating], ROW()-1)="", "—",REPT("★", INDEX(SalesData[Customer_Rating], ROW()-1)) &amp; REPT("☆", 5-INDEX(SalesData[Customer_Rating], ROW()-1)))</f>
        <v>—</v>
      </c>
      <c r="M282" s="40" t="str" cm="1">
        <f t="array" ref="M282">IF(INDEX(SalesData[Units_Sold],ROW()-1) &lt; 5, "⚠️ Reorder", "OK")</f>
        <v>⚠️ Reorder</v>
      </c>
      <c r="N282" s="40" t="str">
        <f t="shared" si="6"/>
        <v>Profit</v>
      </c>
      <c r="O282" s="47" t="str">
        <f>SalesData[[#This Row],[Ad_Type]]</f>
        <v>Sponsored Brands</v>
      </c>
      <c r="P282" s="47" t="str">
        <f>SalesData[[#This Row],[Brand]]</f>
        <v>Noise</v>
      </c>
      <c r="Q282" s="47" t="str">
        <f>SalesData[[#This Row],[Product_Name]]</f>
        <v>Sports Shoes</v>
      </c>
      <c r="R282" s="47"/>
      <c r="S282" s="47"/>
      <c r="T282" s="47"/>
      <c r="U282" s="47"/>
      <c r="V282" s="47"/>
    </row>
    <row r="283" spans="1:22">
      <c r="A283" s="45" t="str">
        <f>SalesData[[#This Row],[Order_ID]]</f>
        <v>ORD-1281</v>
      </c>
      <c r="B283" s="41" cm="1">
        <f t="array" ref="B283">INDEX(SalesData[Order_Date], ROW()-1)</f>
        <v>45493</v>
      </c>
      <c r="C283" s="40" t="str" cm="1">
        <f t="array" ref="C283">INDEX(SalesData[Category], ROW()-1)</f>
        <v>Beauty</v>
      </c>
      <c r="D283" s="40" t="str" cm="1">
        <f t="array" ref="D283">INDEX(SalesData[Product_Name],ROW()-1)</f>
        <v>Body Lotion</v>
      </c>
      <c r="E283" s="40" t="str" cm="1">
        <f t="array" ref="E283">INDEX(SalesData[Customer_State],ROW()-1)</f>
        <v>Maharashtra</v>
      </c>
      <c r="F283" s="40" t="str" cm="1">
        <f t="array" ref="F283">INDEX(SalesData[Order_Status], ROW()-1)</f>
        <v>Cancelled</v>
      </c>
      <c r="G283" s="40" t="str" cm="1">
        <f t="array" ref="G283">INDEX(SalesData[Fulfillment_Type], ROW()-1)</f>
        <v>FBA</v>
      </c>
      <c r="H283" s="40" cm="1">
        <f t="array" ref="H283">INDEX(SalesData[Units_Sold], ROW()-1)</f>
        <v>9</v>
      </c>
      <c r="I283" s="44" cm="1">
        <f t="array" ref="I283">INDEX(SalesData[Gross_Sales_INR], ROW()-1)</f>
        <v>1863</v>
      </c>
      <c r="J283" s="43" cm="1">
        <f t="array" ref="J283">INDEX(SalesData[Net_Profit_INR], ROW()-1)</f>
        <v>890.8</v>
      </c>
      <c r="K283" s="42" cm="1">
        <f t="array" ref="K283">INDEX(SalesData[Profit_Margin_%], ROW()-1)</f>
        <v>47.8</v>
      </c>
      <c r="L283" s="46" t="str" cm="1">
        <f t="array" ref="L283">IF(INDEX(SalesData[Customer_Rating], ROW()-1)="", "—",REPT("★", INDEX(SalesData[Customer_Rating], ROW()-1)) &amp; REPT("☆", 5-INDEX(SalesData[Customer_Rating], ROW()-1)))</f>
        <v>—</v>
      </c>
      <c r="M283" s="40" t="str" cm="1">
        <f t="array" ref="M283">IF(INDEX(SalesData[Units_Sold],ROW()-1) &lt; 5, "⚠️ Reorder", "OK")</f>
        <v>OK</v>
      </c>
      <c r="N283" s="40" t="str">
        <f t="shared" si="6"/>
        <v>Profit</v>
      </c>
      <c r="O283" s="47" t="str">
        <f>SalesData[[#This Row],[Ad_Type]]</f>
        <v>None</v>
      </c>
      <c r="P283" s="47" t="str">
        <f>SalesData[[#This Row],[Brand]]</f>
        <v>Wildcraft</v>
      </c>
      <c r="Q283" s="47" t="str">
        <f>SalesData[[#This Row],[Product_Name]]</f>
        <v>Body Lotion</v>
      </c>
      <c r="R283" s="47"/>
      <c r="S283" s="47"/>
      <c r="T283" s="47"/>
      <c r="U283" s="47"/>
      <c r="V283" s="47"/>
    </row>
    <row r="284" spans="1:22">
      <c r="A284" s="45" t="str">
        <f>SalesData[[#This Row],[Order_ID]]</f>
        <v>ORD-1282</v>
      </c>
      <c r="B284" s="41" cm="1">
        <f t="array" ref="B284">INDEX(SalesData[Order_Date], ROW()-1)</f>
        <v>45560</v>
      </c>
      <c r="C284" s="40" t="str" cm="1">
        <f t="array" ref="C284">INDEX(SalesData[Category], ROW()-1)</f>
        <v>Sports</v>
      </c>
      <c r="D284" s="40" t="str" cm="1">
        <f t="array" ref="D284">INDEX(SalesData[Product_Name],ROW()-1)</f>
        <v>Cycling Gloves</v>
      </c>
      <c r="E284" s="40" t="str" cm="1">
        <f t="array" ref="E284">INDEX(SalesData[Customer_State],ROW()-1)</f>
        <v>Uttar Pradesh</v>
      </c>
      <c r="F284" s="40" t="str" cm="1">
        <f t="array" ref="F284">INDEX(SalesData[Order_Status], ROW()-1)</f>
        <v>Pending</v>
      </c>
      <c r="G284" s="40" t="str" cm="1">
        <f t="array" ref="G284">INDEX(SalesData[Fulfillment_Type], ROW()-1)</f>
        <v>FBM</v>
      </c>
      <c r="H284" s="40" cm="1">
        <f t="array" ref="H284">INDEX(SalesData[Units_Sold], ROW()-1)</f>
        <v>9</v>
      </c>
      <c r="I284" s="44" cm="1">
        <f t="array" ref="I284">INDEX(SalesData[Gross_Sales_INR], ROW()-1)</f>
        <v>1872</v>
      </c>
      <c r="J284" s="43" cm="1">
        <f t="array" ref="J284">INDEX(SalesData[Net_Profit_INR], ROW()-1)</f>
        <v>801.54</v>
      </c>
      <c r="K284" s="42" cm="1">
        <f t="array" ref="K284">INDEX(SalesData[Profit_Margin_%], ROW()-1)</f>
        <v>42.8</v>
      </c>
      <c r="L284" s="46" t="str" cm="1">
        <f t="array" ref="L284">IF(INDEX(SalesData[Customer_Rating], ROW()-1)="", "—",REPT("★", INDEX(SalesData[Customer_Rating], ROW()-1)) &amp; REPT("☆", 5-INDEX(SalesData[Customer_Rating], ROW()-1)))</f>
        <v>—</v>
      </c>
      <c r="M284" s="40" t="str" cm="1">
        <f t="array" ref="M284">IF(INDEX(SalesData[Units_Sold],ROW()-1) &lt; 5, "⚠️ Reorder", "OK")</f>
        <v>OK</v>
      </c>
      <c r="N284" s="40" t="str">
        <f t="shared" si="6"/>
        <v>Loss</v>
      </c>
      <c r="O284" s="47" t="str">
        <f>SalesData[[#This Row],[Ad_Type]]</f>
        <v>Sponsored Display</v>
      </c>
      <c r="P284" s="47" t="str">
        <f>SalesData[[#This Row],[Brand]]</f>
        <v>Mamaearth</v>
      </c>
      <c r="Q284" s="47" t="str">
        <f>SalesData[[#This Row],[Product_Name]]</f>
        <v>Cycling Gloves</v>
      </c>
      <c r="R284" s="47"/>
      <c r="S284" s="47"/>
      <c r="T284" s="47"/>
      <c r="U284" s="47"/>
      <c r="V284" s="47"/>
    </row>
    <row r="285" spans="1:22">
      <c r="A285" s="45" t="str">
        <f>SalesData[[#This Row],[Order_ID]]</f>
        <v>ORD-1283</v>
      </c>
      <c r="B285" s="41" cm="1">
        <f t="array" ref="B285">INDEX(SalesData[Order_Date], ROW()-1)</f>
        <v>45646</v>
      </c>
      <c r="C285" s="40" t="str" cm="1">
        <f t="array" ref="C285">INDEX(SalesData[Category], ROW()-1)</f>
        <v>Sports</v>
      </c>
      <c r="D285" s="40" t="str" cm="1">
        <f t="array" ref="D285">INDEX(SalesData[Product_Name],ROW()-1)</f>
        <v>Knee Support</v>
      </c>
      <c r="E285" s="40" t="str" cm="1">
        <f t="array" ref="E285">INDEX(SalesData[Customer_State],ROW()-1)</f>
        <v>Maharashtra</v>
      </c>
      <c r="F285" s="40" t="str" cm="1">
        <f t="array" ref="F285">INDEX(SalesData[Order_Status], ROW()-1)</f>
        <v>Returned</v>
      </c>
      <c r="G285" s="40" t="str" cm="1">
        <f t="array" ref="G285">INDEX(SalesData[Fulfillment_Type], ROW()-1)</f>
        <v>FBM</v>
      </c>
      <c r="H285" s="40" cm="1">
        <f t="array" ref="H285">INDEX(SalesData[Units_Sold], ROW()-1)</f>
        <v>8</v>
      </c>
      <c r="I285" s="44" cm="1">
        <f t="array" ref="I285">INDEX(SalesData[Gross_Sales_INR], ROW()-1)</f>
        <v>21184</v>
      </c>
      <c r="J285" s="43" cm="1">
        <f t="array" ref="J285">INDEX(SalesData[Net_Profit_INR], ROW()-1)</f>
        <v>2428.0300000000002</v>
      </c>
      <c r="K285" s="42" cm="1">
        <f t="array" ref="K285">INDEX(SalesData[Profit_Margin_%], ROW()-1)</f>
        <v>18.3</v>
      </c>
      <c r="L285" s="46" t="str" cm="1">
        <f t="array" ref="L285">IF(INDEX(SalesData[Customer_Rating], ROW()-1)="", "—",REPT("★", INDEX(SalesData[Customer_Rating], ROW()-1)) &amp; REPT("☆", 5-INDEX(SalesData[Customer_Rating], ROW()-1)))</f>
        <v>—</v>
      </c>
      <c r="M285" s="40" t="str" cm="1">
        <f t="array" ref="M285">IF(INDEX(SalesData[Units_Sold],ROW()-1) &lt; 5, "⚠️ Reorder", "OK")</f>
        <v>OK</v>
      </c>
      <c r="N285" s="40" t="str">
        <f t="shared" si="6"/>
        <v>Profit</v>
      </c>
      <c r="O285" s="47" t="str">
        <f>SalesData[[#This Row],[Ad_Type]]</f>
        <v>Sponsored Brands</v>
      </c>
      <c r="P285" s="47" t="str">
        <f>SalesData[[#This Row],[Brand]]</f>
        <v>Fastrack</v>
      </c>
      <c r="Q285" s="47" t="str">
        <f>SalesData[[#This Row],[Product_Name]]</f>
        <v>Knee Support</v>
      </c>
      <c r="R285" s="47"/>
      <c r="S285" s="47"/>
      <c r="T285" s="47"/>
      <c r="U285" s="47"/>
      <c r="V285" s="47"/>
    </row>
    <row r="286" spans="1:22">
      <c r="A286" s="45" t="str">
        <f>SalesData[[#This Row],[Order_ID]]</f>
        <v>ORD-1284</v>
      </c>
      <c r="B286" s="41" cm="1">
        <f t="array" ref="B286">INDEX(SalesData[Order_Date], ROW()-1)</f>
        <v>45510</v>
      </c>
      <c r="C286" s="40" t="str" cm="1">
        <f t="array" ref="C286">INDEX(SalesData[Category], ROW()-1)</f>
        <v>Home &amp; Kitchen</v>
      </c>
      <c r="D286" s="40" t="str" cm="1">
        <f t="array" ref="D286">INDEX(SalesData[Product_Name],ROW()-1)</f>
        <v>Air Fryer</v>
      </c>
      <c r="E286" s="40" t="str" cm="1">
        <f t="array" ref="E286">INDEX(SalesData[Customer_State],ROW()-1)</f>
        <v>Delhi</v>
      </c>
      <c r="F286" s="40" t="str" cm="1">
        <f t="array" ref="F286">INDEX(SalesData[Order_Status], ROW()-1)</f>
        <v>Returned</v>
      </c>
      <c r="G286" s="40" t="str" cm="1">
        <f t="array" ref="G286">INDEX(SalesData[Fulfillment_Type], ROW()-1)</f>
        <v>FBM</v>
      </c>
      <c r="H286" s="40" cm="1">
        <f t="array" ref="H286">INDEX(SalesData[Units_Sold], ROW()-1)</f>
        <v>1</v>
      </c>
      <c r="I286" s="44" cm="1">
        <f t="array" ref="I286">INDEX(SalesData[Gross_Sales_INR], ROW()-1)</f>
        <v>3017</v>
      </c>
      <c r="J286" s="43" cm="1">
        <f t="array" ref="J286">INDEX(SalesData[Net_Profit_INR], ROW()-1)</f>
        <v>974.42</v>
      </c>
      <c r="K286" s="42" cm="1">
        <f t="array" ref="K286">INDEX(SalesData[Profit_Margin_%], ROW()-1)</f>
        <v>32.299999999999997</v>
      </c>
      <c r="L286" s="46" t="str" cm="1">
        <f t="array" ref="L286">IF(INDEX(SalesData[Customer_Rating], ROW()-1)="", "—",REPT("★", INDEX(SalesData[Customer_Rating], ROW()-1)) &amp; REPT("☆", 5-INDEX(SalesData[Customer_Rating], ROW()-1)))</f>
        <v>—</v>
      </c>
      <c r="M286" s="40" t="str" cm="1">
        <f t="array" ref="M286">IF(INDEX(SalesData[Units_Sold],ROW()-1) &lt; 5, "⚠️ Reorder", "OK")</f>
        <v>⚠️ Reorder</v>
      </c>
      <c r="N286" s="40" t="str">
        <f t="shared" si="6"/>
        <v>Profit</v>
      </c>
      <c r="O286" s="47" t="str">
        <f>SalesData[[#This Row],[Ad_Type]]</f>
        <v>Sponsored Brands</v>
      </c>
      <c r="P286" s="47" t="str">
        <f>SalesData[[#This Row],[Brand]]</f>
        <v>Amazon Basics</v>
      </c>
      <c r="Q286" s="47" t="str">
        <f>SalesData[[#This Row],[Product_Name]]</f>
        <v>Air Fryer</v>
      </c>
      <c r="R286" s="47"/>
      <c r="S286" s="47"/>
      <c r="T286" s="47"/>
      <c r="U286" s="47"/>
      <c r="V286" s="47"/>
    </row>
    <row r="287" spans="1:22">
      <c r="A287" s="45" t="str">
        <f>SalesData[[#This Row],[Order_ID]]</f>
        <v>ORD-1285</v>
      </c>
      <c r="B287" s="41" cm="1">
        <f t="array" ref="B287">INDEX(SalesData[Order_Date], ROW()-1)</f>
        <v>45338</v>
      </c>
      <c r="C287" s="40" t="str" cm="1">
        <f t="array" ref="C287">INDEX(SalesData[Category], ROW()-1)</f>
        <v>Beauty</v>
      </c>
      <c r="D287" s="40" t="str" cm="1">
        <f t="array" ref="D287">INDEX(SalesData[Product_Name],ROW()-1)</f>
        <v>Moisturizer</v>
      </c>
      <c r="E287" s="40" t="str" cm="1">
        <f t="array" ref="E287">INDEX(SalesData[Customer_State],ROW()-1)</f>
        <v>Madhya Pradesh</v>
      </c>
      <c r="F287" s="40" t="str" cm="1">
        <f t="array" ref="F287">INDEX(SalesData[Order_Status], ROW()-1)</f>
        <v>Pending</v>
      </c>
      <c r="G287" s="40" t="str" cm="1">
        <f t="array" ref="G287">INDEX(SalesData[Fulfillment_Type], ROW()-1)</f>
        <v>FBA</v>
      </c>
      <c r="H287" s="40" cm="1">
        <f t="array" ref="H287">INDEX(SalesData[Units_Sold], ROW()-1)</f>
        <v>7</v>
      </c>
      <c r="I287" s="44" cm="1">
        <f t="array" ref="I287">INDEX(SalesData[Gross_Sales_INR], ROW()-1)</f>
        <v>15022</v>
      </c>
      <c r="J287" s="43" cm="1">
        <f t="array" ref="J287">INDEX(SalesData[Net_Profit_INR], ROW()-1)</f>
        <v>7366.02</v>
      </c>
      <c r="K287" s="42" cm="1">
        <f t="array" ref="K287">INDEX(SalesData[Profit_Margin_%], ROW()-1)</f>
        <v>49</v>
      </c>
      <c r="L287" s="46" t="str" cm="1">
        <f t="array" ref="L287">IF(INDEX(SalesData[Customer_Rating], ROW()-1)="", "—",REPT("★", INDEX(SalesData[Customer_Rating], ROW()-1)) &amp; REPT("☆", 5-INDEX(SalesData[Customer_Rating], ROW()-1)))</f>
        <v>—</v>
      </c>
      <c r="M287" s="40" t="str" cm="1">
        <f t="array" ref="M287">IF(INDEX(SalesData[Units_Sold],ROW()-1) &lt; 5, "⚠️ Reorder", "OK")</f>
        <v>OK</v>
      </c>
      <c r="N287" s="40" t="str">
        <f t="shared" si="6"/>
        <v>Profit</v>
      </c>
      <c r="O287" s="47" t="str">
        <f>SalesData[[#This Row],[Ad_Type]]</f>
        <v>Sponsored Display</v>
      </c>
      <c r="P287" s="47" t="str">
        <f>SalesData[[#This Row],[Brand]]</f>
        <v>Milton</v>
      </c>
      <c r="Q287" s="47" t="str">
        <f>SalesData[[#This Row],[Product_Name]]</f>
        <v>Moisturizer</v>
      </c>
      <c r="R287" s="47"/>
      <c r="S287" s="47"/>
      <c r="T287" s="47"/>
      <c r="U287" s="47"/>
      <c r="V287" s="47"/>
    </row>
    <row r="288" spans="1:22">
      <c r="A288" s="45" t="str">
        <f>SalesData[[#This Row],[Order_ID]]</f>
        <v>ORD-1286</v>
      </c>
      <c r="B288" s="41" cm="1">
        <f t="array" ref="B288">INDEX(SalesData[Order_Date], ROW()-1)</f>
        <v>45619</v>
      </c>
      <c r="C288" s="40" t="str" cm="1">
        <f t="array" ref="C288">INDEX(SalesData[Category], ROW()-1)</f>
        <v>Fashion</v>
      </c>
      <c r="D288" s="40" t="str" cm="1">
        <f t="array" ref="D288">INDEX(SalesData[Product_Name],ROW()-1)</f>
        <v>Sunglasses</v>
      </c>
      <c r="E288" s="40" t="str" cm="1">
        <f t="array" ref="E288">INDEX(SalesData[Customer_State],ROW()-1)</f>
        <v>West Bengal</v>
      </c>
      <c r="F288" s="40" t="str" cm="1">
        <f t="array" ref="F288">INDEX(SalesData[Order_Status], ROW()-1)</f>
        <v>Delivered</v>
      </c>
      <c r="G288" s="40" t="str" cm="1">
        <f t="array" ref="G288">INDEX(SalesData[Fulfillment_Type], ROW()-1)</f>
        <v>FBA</v>
      </c>
      <c r="H288" s="40" cm="1">
        <f t="array" ref="H288">INDEX(SalesData[Units_Sold], ROW()-1)</f>
        <v>8</v>
      </c>
      <c r="I288" s="44" cm="1">
        <f t="array" ref="I288">INDEX(SalesData[Gross_Sales_INR], ROW()-1)</f>
        <v>26264</v>
      </c>
      <c r="J288" s="43" cm="1">
        <f t="array" ref="J288">INDEX(SalesData[Net_Profit_INR], ROW()-1)</f>
        <v>7840.98</v>
      </c>
      <c r="K288" s="42" cm="1">
        <f t="array" ref="K288">INDEX(SalesData[Profit_Margin_%], ROW()-1)</f>
        <v>29.9</v>
      </c>
      <c r="L288" s="46" t="str" cm="1">
        <f t="array" ref="L288">IF(INDEX(SalesData[Customer_Rating], ROW()-1)="", "—",REPT("★", INDEX(SalesData[Customer_Rating], ROW()-1)) &amp; REPT("☆", 5-INDEX(SalesData[Customer_Rating], ROW()-1)))</f>
        <v>★★★★★</v>
      </c>
      <c r="M288" s="40" t="str" cm="1">
        <f t="array" ref="M288">IF(INDEX(SalesData[Units_Sold],ROW()-1) &lt; 5, "⚠️ Reorder", "OK")</f>
        <v>OK</v>
      </c>
      <c r="N288" s="40" t="str">
        <f t="shared" si="6"/>
        <v>Profit</v>
      </c>
      <c r="O288" s="47" t="str">
        <f>SalesData[[#This Row],[Ad_Type]]</f>
        <v>None</v>
      </c>
      <c r="P288" s="47" t="str">
        <f>SalesData[[#This Row],[Brand]]</f>
        <v>Himalaya</v>
      </c>
      <c r="Q288" s="47" t="str">
        <f>SalesData[[#This Row],[Product_Name]]</f>
        <v>Sunglasses</v>
      </c>
      <c r="R288" s="47"/>
      <c r="S288" s="47"/>
      <c r="T288" s="47"/>
      <c r="U288" s="47"/>
      <c r="V288" s="47"/>
    </row>
    <row r="289" spans="1:22">
      <c r="A289" s="45" t="str">
        <f>SalesData[[#This Row],[Order_ID]]</f>
        <v>ORD-1287</v>
      </c>
      <c r="B289" s="41" cm="1">
        <f t="array" ref="B289">INDEX(SalesData[Order_Date], ROW()-1)</f>
        <v>45355</v>
      </c>
      <c r="C289" s="40" t="str" cm="1">
        <f t="array" ref="C289">INDEX(SalesData[Category], ROW()-1)</f>
        <v>Beauty</v>
      </c>
      <c r="D289" s="40" t="str" cm="1">
        <f t="array" ref="D289">INDEX(SalesData[Product_Name],ROW()-1)</f>
        <v>Face Wash</v>
      </c>
      <c r="E289" s="40" t="str" cm="1">
        <f t="array" ref="E289">INDEX(SalesData[Customer_State],ROW()-1)</f>
        <v>Bihar</v>
      </c>
      <c r="F289" s="40" t="str" cm="1">
        <f t="array" ref="F289">INDEX(SalesData[Order_Status], ROW()-1)</f>
        <v>Delivered</v>
      </c>
      <c r="G289" s="40" t="str" cm="1">
        <f t="array" ref="G289">INDEX(SalesData[Fulfillment_Type], ROW()-1)</f>
        <v>FBM</v>
      </c>
      <c r="H289" s="40" cm="1">
        <f t="array" ref="H289">INDEX(SalesData[Units_Sold], ROW()-1)</f>
        <v>1</v>
      </c>
      <c r="I289" s="44" cm="1">
        <f t="array" ref="I289">INDEX(SalesData[Gross_Sales_INR], ROW()-1)</f>
        <v>1298</v>
      </c>
      <c r="J289" s="43" cm="1">
        <f t="array" ref="J289">INDEX(SalesData[Net_Profit_INR], ROW()-1)</f>
        <v>647.83000000000004</v>
      </c>
      <c r="K289" s="42" cm="1">
        <f t="array" ref="K289">INDEX(SalesData[Profit_Margin_%], ROW()-1)</f>
        <v>49.9</v>
      </c>
      <c r="L289" s="46" t="str" cm="1">
        <f t="array" ref="L289">IF(INDEX(SalesData[Customer_Rating], ROW()-1)="", "—",REPT("★", INDEX(SalesData[Customer_Rating], ROW()-1)) &amp; REPT("☆", 5-INDEX(SalesData[Customer_Rating], ROW()-1)))</f>
        <v>★★★★★</v>
      </c>
      <c r="M289" s="40" t="str" cm="1">
        <f t="array" ref="M289">IF(INDEX(SalesData[Units_Sold],ROW()-1) &lt; 5, "⚠️ Reorder", "OK")</f>
        <v>⚠️ Reorder</v>
      </c>
      <c r="N289" s="40" t="str">
        <f t="shared" si="6"/>
        <v>Profit</v>
      </c>
      <c r="O289" s="47" t="str">
        <f>SalesData[[#This Row],[Ad_Type]]</f>
        <v>None</v>
      </c>
      <c r="P289" s="47" t="str">
        <f>SalesData[[#This Row],[Brand]]</f>
        <v>Classmate</v>
      </c>
      <c r="Q289" s="47" t="str">
        <f>SalesData[[#This Row],[Product_Name]]</f>
        <v>Face Wash</v>
      </c>
      <c r="R289" s="47"/>
      <c r="S289" s="47"/>
      <c r="T289" s="47"/>
      <c r="U289" s="47"/>
      <c r="V289" s="47"/>
    </row>
    <row r="290" spans="1:22">
      <c r="A290" s="45" t="str">
        <f>SalesData[[#This Row],[Order_ID]]</f>
        <v>ORD-1288</v>
      </c>
      <c r="B290" s="41" cm="1">
        <f t="array" ref="B290">INDEX(SalesData[Order_Date], ROW()-1)</f>
        <v>45632</v>
      </c>
      <c r="C290" s="40" t="str" cm="1">
        <f t="array" ref="C290">INDEX(SalesData[Category], ROW()-1)</f>
        <v>Home &amp; Kitchen</v>
      </c>
      <c r="D290" s="40" t="str" cm="1">
        <f t="array" ref="D290">INDEX(SalesData[Product_Name],ROW()-1)</f>
        <v>Water Bottle</v>
      </c>
      <c r="E290" s="40" t="str" cm="1">
        <f t="array" ref="E290">INDEX(SalesData[Customer_State],ROW()-1)</f>
        <v>Maharashtra</v>
      </c>
      <c r="F290" s="40" t="str" cm="1">
        <f t="array" ref="F290">INDEX(SalesData[Order_Status], ROW()-1)</f>
        <v>Delivered</v>
      </c>
      <c r="G290" s="40" t="str" cm="1">
        <f t="array" ref="G290">INDEX(SalesData[Fulfillment_Type], ROW()-1)</f>
        <v>FBA</v>
      </c>
      <c r="H290" s="40" cm="1">
        <f t="array" ref="H290">INDEX(SalesData[Units_Sold], ROW()-1)</f>
        <v>6</v>
      </c>
      <c r="I290" s="44" cm="1">
        <f t="array" ref="I290">INDEX(SalesData[Gross_Sales_INR], ROW()-1)</f>
        <v>14988</v>
      </c>
      <c r="J290" s="43" cm="1">
        <f t="array" ref="J290">INDEX(SalesData[Net_Profit_INR], ROW()-1)</f>
        <v>6178.68</v>
      </c>
      <c r="K290" s="42" cm="1">
        <f t="array" ref="K290">INDEX(SalesData[Profit_Margin_%], ROW()-1)</f>
        <v>41.2</v>
      </c>
      <c r="L290" s="46" t="str" cm="1">
        <f t="array" ref="L290">IF(INDEX(SalesData[Customer_Rating], ROW()-1)="", "—",REPT("★", INDEX(SalesData[Customer_Rating], ROW()-1)) &amp; REPT("☆", 5-INDEX(SalesData[Customer_Rating], ROW()-1)))</f>
        <v>★★★★★</v>
      </c>
      <c r="M290" s="40" t="str" cm="1">
        <f t="array" ref="M290">IF(INDEX(SalesData[Units_Sold],ROW()-1) &lt; 5, "⚠️ Reorder", "OK")</f>
        <v>OK</v>
      </c>
      <c r="N290" s="40" t="str">
        <f t="shared" si="6"/>
        <v>Profit</v>
      </c>
      <c r="O290" s="47" t="str">
        <f>SalesData[[#This Row],[Ad_Type]]</f>
        <v>None</v>
      </c>
      <c r="P290" s="47" t="str">
        <f>SalesData[[#This Row],[Brand]]</f>
        <v>Amazon Basics</v>
      </c>
      <c r="Q290" s="47" t="str">
        <f>SalesData[[#This Row],[Product_Name]]</f>
        <v>Water Bottle</v>
      </c>
      <c r="R290" s="47"/>
      <c r="S290" s="47"/>
      <c r="T290" s="47"/>
      <c r="U290" s="47"/>
      <c r="V290" s="47"/>
    </row>
    <row r="291" spans="1:22">
      <c r="A291" s="45" t="str">
        <f>SalesData[[#This Row],[Order_ID]]</f>
        <v>ORD-1289</v>
      </c>
      <c r="B291" s="41" cm="1">
        <f t="array" ref="B291">INDEX(SalesData[Order_Date], ROW()-1)</f>
        <v>45358</v>
      </c>
      <c r="C291" s="40" t="str" cm="1">
        <f t="array" ref="C291">INDEX(SalesData[Category], ROW()-1)</f>
        <v>Beauty</v>
      </c>
      <c r="D291" s="40" t="str" cm="1">
        <f t="array" ref="D291">INDEX(SalesData[Product_Name],ROW()-1)</f>
        <v>Lip Balm</v>
      </c>
      <c r="E291" s="40" t="str" cm="1">
        <f t="array" ref="E291">INDEX(SalesData[Customer_State],ROW()-1)</f>
        <v>Tamil Nadu</v>
      </c>
      <c r="F291" s="40" t="str" cm="1">
        <f t="array" ref="F291">INDEX(SalesData[Order_Status], ROW()-1)</f>
        <v>Returned</v>
      </c>
      <c r="G291" s="40" t="str" cm="1">
        <f t="array" ref="G291">INDEX(SalesData[Fulfillment_Type], ROW()-1)</f>
        <v>FBM</v>
      </c>
      <c r="H291" s="40" cm="1">
        <f t="array" ref="H291">INDEX(SalesData[Units_Sold], ROW()-1)</f>
        <v>6</v>
      </c>
      <c r="I291" s="44" cm="1">
        <f t="array" ref="I291">INDEX(SalesData[Gross_Sales_INR], ROW()-1)</f>
        <v>15708</v>
      </c>
      <c r="J291" s="43" cm="1">
        <f t="array" ref="J291">INDEX(SalesData[Net_Profit_INR], ROW()-1)</f>
        <v>-4859.38</v>
      </c>
      <c r="K291" s="42" cm="1">
        <f t="array" ref="K291">INDEX(SalesData[Profit_Margin_%], ROW()-1)</f>
        <v>-92.8</v>
      </c>
      <c r="L291" s="46" t="str" cm="1">
        <f t="array" ref="L291">IF(INDEX(SalesData[Customer_Rating], ROW()-1)="", "—",REPT("★", INDEX(SalesData[Customer_Rating], ROW()-1)) &amp; REPT("☆", 5-INDEX(SalesData[Customer_Rating], ROW()-1)))</f>
        <v>—</v>
      </c>
      <c r="M291" s="40" t="str" cm="1">
        <f t="array" ref="M291">IF(INDEX(SalesData[Units_Sold],ROW()-1) &lt; 5, "⚠️ Reorder", "OK")</f>
        <v>OK</v>
      </c>
      <c r="N291" s="40" t="str">
        <f t="shared" si="6"/>
        <v>Profit</v>
      </c>
      <c r="O291" s="47" t="str">
        <f>SalesData[[#This Row],[Ad_Type]]</f>
        <v>None</v>
      </c>
      <c r="P291" s="47" t="str">
        <f>SalesData[[#This Row],[Brand]]</f>
        <v>Puma</v>
      </c>
      <c r="Q291" s="47" t="str">
        <f>SalesData[[#This Row],[Product_Name]]</f>
        <v>Lip Balm</v>
      </c>
      <c r="R291" s="47"/>
      <c r="S291" s="47"/>
      <c r="T291" s="47"/>
      <c r="U291" s="47"/>
      <c r="V291" s="47"/>
    </row>
    <row r="292" spans="1:22">
      <c r="A292" s="45" t="str">
        <f>SalesData[[#This Row],[Order_ID]]</f>
        <v>ORD-1290</v>
      </c>
      <c r="B292" s="41" cm="1">
        <f t="array" ref="B292">INDEX(SalesData[Order_Date], ROW()-1)</f>
        <v>45056</v>
      </c>
      <c r="C292" s="40" t="str" cm="1">
        <f t="array" ref="C292">INDEX(SalesData[Category], ROW()-1)</f>
        <v>Fashion</v>
      </c>
      <c r="D292" s="40" t="str" cm="1">
        <f t="array" ref="D292">INDEX(SalesData[Product_Name],ROW()-1)</f>
        <v>Sports Shoes</v>
      </c>
      <c r="E292" s="40" t="str" cm="1">
        <f t="array" ref="E292">INDEX(SalesData[Customer_State],ROW()-1)</f>
        <v>Uttar Pradesh</v>
      </c>
      <c r="F292" s="40" t="str" cm="1">
        <f t="array" ref="F292">INDEX(SalesData[Order_Status], ROW()-1)</f>
        <v>Delivered</v>
      </c>
      <c r="G292" s="40" t="str" cm="1">
        <f t="array" ref="G292">INDEX(SalesData[Fulfillment_Type], ROW()-1)</f>
        <v>FBA</v>
      </c>
      <c r="H292" s="40" cm="1">
        <f t="array" ref="H292">INDEX(SalesData[Units_Sold], ROW()-1)</f>
        <v>7</v>
      </c>
      <c r="I292" s="44" cm="1">
        <f t="array" ref="I292">INDEX(SalesData[Gross_Sales_INR], ROW()-1)</f>
        <v>16191</v>
      </c>
      <c r="J292" s="43" cm="1">
        <f t="array" ref="J292">INDEX(SalesData[Net_Profit_INR], ROW()-1)</f>
        <v>8143.02</v>
      </c>
      <c r="K292" s="42" cm="1">
        <f t="array" ref="K292">INDEX(SalesData[Profit_Margin_%], ROW()-1)</f>
        <v>50.3</v>
      </c>
      <c r="L292" s="46" t="str" cm="1">
        <f t="array" ref="L292">IF(INDEX(SalesData[Customer_Rating], ROW()-1)="", "—",REPT("★", INDEX(SalesData[Customer_Rating], ROW()-1)) &amp; REPT("☆", 5-INDEX(SalesData[Customer_Rating], ROW()-1)))</f>
        <v>★★★☆☆</v>
      </c>
      <c r="M292" s="40" t="str" cm="1">
        <f t="array" ref="M292">IF(INDEX(SalesData[Units_Sold],ROW()-1) &lt; 5, "⚠️ Reorder", "OK")</f>
        <v>OK</v>
      </c>
      <c r="N292" s="40" t="str">
        <f t="shared" si="6"/>
        <v>Profit</v>
      </c>
      <c r="O292" s="47" t="str">
        <f>SalesData[[#This Row],[Ad_Type]]</f>
        <v>Sponsored Brands</v>
      </c>
      <c r="P292" s="47" t="str">
        <f>SalesData[[#This Row],[Brand]]</f>
        <v>Milton</v>
      </c>
      <c r="Q292" s="47" t="str">
        <f>SalesData[[#This Row],[Product_Name]]</f>
        <v>Sports Shoes</v>
      </c>
      <c r="R292" s="47"/>
      <c r="S292" s="47"/>
      <c r="T292" s="47"/>
      <c r="U292" s="47"/>
      <c r="V292" s="47"/>
    </row>
    <row r="293" spans="1:22">
      <c r="A293" s="45" t="str">
        <f>SalesData[[#This Row],[Order_ID]]</f>
        <v>ORD-1291</v>
      </c>
      <c r="B293" s="41" cm="1">
        <f t="array" ref="B293">INDEX(SalesData[Order_Date], ROW()-1)</f>
        <v>45394</v>
      </c>
      <c r="C293" s="40" t="str" cm="1">
        <f t="array" ref="C293">INDEX(SalesData[Category], ROW()-1)</f>
        <v>Sports</v>
      </c>
      <c r="D293" s="40" t="str" cm="1">
        <f t="array" ref="D293">INDEX(SalesData[Product_Name],ROW()-1)</f>
        <v>Running Belt</v>
      </c>
      <c r="E293" s="40" t="str" cm="1">
        <f t="array" ref="E293">INDEX(SalesData[Customer_State],ROW()-1)</f>
        <v>Telangana</v>
      </c>
      <c r="F293" s="40" t="str" cm="1">
        <f t="array" ref="F293">INDEX(SalesData[Order_Status], ROW()-1)</f>
        <v>Delivered</v>
      </c>
      <c r="G293" s="40" t="str" cm="1">
        <f t="array" ref="G293">INDEX(SalesData[Fulfillment_Type], ROW()-1)</f>
        <v>FBA</v>
      </c>
      <c r="H293" s="40" cm="1">
        <f t="array" ref="H293">INDEX(SalesData[Units_Sold], ROW()-1)</f>
        <v>7</v>
      </c>
      <c r="I293" s="44" cm="1">
        <f t="array" ref="I293">INDEX(SalesData[Gross_Sales_INR], ROW()-1)</f>
        <v>15092</v>
      </c>
      <c r="J293" s="43" cm="1">
        <f t="array" ref="J293">INDEX(SalesData[Net_Profit_INR], ROW()-1)</f>
        <v>3908.51</v>
      </c>
      <c r="K293" s="42" cm="1">
        <f t="array" ref="K293">INDEX(SalesData[Profit_Margin_%], ROW()-1)</f>
        <v>25.9</v>
      </c>
      <c r="L293" s="46" t="str" cm="1">
        <f t="array" ref="L293">IF(INDEX(SalesData[Customer_Rating], ROW()-1)="", "—",REPT("★", INDEX(SalesData[Customer_Rating], ROW()-1)) &amp; REPT("☆", 5-INDEX(SalesData[Customer_Rating], ROW()-1)))</f>
        <v>★★★★★</v>
      </c>
      <c r="M293" s="40" t="str" cm="1">
        <f t="array" ref="M293">IF(INDEX(SalesData[Units_Sold],ROW()-1) &lt; 5, "⚠️ Reorder", "OK")</f>
        <v>OK</v>
      </c>
      <c r="N293" s="40" t="str">
        <f t="shared" si="6"/>
        <v>Profit</v>
      </c>
      <c r="O293" s="47" t="str">
        <f>SalesData[[#This Row],[Ad_Type]]</f>
        <v>None</v>
      </c>
      <c r="P293" s="47" t="str">
        <f>SalesData[[#This Row],[Brand]]</f>
        <v>Puma</v>
      </c>
      <c r="Q293" s="47" t="str">
        <f>SalesData[[#This Row],[Product_Name]]</f>
        <v>Running Belt</v>
      </c>
      <c r="R293" s="47"/>
      <c r="S293" s="47"/>
      <c r="T293" s="47"/>
      <c r="U293" s="47"/>
      <c r="V293" s="47"/>
    </row>
    <row r="294" spans="1:22">
      <c r="A294" s="45" t="str">
        <f>SalesData[[#This Row],[Order_ID]]</f>
        <v>ORD-1292</v>
      </c>
      <c r="B294" s="41" cm="1">
        <f t="array" ref="B294">INDEX(SalesData[Order_Date], ROW()-1)</f>
        <v>45650</v>
      </c>
      <c r="C294" s="40" t="str" cm="1">
        <f t="array" ref="C294">INDEX(SalesData[Category], ROW()-1)</f>
        <v>Office Supplies</v>
      </c>
      <c r="D294" s="40" t="str" cm="1">
        <f t="array" ref="D294">INDEX(SalesData[Product_Name],ROW()-1)</f>
        <v>Gel Pen Set</v>
      </c>
      <c r="E294" s="40" t="str" cm="1">
        <f t="array" ref="E294">INDEX(SalesData[Customer_State],ROW()-1)</f>
        <v>Tamil Nadu</v>
      </c>
      <c r="F294" s="40" t="str" cm="1">
        <f t="array" ref="F294">INDEX(SalesData[Order_Status], ROW()-1)</f>
        <v>Pending</v>
      </c>
      <c r="G294" s="40" t="str" cm="1">
        <f t="array" ref="G294">INDEX(SalesData[Fulfillment_Type], ROW()-1)</f>
        <v>FBM</v>
      </c>
      <c r="H294" s="40" cm="1">
        <f t="array" ref="H294">INDEX(SalesData[Units_Sold], ROW()-1)</f>
        <v>5</v>
      </c>
      <c r="I294" s="44" cm="1">
        <f t="array" ref="I294">INDEX(SalesData[Gross_Sales_INR], ROW()-1)</f>
        <v>6415</v>
      </c>
      <c r="J294" s="43" cm="1">
        <f t="array" ref="J294">INDEX(SalesData[Net_Profit_INR], ROW()-1)</f>
        <v>3002.84</v>
      </c>
      <c r="K294" s="42" cm="1">
        <f t="array" ref="K294">INDEX(SalesData[Profit_Margin_%], ROW()-1)</f>
        <v>46.8</v>
      </c>
      <c r="L294" s="46" t="str" cm="1">
        <f t="array" ref="L294">IF(INDEX(SalesData[Customer_Rating], ROW()-1)="", "—",REPT("★", INDEX(SalesData[Customer_Rating], ROW()-1)) &amp; REPT("☆", 5-INDEX(SalesData[Customer_Rating], ROW()-1)))</f>
        <v>—</v>
      </c>
      <c r="M294" s="40" t="str" cm="1">
        <f t="array" ref="M294">IF(INDEX(SalesData[Units_Sold],ROW()-1) &lt; 5, "⚠️ Reorder", "OK")</f>
        <v>OK</v>
      </c>
      <c r="N294" s="40" t="str">
        <f t="shared" si="6"/>
        <v>Profit</v>
      </c>
      <c r="O294" s="47" t="str">
        <f>SalesData[[#This Row],[Ad_Type]]</f>
        <v>Sponsored Brands</v>
      </c>
      <c r="P294" s="47" t="str">
        <f>SalesData[[#This Row],[Brand]]</f>
        <v>Classmate</v>
      </c>
      <c r="Q294" s="47" t="str">
        <f>SalesData[[#This Row],[Product_Name]]</f>
        <v>Gel Pen Set</v>
      </c>
      <c r="R294" s="47"/>
      <c r="S294" s="47"/>
      <c r="T294" s="47"/>
      <c r="U294" s="47"/>
      <c r="V294" s="47"/>
    </row>
    <row r="295" spans="1:22">
      <c r="A295" s="45" t="str">
        <f>SalesData[[#This Row],[Order_ID]]</f>
        <v>ORD-1293</v>
      </c>
      <c r="B295" s="41" cm="1">
        <f t="array" ref="B295">INDEX(SalesData[Order_Date], ROW()-1)</f>
        <v>44949</v>
      </c>
      <c r="C295" s="40" t="str" cm="1">
        <f t="array" ref="C295">INDEX(SalesData[Category], ROW()-1)</f>
        <v>Fashion</v>
      </c>
      <c r="D295" s="40" t="str" cm="1">
        <f t="array" ref="D295">INDEX(SalesData[Product_Name],ROW()-1)</f>
        <v>Men's T-Shirt</v>
      </c>
      <c r="E295" s="40" t="str" cm="1">
        <f t="array" ref="E295">INDEX(SalesData[Customer_State],ROW()-1)</f>
        <v>Uttar Pradesh</v>
      </c>
      <c r="F295" s="40" t="str" cm="1">
        <f t="array" ref="F295">INDEX(SalesData[Order_Status], ROW()-1)</f>
        <v>Returned</v>
      </c>
      <c r="G295" s="40" t="str" cm="1">
        <f t="array" ref="G295">INDEX(SalesData[Fulfillment_Type], ROW()-1)</f>
        <v>FBM</v>
      </c>
      <c r="H295" s="40" cm="1">
        <f t="array" ref="H295">INDEX(SalesData[Units_Sold], ROW()-1)</f>
        <v>4</v>
      </c>
      <c r="I295" s="44" cm="1">
        <f t="array" ref="I295">INDEX(SalesData[Gross_Sales_INR], ROW()-1)</f>
        <v>10020</v>
      </c>
      <c r="J295" s="43" cm="1">
        <f t="array" ref="J295">INDEX(SalesData[Net_Profit_INR], ROW()-1)</f>
        <v>2697.52</v>
      </c>
      <c r="K295" s="42" cm="1">
        <f t="array" ref="K295">INDEX(SalesData[Profit_Margin_%], ROW()-1)</f>
        <v>26.9</v>
      </c>
      <c r="L295" s="46" t="str" cm="1">
        <f t="array" ref="L295">IF(INDEX(SalesData[Customer_Rating], ROW()-1)="", "—",REPT("★", INDEX(SalesData[Customer_Rating], ROW()-1)) &amp; REPT("☆", 5-INDEX(SalesData[Customer_Rating], ROW()-1)))</f>
        <v>—</v>
      </c>
      <c r="M295" s="40" t="str" cm="1">
        <f t="array" ref="M295">IF(INDEX(SalesData[Units_Sold],ROW()-1) &lt; 5, "⚠️ Reorder", "OK")</f>
        <v>⚠️ Reorder</v>
      </c>
      <c r="N295" s="40" t="str">
        <f t="shared" si="6"/>
        <v>Profit</v>
      </c>
      <c r="O295" s="47" t="str">
        <f>SalesData[[#This Row],[Ad_Type]]</f>
        <v>None</v>
      </c>
      <c r="P295" s="47" t="str">
        <f>SalesData[[#This Row],[Brand]]</f>
        <v>Puma</v>
      </c>
      <c r="Q295" s="47" t="str">
        <f>SalesData[[#This Row],[Product_Name]]</f>
        <v>Men's T-Shirt</v>
      </c>
      <c r="R295" s="47"/>
      <c r="S295" s="47"/>
      <c r="T295" s="47"/>
      <c r="U295" s="47"/>
      <c r="V295" s="47"/>
    </row>
    <row r="296" spans="1:22">
      <c r="A296" s="45" t="str">
        <f>SalesData[[#This Row],[Order_ID]]</f>
        <v>ORD-1294</v>
      </c>
      <c r="B296" s="41" cm="1">
        <f t="array" ref="B296">INDEX(SalesData[Order_Date], ROW()-1)</f>
        <v>45315</v>
      </c>
      <c r="C296" s="40" t="str" cm="1">
        <f t="array" ref="C296">INDEX(SalesData[Category], ROW()-1)</f>
        <v>Home &amp; Kitchen</v>
      </c>
      <c r="D296" s="40" t="str" cm="1">
        <f t="array" ref="D296">INDEX(SalesData[Product_Name],ROW()-1)</f>
        <v>Coffee Mug</v>
      </c>
      <c r="E296" s="40" t="str" cm="1">
        <f t="array" ref="E296">INDEX(SalesData[Customer_State],ROW()-1)</f>
        <v>Haryana</v>
      </c>
      <c r="F296" s="40" t="str" cm="1">
        <f t="array" ref="F296">INDEX(SalesData[Order_Status], ROW()-1)</f>
        <v>Delivered</v>
      </c>
      <c r="G296" s="40" t="str" cm="1">
        <f t="array" ref="G296">INDEX(SalesData[Fulfillment_Type], ROW()-1)</f>
        <v>FBA</v>
      </c>
      <c r="H296" s="40" cm="1">
        <f t="array" ref="H296">INDEX(SalesData[Units_Sold], ROW()-1)</f>
        <v>2</v>
      </c>
      <c r="I296" s="44" cm="1">
        <f t="array" ref="I296">INDEX(SalesData[Gross_Sales_INR], ROW()-1)</f>
        <v>6328</v>
      </c>
      <c r="J296" s="43" cm="1">
        <f t="array" ref="J296">INDEX(SalesData[Net_Profit_INR], ROW()-1)</f>
        <v>2805.02</v>
      </c>
      <c r="K296" s="42" cm="1">
        <f t="array" ref="K296">INDEX(SalesData[Profit_Margin_%], ROW()-1)</f>
        <v>44.3</v>
      </c>
      <c r="L296" s="46" t="str" cm="1">
        <f t="array" ref="L296">IF(INDEX(SalesData[Customer_Rating], ROW()-1)="", "—",REPT("★", INDEX(SalesData[Customer_Rating], ROW()-1)) &amp; REPT("☆", 5-INDEX(SalesData[Customer_Rating], ROW()-1)))</f>
        <v>★★★★☆</v>
      </c>
      <c r="M296" s="40" t="str" cm="1">
        <f t="array" ref="M296">IF(INDEX(SalesData[Units_Sold],ROW()-1) &lt; 5, "⚠️ Reorder", "OK")</f>
        <v>⚠️ Reorder</v>
      </c>
      <c r="N296" s="40" t="str">
        <f t="shared" si="6"/>
        <v>Profit</v>
      </c>
      <c r="O296" s="47" t="str">
        <f>SalesData[[#This Row],[Ad_Type]]</f>
        <v>None</v>
      </c>
      <c r="P296" s="47" t="str">
        <f>SalesData[[#This Row],[Brand]]</f>
        <v>Lakme</v>
      </c>
      <c r="Q296" s="47" t="str">
        <f>SalesData[[#This Row],[Product_Name]]</f>
        <v>Coffee Mug</v>
      </c>
      <c r="R296" s="47"/>
      <c r="S296" s="47"/>
      <c r="T296" s="47"/>
      <c r="U296" s="47"/>
      <c r="V296" s="47"/>
    </row>
    <row r="297" spans="1:22">
      <c r="A297" s="45" t="str">
        <f>SalesData[[#This Row],[Order_ID]]</f>
        <v>ORD-1295</v>
      </c>
      <c r="B297" s="41" cm="1">
        <f t="array" ref="B297">INDEX(SalesData[Order_Date], ROW()-1)</f>
        <v>45068</v>
      </c>
      <c r="C297" s="40" t="str" cm="1">
        <f t="array" ref="C297">INDEX(SalesData[Category], ROW()-1)</f>
        <v>Office Supplies</v>
      </c>
      <c r="D297" s="40" t="str" cm="1">
        <f t="array" ref="D297">INDEX(SalesData[Product_Name],ROW()-1)</f>
        <v>Tape Dispenser</v>
      </c>
      <c r="E297" s="40" t="str" cm="1">
        <f t="array" ref="E297">INDEX(SalesData[Customer_State],ROW()-1)</f>
        <v>Uttar Pradesh</v>
      </c>
      <c r="F297" s="40" t="str" cm="1">
        <f t="array" ref="F297">INDEX(SalesData[Order_Status], ROW()-1)</f>
        <v>In Transit</v>
      </c>
      <c r="G297" s="40" t="str" cm="1">
        <f t="array" ref="G297">INDEX(SalesData[Fulfillment_Type], ROW()-1)</f>
        <v>FBA</v>
      </c>
      <c r="H297" s="40" cm="1">
        <f t="array" ref="H297">INDEX(SalesData[Units_Sold], ROW()-1)</f>
        <v>1</v>
      </c>
      <c r="I297" s="44" cm="1">
        <f t="array" ref="I297">INDEX(SalesData[Gross_Sales_INR], ROW()-1)</f>
        <v>3090</v>
      </c>
      <c r="J297" s="43" cm="1">
        <f t="array" ref="J297">INDEX(SalesData[Net_Profit_INR], ROW()-1)</f>
        <v>972.64</v>
      </c>
      <c r="K297" s="42" cm="1">
        <f t="array" ref="K297">INDEX(SalesData[Profit_Margin_%], ROW()-1)</f>
        <v>31.5</v>
      </c>
      <c r="L297" s="46" t="str" cm="1">
        <f t="array" ref="L297">IF(INDEX(SalesData[Customer_Rating], ROW()-1)="", "—",REPT("★", INDEX(SalesData[Customer_Rating], ROW()-1)) &amp; REPT("☆", 5-INDEX(SalesData[Customer_Rating], ROW()-1)))</f>
        <v>—</v>
      </c>
      <c r="M297" s="40" t="str" cm="1">
        <f t="array" ref="M297">IF(INDEX(SalesData[Units_Sold],ROW()-1) &lt; 5, "⚠️ Reorder", "OK")</f>
        <v>⚠️ Reorder</v>
      </c>
      <c r="N297" s="40" t="str">
        <f t="shared" si="6"/>
        <v>Profit</v>
      </c>
      <c r="O297" s="47" t="str">
        <f>SalesData[[#This Row],[Ad_Type]]</f>
        <v>Sponsored Brands</v>
      </c>
      <c r="P297" s="47" t="str">
        <f>SalesData[[#This Row],[Brand]]</f>
        <v>Cello</v>
      </c>
      <c r="Q297" s="47" t="str">
        <f>SalesData[[#This Row],[Product_Name]]</f>
        <v>Tape Dispenser</v>
      </c>
      <c r="R297" s="47"/>
      <c r="S297" s="47"/>
      <c r="T297" s="47"/>
      <c r="U297" s="47"/>
      <c r="V297" s="47"/>
    </row>
    <row r="298" spans="1:22">
      <c r="A298" s="45" t="str">
        <f>SalesData[[#This Row],[Order_ID]]</f>
        <v>ORD-1296</v>
      </c>
      <c r="B298" s="41" cm="1">
        <f t="array" ref="B298">INDEX(SalesData[Order_Date], ROW()-1)</f>
        <v>45245</v>
      </c>
      <c r="C298" s="40" t="str" cm="1">
        <f t="array" ref="C298">INDEX(SalesData[Category], ROW()-1)</f>
        <v>Office Supplies</v>
      </c>
      <c r="D298" s="40" t="str" cm="1">
        <f t="array" ref="D298">INDEX(SalesData[Product_Name],ROW()-1)</f>
        <v>Gel Pen Set</v>
      </c>
      <c r="E298" s="40" t="str" cm="1">
        <f t="array" ref="E298">INDEX(SalesData[Customer_State],ROW()-1)</f>
        <v>Gujarat</v>
      </c>
      <c r="F298" s="40" t="str" cm="1">
        <f t="array" ref="F298">INDEX(SalesData[Order_Status], ROW()-1)</f>
        <v>Delivered</v>
      </c>
      <c r="G298" s="40" t="str" cm="1">
        <f t="array" ref="G298">INDEX(SalesData[Fulfillment_Type], ROW()-1)</f>
        <v>FBA</v>
      </c>
      <c r="H298" s="40" cm="1">
        <f t="array" ref="H298">INDEX(SalesData[Units_Sold], ROW()-1)</f>
        <v>10</v>
      </c>
      <c r="I298" s="44" cm="1">
        <f t="array" ref="I298">INDEX(SalesData[Gross_Sales_INR], ROW()-1)</f>
        <v>27000</v>
      </c>
      <c r="J298" s="43" cm="1">
        <f t="array" ref="J298">INDEX(SalesData[Net_Profit_INR], ROW()-1)</f>
        <v>7667.87</v>
      </c>
      <c r="K298" s="42" cm="1">
        <f t="array" ref="K298">INDEX(SalesData[Profit_Margin_%], ROW()-1)</f>
        <v>28.4</v>
      </c>
      <c r="L298" s="46" t="str" cm="1">
        <f t="array" ref="L298">IF(INDEX(SalesData[Customer_Rating], ROW()-1)="", "—",REPT("★", INDEX(SalesData[Customer_Rating], ROW()-1)) &amp; REPT("☆", 5-INDEX(SalesData[Customer_Rating], ROW()-1)))</f>
        <v>★★★★★</v>
      </c>
      <c r="M298" s="40" t="str" cm="1">
        <f t="array" ref="M298">IF(INDEX(SalesData[Units_Sold],ROW()-1) &lt; 5, "⚠️ Reorder", "OK")</f>
        <v>OK</v>
      </c>
      <c r="N298" s="40" t="str">
        <f t="shared" si="6"/>
        <v>Profit</v>
      </c>
      <c r="O298" s="47" t="str">
        <f>SalesData[[#This Row],[Ad_Type]]</f>
        <v>None</v>
      </c>
      <c r="P298" s="47" t="str">
        <f>SalesData[[#This Row],[Brand]]</f>
        <v>Generic</v>
      </c>
      <c r="Q298" s="47" t="str">
        <f>SalesData[[#This Row],[Product_Name]]</f>
        <v>Gel Pen Set</v>
      </c>
      <c r="R298" s="47"/>
      <c r="S298" s="47"/>
      <c r="T298" s="47"/>
      <c r="U298" s="47"/>
      <c r="V298" s="47"/>
    </row>
    <row r="299" spans="1:22">
      <c r="A299" s="45" t="str">
        <f>SalesData[[#This Row],[Order_ID]]</f>
        <v>ORD-1297</v>
      </c>
      <c r="B299" s="41" cm="1">
        <f t="array" ref="B299">INDEX(SalesData[Order_Date], ROW()-1)</f>
        <v>45287</v>
      </c>
      <c r="C299" s="40" t="str" cm="1">
        <f t="array" ref="C299">INDEX(SalesData[Category], ROW()-1)</f>
        <v>Electronics</v>
      </c>
      <c r="D299" s="40" t="str" cm="1">
        <f t="array" ref="D299">INDEX(SalesData[Product_Name],ROW()-1)</f>
        <v>Smart Watch</v>
      </c>
      <c r="E299" s="40" t="str" cm="1">
        <f t="array" ref="E299">INDEX(SalesData[Customer_State],ROW()-1)</f>
        <v>Tamil Nadu</v>
      </c>
      <c r="F299" s="40" t="str" cm="1">
        <f t="array" ref="F299">INDEX(SalesData[Order_Status], ROW()-1)</f>
        <v>Pending</v>
      </c>
      <c r="G299" s="40" t="str" cm="1">
        <f t="array" ref="G299">INDEX(SalesData[Fulfillment_Type], ROW()-1)</f>
        <v>FBM</v>
      </c>
      <c r="H299" s="40" cm="1">
        <f t="array" ref="H299">INDEX(SalesData[Units_Sold], ROW()-1)</f>
        <v>7</v>
      </c>
      <c r="I299" s="44" cm="1">
        <f t="array" ref="I299">INDEX(SalesData[Gross_Sales_INR], ROW()-1)</f>
        <v>18494</v>
      </c>
      <c r="J299" s="43" cm="1">
        <f t="array" ref="J299">INDEX(SalesData[Net_Profit_INR], ROW()-1)</f>
        <v>6589.44</v>
      </c>
      <c r="K299" s="42" cm="1">
        <f t="array" ref="K299">INDEX(SalesData[Profit_Margin_%], ROW()-1)</f>
        <v>35.6</v>
      </c>
      <c r="L299" s="46" t="str" cm="1">
        <f t="array" ref="L299">IF(INDEX(SalesData[Customer_Rating], ROW()-1)="", "—",REPT("★", INDEX(SalesData[Customer_Rating], ROW()-1)) &amp; REPT("☆", 5-INDEX(SalesData[Customer_Rating], ROW()-1)))</f>
        <v>—</v>
      </c>
      <c r="M299" s="40" t="str" cm="1">
        <f t="array" ref="M299">IF(INDEX(SalesData[Units_Sold],ROW()-1) &lt; 5, "⚠️ Reorder", "OK")</f>
        <v>OK</v>
      </c>
      <c r="N299" s="40" t="str">
        <f t="shared" si="6"/>
        <v>Profit</v>
      </c>
      <c r="O299" s="47" t="str">
        <f>SalesData[[#This Row],[Ad_Type]]</f>
        <v>Sponsored Brands</v>
      </c>
      <c r="P299" s="47" t="str">
        <f>SalesData[[#This Row],[Brand]]</f>
        <v>BoAt</v>
      </c>
      <c r="Q299" s="47" t="str">
        <f>SalesData[[#This Row],[Product_Name]]</f>
        <v>Smart Watch</v>
      </c>
      <c r="R299" s="47"/>
      <c r="S299" s="47"/>
      <c r="T299" s="47"/>
      <c r="U299" s="47"/>
      <c r="V299" s="47"/>
    </row>
    <row r="300" spans="1:22">
      <c r="A300" s="45" t="str">
        <f>SalesData[[#This Row],[Order_ID]]</f>
        <v>ORD-1298</v>
      </c>
      <c r="B300" s="41" cm="1">
        <f t="array" ref="B300">INDEX(SalesData[Order_Date], ROW()-1)</f>
        <v>44982</v>
      </c>
      <c r="C300" s="40" t="str" cm="1">
        <f t="array" ref="C300">INDEX(SalesData[Category], ROW()-1)</f>
        <v>Electronics</v>
      </c>
      <c r="D300" s="40" t="str" cm="1">
        <f t="array" ref="D300">INDEX(SalesData[Product_Name],ROW()-1)</f>
        <v>Webcam</v>
      </c>
      <c r="E300" s="40" t="str" cm="1">
        <f t="array" ref="E300">INDEX(SalesData[Customer_State],ROW()-1)</f>
        <v>Karnataka</v>
      </c>
      <c r="F300" s="40" t="str" cm="1">
        <f t="array" ref="F300">INDEX(SalesData[Order_Status], ROW()-1)</f>
        <v>Returned</v>
      </c>
      <c r="G300" s="40" t="str" cm="1">
        <f t="array" ref="G300">INDEX(SalesData[Fulfillment_Type], ROW()-1)</f>
        <v>FBA</v>
      </c>
      <c r="H300" s="40" cm="1">
        <f t="array" ref="H300">INDEX(SalesData[Units_Sold], ROW()-1)</f>
        <v>7</v>
      </c>
      <c r="I300" s="44" cm="1">
        <f t="array" ref="I300">INDEX(SalesData[Gross_Sales_INR], ROW()-1)</f>
        <v>14287</v>
      </c>
      <c r="J300" s="43" cm="1">
        <f t="array" ref="J300">INDEX(SalesData[Net_Profit_INR], ROW()-1)</f>
        <v>-7747.82</v>
      </c>
      <c r="K300" s="42" cm="1">
        <f t="array" ref="K300">INDEX(SalesData[Profit_Margin_%], ROW()-1)</f>
        <v>-379.6</v>
      </c>
      <c r="L300" s="46" t="str" cm="1">
        <f t="array" ref="L300">IF(INDEX(SalesData[Customer_Rating], ROW()-1)="", "—",REPT("★", INDEX(SalesData[Customer_Rating], ROW()-1)) &amp; REPT("☆", 5-INDEX(SalesData[Customer_Rating], ROW()-1)))</f>
        <v>—</v>
      </c>
      <c r="M300" s="40" t="str" cm="1">
        <f t="array" ref="M300">IF(INDEX(SalesData[Units_Sold],ROW()-1) &lt; 5, "⚠️ Reorder", "OK")</f>
        <v>OK</v>
      </c>
      <c r="N300" s="40" t="str">
        <f t="shared" si="6"/>
        <v>Profit</v>
      </c>
      <c r="O300" s="47" t="str">
        <f>SalesData[[#This Row],[Ad_Type]]</f>
        <v>None</v>
      </c>
      <c r="P300" s="47" t="str">
        <f>SalesData[[#This Row],[Brand]]</f>
        <v>Fastrack</v>
      </c>
      <c r="Q300" s="47" t="str">
        <f>SalesData[[#This Row],[Product_Name]]</f>
        <v>Webcam</v>
      </c>
      <c r="R300" s="47"/>
      <c r="S300" s="47"/>
      <c r="T300" s="47"/>
      <c r="U300" s="47"/>
      <c r="V300" s="47"/>
    </row>
    <row r="301" spans="1:22">
      <c r="A301" s="45" t="str">
        <f>SalesData[[#This Row],[Order_ID]]</f>
        <v>ORD-1299</v>
      </c>
      <c r="B301" s="41" cm="1">
        <f t="array" ref="B301">INDEX(SalesData[Order_Date], ROW()-1)</f>
        <v>45007</v>
      </c>
      <c r="C301" s="40" t="str" cm="1">
        <f t="array" ref="C301">INDEX(SalesData[Category], ROW()-1)</f>
        <v>Sports</v>
      </c>
      <c r="D301" s="40" t="str" cm="1">
        <f t="array" ref="D301">INDEX(SalesData[Product_Name],ROW()-1)</f>
        <v>Knee Support</v>
      </c>
      <c r="E301" s="40" t="str" cm="1">
        <f t="array" ref="E301">INDEX(SalesData[Customer_State],ROW()-1)</f>
        <v>Punjab</v>
      </c>
      <c r="F301" s="40" t="str" cm="1">
        <f t="array" ref="F301">INDEX(SalesData[Order_Status], ROW()-1)</f>
        <v>Delivered</v>
      </c>
      <c r="G301" s="40" t="str" cm="1">
        <f t="array" ref="G301">INDEX(SalesData[Fulfillment_Type], ROW()-1)</f>
        <v>FBM</v>
      </c>
      <c r="H301" s="40" cm="1">
        <f t="array" ref="H301">INDEX(SalesData[Units_Sold], ROW()-1)</f>
        <v>10</v>
      </c>
      <c r="I301" s="44" cm="1">
        <f t="array" ref="I301">INDEX(SalesData[Gross_Sales_INR], ROW()-1)</f>
        <v>30410</v>
      </c>
      <c r="J301" s="43" cm="1">
        <f t="array" ref="J301">INDEX(SalesData[Net_Profit_INR], ROW()-1)</f>
        <v>15731</v>
      </c>
      <c r="K301" s="42" cm="1">
        <f t="array" ref="K301">INDEX(SalesData[Profit_Margin_%], ROW()-1)</f>
        <v>51.7</v>
      </c>
      <c r="L301" s="46" t="str" cm="1">
        <f t="array" ref="L301">IF(INDEX(SalesData[Customer_Rating], ROW()-1)="", "—",REPT("★", INDEX(SalesData[Customer_Rating], ROW()-1)) &amp; REPT("☆", 5-INDEX(SalesData[Customer_Rating], ROW()-1)))</f>
        <v>★★★★☆</v>
      </c>
      <c r="M301" s="40" t="str" cm="1">
        <f t="array" ref="M301">IF(INDEX(SalesData[Units_Sold],ROW()-1) &lt; 5, "⚠️ Reorder", "OK")</f>
        <v>OK</v>
      </c>
      <c r="N301" s="40" t="str">
        <f t="shared" si="6"/>
        <v>Profit</v>
      </c>
      <c r="O301" s="47" t="str">
        <f>SalesData[[#This Row],[Ad_Type]]</f>
        <v>Sponsored Products</v>
      </c>
      <c r="P301" s="47" t="str">
        <f>SalesData[[#This Row],[Brand]]</f>
        <v>Puma</v>
      </c>
      <c r="Q301" s="47" t="str">
        <f>SalesData[[#This Row],[Product_Name]]</f>
        <v>Knee Support</v>
      </c>
      <c r="R301" s="47"/>
      <c r="S301" s="47"/>
      <c r="T301" s="47"/>
      <c r="U301" s="47"/>
      <c r="V301" s="47"/>
    </row>
    <row r="302" spans="1:22">
      <c r="A302" s="45"/>
      <c r="B302" s="41"/>
      <c r="C302" s="40"/>
      <c r="D302" s="40"/>
      <c r="E302" s="40"/>
      <c r="F302" s="40"/>
      <c r="G302" s="40"/>
      <c r="H302" s="40"/>
      <c r="I302" s="44"/>
      <c r="J302" s="43"/>
      <c r="K302" s="42"/>
      <c r="L302" s="46"/>
      <c r="M302" s="40"/>
      <c r="N302" s="40"/>
      <c r="O302" s="47"/>
      <c r="P302" s="47"/>
      <c r="Q302" s="47"/>
      <c r="R302" s="47"/>
      <c r="S302" s="47"/>
      <c r="T302" s="47"/>
      <c r="U302" s="47"/>
      <c r="V302" s="47"/>
    </row>
    <row r="303" spans="1:22">
      <c r="A303" s="45"/>
      <c r="B303" s="41"/>
      <c r="C303" s="40"/>
      <c r="D303" s="40"/>
      <c r="E303" s="40"/>
      <c r="F303" s="40"/>
      <c r="G303" s="40"/>
      <c r="H303" s="40"/>
      <c r="I303" s="44"/>
      <c r="J303" s="43"/>
      <c r="K303" s="42"/>
      <c r="L303" s="46"/>
      <c r="M303" s="40"/>
      <c r="N303" s="40"/>
      <c r="O303" s="47"/>
      <c r="P303" s="47"/>
      <c r="Q303" s="47"/>
      <c r="R303" s="47"/>
      <c r="S303" s="47"/>
      <c r="T303" s="47"/>
      <c r="U303" s="47"/>
      <c r="V303" s="47"/>
    </row>
    <row r="304" spans="1:22">
      <c r="A304" s="45"/>
      <c r="B304" s="41"/>
      <c r="C304" s="40"/>
      <c r="D304" s="40"/>
      <c r="E304" s="40"/>
      <c r="F304" s="40"/>
      <c r="G304" s="40"/>
      <c r="H304" s="40"/>
      <c r="I304" s="44"/>
      <c r="J304" s="43"/>
      <c r="K304" s="42"/>
      <c r="L304" s="46"/>
      <c r="M304" s="40"/>
      <c r="N304" s="40"/>
      <c r="O304" s="47"/>
      <c r="P304" s="47"/>
      <c r="Q304" s="47"/>
      <c r="R304" s="47"/>
      <c r="S304" s="47"/>
      <c r="T304" s="47"/>
      <c r="U304" s="47"/>
      <c r="V304" s="47"/>
    </row>
    <row r="305" spans="1:22">
      <c r="A305" s="45"/>
      <c r="B305" s="41"/>
      <c r="C305" s="40"/>
      <c r="D305" s="40"/>
      <c r="E305" s="40"/>
      <c r="F305" s="40"/>
      <c r="G305" s="40"/>
      <c r="H305" s="40"/>
      <c r="I305" s="44"/>
      <c r="J305" s="43"/>
      <c r="K305" s="42"/>
      <c r="L305" s="46"/>
      <c r="M305" s="40"/>
      <c r="N305" s="40"/>
      <c r="O305" s="47"/>
      <c r="P305" s="47"/>
      <c r="Q305" s="47"/>
      <c r="R305" s="47"/>
      <c r="S305" s="47"/>
      <c r="T305" s="47"/>
      <c r="U305" s="47"/>
      <c r="V305" s="47"/>
    </row>
    <row r="306" spans="1:22">
      <c r="A306" s="45"/>
      <c r="B306" s="41"/>
      <c r="C306" s="40"/>
      <c r="D306" s="40"/>
      <c r="E306" s="40"/>
      <c r="F306" s="40"/>
      <c r="G306" s="40"/>
      <c r="H306" s="40"/>
      <c r="I306" s="40"/>
      <c r="J306" s="43"/>
      <c r="K306" s="42"/>
      <c r="L306" s="40"/>
      <c r="M306" s="40"/>
      <c r="N306" s="40"/>
      <c r="O306" s="47"/>
      <c r="P306" s="47"/>
      <c r="Q306" s="47"/>
      <c r="R306" s="47"/>
      <c r="S306" s="47"/>
      <c r="T306" s="47"/>
      <c r="U306" s="47"/>
      <c r="V306" s="47"/>
    </row>
    <row r="307" spans="1:22">
      <c r="A307" s="45"/>
      <c r="B307" s="41"/>
      <c r="C307" s="40"/>
      <c r="D307" s="40"/>
      <c r="E307" s="40"/>
      <c r="F307" s="40"/>
      <c r="G307" s="40"/>
      <c r="H307" s="40"/>
      <c r="I307" s="40"/>
      <c r="J307" s="43"/>
      <c r="K307" s="42"/>
      <c r="L307" s="40"/>
      <c r="M307" s="40"/>
      <c r="N307" s="40"/>
      <c r="O307" s="47"/>
      <c r="P307" s="47"/>
      <c r="Q307" s="47"/>
      <c r="R307" s="47"/>
      <c r="S307" s="47"/>
      <c r="T307" s="47"/>
      <c r="U307" s="47"/>
      <c r="V307" s="47"/>
    </row>
    <row r="308" spans="1:22">
      <c r="A308" s="45"/>
      <c r="B308" s="41"/>
      <c r="C308" s="40"/>
      <c r="D308" s="40"/>
      <c r="E308" s="40"/>
      <c r="F308" s="40"/>
      <c r="G308" s="40"/>
      <c r="H308" s="40"/>
      <c r="I308" s="40"/>
      <c r="J308" s="40"/>
      <c r="K308" s="40"/>
      <c r="L308" s="40"/>
      <c r="M308" s="40"/>
      <c r="N308" s="40"/>
      <c r="O308" s="47"/>
      <c r="P308" s="47"/>
      <c r="Q308" s="47"/>
      <c r="R308" s="47"/>
      <c r="S308" s="47"/>
      <c r="T308" s="47"/>
      <c r="U308" s="47"/>
      <c r="V308" s="47"/>
    </row>
    <row r="309" spans="1:22">
      <c r="A309" s="45"/>
      <c r="B309" s="41"/>
      <c r="C309" s="40"/>
      <c r="D309" s="40"/>
      <c r="E309" s="40"/>
      <c r="F309" s="40"/>
      <c r="G309" s="40"/>
      <c r="H309" s="40"/>
      <c r="I309" s="40"/>
      <c r="J309" s="40"/>
      <c r="K309" s="40"/>
      <c r="L309" s="40"/>
      <c r="M309" s="40"/>
      <c r="N309" s="40"/>
      <c r="O309" s="47"/>
      <c r="P309" s="47"/>
      <c r="Q309" s="47"/>
      <c r="R309" s="47"/>
      <c r="S309" s="47"/>
      <c r="T309" s="47"/>
      <c r="U309" s="47"/>
      <c r="V309" s="47"/>
    </row>
    <row r="310" spans="1:22">
      <c r="A310" s="45"/>
      <c r="B310" s="41"/>
      <c r="C310" s="40"/>
      <c r="D310" s="40"/>
      <c r="E310" s="40"/>
      <c r="F310" s="40"/>
      <c r="G310" s="40"/>
      <c r="H310" s="40"/>
      <c r="I310" s="40"/>
      <c r="J310" s="40"/>
      <c r="K310" s="40"/>
      <c r="L310" s="40"/>
      <c r="M310" s="40"/>
      <c r="N310" s="40"/>
      <c r="O310" s="47"/>
      <c r="P310" s="47"/>
      <c r="Q310" s="47"/>
      <c r="R310" s="47"/>
      <c r="S310" s="47"/>
      <c r="T310" s="47"/>
      <c r="U310" s="47"/>
      <c r="V310" s="47"/>
    </row>
    <row r="311" spans="1:22">
      <c r="A311" s="45"/>
      <c r="B311" s="41"/>
      <c r="C311" s="40"/>
      <c r="D311" s="40"/>
      <c r="E311" s="40"/>
      <c r="F311" s="40"/>
      <c r="G311" s="40"/>
      <c r="H311" s="40"/>
      <c r="I311" s="40"/>
      <c r="J311" s="40"/>
      <c r="K311" s="40"/>
      <c r="L311" s="40"/>
      <c r="M311" s="40"/>
      <c r="N311" s="40"/>
      <c r="O311" s="47"/>
      <c r="P311" s="47"/>
      <c r="Q311" s="47"/>
      <c r="R311" s="47"/>
      <c r="S311" s="47"/>
      <c r="T311" s="47"/>
      <c r="U311" s="47"/>
      <c r="V311" s="47"/>
    </row>
    <row r="312" spans="1:22">
      <c r="A312" s="45"/>
      <c r="B312" s="41"/>
      <c r="C312" s="40"/>
      <c r="D312" s="40"/>
      <c r="E312" s="40"/>
      <c r="F312" s="40"/>
      <c r="G312" s="40"/>
      <c r="H312" s="40"/>
      <c r="I312" s="40"/>
      <c r="J312" s="40"/>
      <c r="K312" s="40"/>
      <c r="L312" s="40"/>
      <c r="M312" s="40"/>
      <c r="N312" s="40"/>
      <c r="O312" s="47"/>
      <c r="P312" s="47"/>
      <c r="Q312" s="47"/>
      <c r="R312" s="47"/>
      <c r="S312" s="47"/>
      <c r="T312" s="47"/>
      <c r="U312" s="47"/>
      <c r="V312" s="47"/>
    </row>
    <row r="313" spans="1:22">
      <c r="A313" s="45"/>
      <c r="B313" s="41"/>
      <c r="C313" s="40"/>
      <c r="D313" s="40"/>
      <c r="E313" s="40"/>
      <c r="F313" s="40"/>
      <c r="G313" s="40"/>
      <c r="H313" s="40"/>
      <c r="I313" s="40"/>
      <c r="J313" s="40"/>
      <c r="K313" s="40"/>
      <c r="L313" s="40"/>
      <c r="M313" s="40"/>
      <c r="N313" s="40"/>
      <c r="O313" s="47"/>
      <c r="P313" s="47"/>
      <c r="Q313" s="47"/>
      <c r="R313" s="47"/>
      <c r="S313" s="47"/>
      <c r="T313" s="47"/>
      <c r="U313" s="47"/>
      <c r="V313" s="47"/>
    </row>
    <row r="314" spans="1:22">
      <c r="A314" s="45"/>
      <c r="B314" s="41"/>
      <c r="C314" s="40"/>
      <c r="D314" s="40"/>
      <c r="E314" s="40"/>
      <c r="F314" s="40"/>
      <c r="G314" s="40"/>
      <c r="H314" s="40"/>
      <c r="I314" s="40"/>
      <c r="J314" s="40"/>
      <c r="K314" s="40"/>
      <c r="L314" s="40"/>
      <c r="M314" s="40"/>
      <c r="N314" s="40"/>
      <c r="O314" s="47"/>
      <c r="P314" s="47"/>
      <c r="Q314" s="47"/>
      <c r="R314" s="47"/>
      <c r="S314" s="47"/>
      <c r="T314" s="47"/>
      <c r="U314" s="47"/>
      <c r="V314" s="47"/>
    </row>
    <row r="315" spans="1:22">
      <c r="A315" s="45"/>
      <c r="B315" s="41"/>
      <c r="C315" s="40"/>
      <c r="D315" s="40"/>
      <c r="E315" s="40"/>
      <c r="F315" s="40"/>
      <c r="G315" s="40"/>
      <c r="H315" s="40"/>
      <c r="I315" s="40"/>
      <c r="J315" s="40"/>
      <c r="K315" s="40"/>
      <c r="L315" s="40"/>
      <c r="M315" s="40"/>
      <c r="N315" s="40"/>
      <c r="O315" s="47"/>
      <c r="P315" s="47"/>
      <c r="Q315" s="47"/>
      <c r="R315" s="47"/>
      <c r="S315" s="47"/>
      <c r="T315" s="47"/>
      <c r="U315" s="47"/>
      <c r="V315" s="47"/>
    </row>
    <row r="316" spans="1:22">
      <c r="A316" s="45"/>
      <c r="B316" s="41"/>
      <c r="C316" s="40"/>
      <c r="D316" s="40"/>
      <c r="E316" s="40"/>
      <c r="F316" s="40"/>
      <c r="G316" s="40"/>
      <c r="H316" s="40"/>
      <c r="I316" s="40"/>
      <c r="J316" s="40"/>
      <c r="K316" s="40"/>
      <c r="L316" s="40"/>
      <c r="M316" s="40"/>
      <c r="N316" s="40"/>
      <c r="O316" s="47"/>
      <c r="P316" s="47"/>
      <c r="Q316" s="47"/>
      <c r="R316" s="47"/>
      <c r="S316" s="47"/>
      <c r="T316" s="47"/>
      <c r="U316" s="47"/>
      <c r="V316" s="47"/>
    </row>
    <row r="317" spans="1:22">
      <c r="A317" s="45"/>
      <c r="B317" s="41"/>
      <c r="C317" s="40"/>
      <c r="D317" s="40"/>
      <c r="E317" s="40"/>
      <c r="F317" s="40"/>
      <c r="G317" s="40"/>
      <c r="H317" s="40"/>
      <c r="I317" s="40"/>
      <c r="J317" s="40"/>
      <c r="K317" s="40"/>
      <c r="L317" s="40"/>
      <c r="M317" s="40"/>
      <c r="N317" s="40"/>
      <c r="O317" s="47"/>
      <c r="P317" s="47"/>
      <c r="Q317" s="47"/>
      <c r="R317" s="47"/>
      <c r="S317" s="47"/>
      <c r="T317" s="47"/>
      <c r="U317" s="47"/>
      <c r="V317" s="47"/>
    </row>
    <row r="318" spans="1:22">
      <c r="A318" s="45"/>
      <c r="B318" s="41"/>
      <c r="C318" s="40"/>
      <c r="D318" s="40"/>
      <c r="E318" s="40"/>
      <c r="F318" s="40"/>
      <c r="G318" s="40"/>
      <c r="H318" s="40"/>
      <c r="I318" s="40"/>
      <c r="J318" s="40"/>
      <c r="K318" s="40"/>
      <c r="L318" s="40"/>
      <c r="M318" s="40"/>
      <c r="N318" s="40"/>
      <c r="O318" s="47"/>
      <c r="P318" s="47"/>
      <c r="Q318" s="47"/>
      <c r="R318" s="47"/>
      <c r="S318" s="47"/>
      <c r="T318" s="47"/>
      <c r="U318" s="47"/>
      <c r="V318" s="47"/>
    </row>
    <row r="319" spans="1:22">
      <c r="A319" s="45"/>
      <c r="B319" s="41"/>
      <c r="C319" s="40"/>
      <c r="D319" s="40"/>
      <c r="E319" s="40"/>
      <c r="F319" s="40"/>
      <c r="G319" s="40"/>
      <c r="H319" s="40"/>
      <c r="I319" s="40"/>
      <c r="J319" s="40"/>
      <c r="K319" s="40"/>
      <c r="L319" s="40"/>
      <c r="M319" s="40"/>
      <c r="N319" s="40"/>
      <c r="O319" s="47"/>
      <c r="P319" s="47"/>
      <c r="Q319" s="47"/>
      <c r="R319" s="47"/>
      <c r="S319" s="47"/>
      <c r="T319" s="47"/>
      <c r="U319" s="47"/>
      <c r="V319" s="47"/>
    </row>
    <row r="320" spans="1:22">
      <c r="A320" s="45"/>
      <c r="B320" s="41"/>
      <c r="C320" s="40"/>
      <c r="D320" s="40"/>
      <c r="E320" s="40"/>
      <c r="F320" s="40"/>
      <c r="G320" s="40"/>
      <c r="H320" s="40"/>
      <c r="I320" s="40"/>
      <c r="J320" s="40"/>
      <c r="K320" s="40"/>
      <c r="L320" s="40"/>
      <c r="M320" s="40"/>
      <c r="N320" s="40"/>
      <c r="O320" s="47"/>
      <c r="P320" s="47"/>
      <c r="Q320" s="47"/>
      <c r="R320" s="47"/>
      <c r="S320" s="47"/>
      <c r="T320" s="47"/>
      <c r="U320" s="47"/>
      <c r="V320" s="47"/>
    </row>
    <row r="321" spans="1:22">
      <c r="A321" s="45"/>
      <c r="B321" s="41"/>
      <c r="C321" s="40"/>
      <c r="D321" s="40"/>
      <c r="E321" s="40"/>
      <c r="F321" s="40"/>
      <c r="G321" s="40"/>
      <c r="H321" s="40"/>
      <c r="I321" s="40"/>
      <c r="J321" s="40"/>
      <c r="K321" s="40"/>
      <c r="L321" s="40"/>
      <c r="M321" s="40"/>
      <c r="N321" s="40"/>
      <c r="O321" s="47"/>
      <c r="P321" s="47"/>
      <c r="Q321" s="47"/>
      <c r="R321" s="47"/>
      <c r="S321" s="47"/>
      <c r="T321" s="47"/>
      <c r="U321" s="47"/>
      <c r="V321" s="47"/>
    </row>
    <row r="322" spans="1:22">
      <c r="A322" s="45"/>
      <c r="B322" s="41"/>
      <c r="C322" s="40"/>
      <c r="D322" s="40"/>
      <c r="E322" s="40"/>
      <c r="F322" s="40"/>
      <c r="G322" s="40"/>
      <c r="H322" s="40"/>
      <c r="I322" s="40"/>
      <c r="J322" s="40"/>
      <c r="K322" s="40"/>
      <c r="L322" s="40"/>
      <c r="M322" s="40"/>
      <c r="N322" s="40"/>
      <c r="O322" s="47"/>
      <c r="P322" s="47"/>
      <c r="Q322" s="47"/>
      <c r="R322" s="47"/>
      <c r="S322" s="47"/>
      <c r="T322" s="47"/>
      <c r="U322" s="47"/>
      <c r="V322" s="47"/>
    </row>
    <row r="323" spans="1:22">
      <c r="A323" s="45"/>
      <c r="B323" s="41"/>
      <c r="C323" s="40"/>
      <c r="D323" s="40"/>
      <c r="E323" s="40"/>
      <c r="F323" s="40"/>
      <c r="G323" s="40"/>
      <c r="H323" s="40"/>
      <c r="I323" s="40"/>
      <c r="J323" s="40"/>
      <c r="K323" s="40"/>
      <c r="L323" s="40"/>
      <c r="M323" s="40"/>
      <c r="N323" s="40"/>
      <c r="O323" s="47"/>
      <c r="P323" s="47"/>
      <c r="Q323" s="47"/>
      <c r="R323" s="47"/>
      <c r="S323" s="47"/>
      <c r="T323" s="47"/>
      <c r="U323" s="47"/>
      <c r="V323" s="47"/>
    </row>
    <row r="324" spans="1:22">
      <c r="A324" s="45"/>
      <c r="B324" s="41"/>
      <c r="C324" s="40"/>
      <c r="D324" s="40"/>
      <c r="E324" s="40"/>
      <c r="F324" s="40"/>
      <c r="G324" s="40"/>
      <c r="H324" s="40"/>
      <c r="I324" s="40"/>
      <c r="J324" s="40"/>
      <c r="K324" s="40"/>
      <c r="L324" s="40"/>
      <c r="M324" s="40"/>
      <c r="N324" s="40"/>
      <c r="O324" s="47"/>
      <c r="P324" s="47"/>
      <c r="Q324" s="47"/>
      <c r="R324" s="47"/>
      <c r="S324" s="47"/>
      <c r="T324" s="47"/>
      <c r="U324" s="47"/>
      <c r="V324" s="47"/>
    </row>
    <row r="325" spans="1:22">
      <c r="A325" s="45"/>
      <c r="B325" s="41"/>
      <c r="C325" s="40"/>
      <c r="D325" s="40"/>
      <c r="E325" s="40"/>
      <c r="F325" s="40"/>
      <c r="G325" s="40"/>
      <c r="H325" s="40"/>
      <c r="I325" s="40"/>
      <c r="J325" s="40"/>
      <c r="K325" s="40"/>
      <c r="L325" s="40"/>
      <c r="M325" s="40"/>
      <c r="N325" s="40"/>
      <c r="O325" s="47"/>
      <c r="P325" s="47"/>
      <c r="Q325" s="47"/>
      <c r="R325" s="47"/>
      <c r="S325" s="47"/>
      <c r="T325" s="47"/>
      <c r="U325" s="47"/>
      <c r="V325" s="47"/>
    </row>
    <row r="326" spans="1:22">
      <c r="A326" s="45"/>
      <c r="B326" s="41"/>
      <c r="C326" s="40"/>
      <c r="D326" s="40"/>
      <c r="E326" s="40"/>
      <c r="F326" s="40"/>
      <c r="G326" s="40"/>
      <c r="H326" s="40"/>
      <c r="I326" s="40"/>
      <c r="J326" s="40"/>
      <c r="K326" s="40"/>
      <c r="L326" s="40"/>
      <c r="M326" s="40"/>
      <c r="N326" s="40"/>
      <c r="O326" s="47"/>
      <c r="P326" s="47"/>
      <c r="Q326" s="47"/>
      <c r="R326" s="47"/>
      <c r="S326" s="47"/>
      <c r="T326" s="47"/>
      <c r="U326" s="47"/>
      <c r="V326" s="47"/>
    </row>
    <row r="327" spans="1:22">
      <c r="A327" s="45"/>
      <c r="B327" s="41"/>
      <c r="C327" s="40"/>
      <c r="D327" s="40"/>
      <c r="E327" s="40"/>
      <c r="F327" s="40"/>
      <c r="G327" s="40"/>
      <c r="H327" s="40"/>
      <c r="I327" s="40"/>
      <c r="J327" s="40"/>
      <c r="K327" s="40"/>
      <c r="L327" s="40"/>
      <c r="M327" s="40"/>
      <c r="N327" s="40"/>
      <c r="O327" s="47"/>
      <c r="P327" s="47"/>
      <c r="Q327" s="47"/>
      <c r="R327" s="47"/>
      <c r="S327" s="47"/>
      <c r="T327" s="47"/>
      <c r="U327" s="47"/>
      <c r="V327" s="47"/>
    </row>
    <row r="328" spans="1:22">
      <c r="A328" s="45"/>
      <c r="B328" s="41"/>
      <c r="C328" s="40"/>
      <c r="D328" s="40"/>
      <c r="E328" s="40"/>
      <c r="F328" s="40"/>
      <c r="G328" s="40"/>
      <c r="H328" s="40"/>
      <c r="I328" s="40"/>
      <c r="J328" s="40"/>
      <c r="K328" s="40"/>
      <c r="L328" s="40"/>
      <c r="M328" s="40"/>
      <c r="N328" s="40"/>
      <c r="O328" s="47"/>
      <c r="P328" s="47"/>
      <c r="Q328" s="47"/>
      <c r="R328" s="47"/>
      <c r="S328" s="47"/>
      <c r="T328" s="47"/>
      <c r="U328" s="47"/>
      <c r="V328" s="47"/>
    </row>
    <row r="329" spans="1:22">
      <c r="A329" s="45"/>
      <c r="B329" s="41"/>
      <c r="C329" s="40"/>
      <c r="D329" s="40"/>
      <c r="E329" s="40"/>
      <c r="F329" s="40"/>
      <c r="G329" s="40"/>
      <c r="H329" s="40"/>
      <c r="I329" s="40"/>
      <c r="J329" s="40"/>
      <c r="K329" s="40"/>
      <c r="L329" s="40"/>
      <c r="M329" s="40"/>
      <c r="N329" s="40"/>
      <c r="O329" s="47"/>
      <c r="P329" s="47"/>
      <c r="Q329" s="47"/>
      <c r="R329" s="47"/>
      <c r="S329" s="47"/>
      <c r="T329" s="47"/>
      <c r="U329" s="47"/>
      <c r="V329" s="47"/>
    </row>
    <row r="330" spans="1:22">
      <c r="A330" s="45"/>
      <c r="B330" s="41"/>
      <c r="C330" s="40"/>
      <c r="D330" s="40"/>
      <c r="E330" s="40"/>
      <c r="F330" s="40"/>
      <c r="G330" s="40"/>
      <c r="H330" s="40"/>
      <c r="I330" s="40"/>
      <c r="J330" s="40"/>
      <c r="K330" s="40"/>
      <c r="L330" s="40"/>
      <c r="M330" s="40"/>
      <c r="N330" s="40"/>
      <c r="O330" s="47"/>
      <c r="P330" s="47"/>
      <c r="Q330" s="47"/>
      <c r="R330" s="47"/>
      <c r="S330" s="47"/>
      <c r="T330" s="47"/>
      <c r="U330" s="47"/>
      <c r="V330" s="47"/>
    </row>
    <row r="331" spans="1:22">
      <c r="A331" s="45"/>
      <c r="B331" s="41"/>
      <c r="C331" s="40"/>
      <c r="D331" s="40"/>
      <c r="E331" s="40"/>
      <c r="F331" s="40"/>
      <c r="G331" s="40"/>
      <c r="H331" s="40"/>
      <c r="I331" s="40"/>
      <c r="J331" s="40"/>
      <c r="K331" s="40"/>
      <c r="L331" s="40"/>
      <c r="M331" s="40"/>
      <c r="N331" s="40"/>
      <c r="O331" s="47"/>
      <c r="P331" s="47"/>
      <c r="Q331" s="47"/>
      <c r="R331" s="47"/>
      <c r="S331" s="47"/>
      <c r="T331" s="47"/>
      <c r="U331" s="47"/>
      <c r="V331" s="47"/>
    </row>
    <row r="332" spans="1:22">
      <c r="A332" s="45"/>
      <c r="B332" s="41"/>
      <c r="C332" s="40"/>
      <c r="D332" s="40"/>
      <c r="E332" s="40"/>
      <c r="F332" s="40"/>
      <c r="G332" s="40"/>
      <c r="H332" s="40"/>
      <c r="I332" s="40"/>
      <c r="J332" s="40"/>
      <c r="K332" s="40"/>
      <c r="L332" s="40"/>
      <c r="M332" s="40"/>
      <c r="N332" s="40"/>
      <c r="O332" s="47"/>
      <c r="P332" s="47"/>
      <c r="Q332" s="47"/>
      <c r="R332" s="47"/>
      <c r="S332" s="47"/>
      <c r="T332" s="47"/>
      <c r="U332" s="47"/>
      <c r="V332" s="47"/>
    </row>
    <row r="333" spans="1:22">
      <c r="A333" s="45"/>
      <c r="B333" s="41"/>
      <c r="C333" s="40"/>
      <c r="D333" s="40"/>
      <c r="E333" s="40"/>
      <c r="F333" s="40"/>
      <c r="G333" s="40"/>
      <c r="H333" s="40"/>
      <c r="I333" s="40"/>
      <c r="J333" s="40"/>
      <c r="K333" s="40"/>
      <c r="L333" s="40"/>
      <c r="M333" s="40"/>
      <c r="N333" s="40"/>
      <c r="O333" s="47"/>
      <c r="P333" s="47"/>
      <c r="Q333" s="47"/>
      <c r="R333" s="47"/>
      <c r="S333" s="47"/>
      <c r="T333" s="47"/>
      <c r="U333" s="47"/>
      <c r="V333" s="47"/>
    </row>
    <row r="334" spans="1:22">
      <c r="A334" s="45"/>
      <c r="B334" s="41"/>
      <c r="C334" s="40"/>
      <c r="D334" s="40"/>
      <c r="E334" s="40"/>
      <c r="F334" s="40"/>
      <c r="G334" s="40"/>
      <c r="H334" s="40"/>
      <c r="I334" s="40"/>
      <c r="J334" s="40"/>
      <c r="K334" s="40"/>
      <c r="L334" s="40"/>
      <c r="M334" s="40"/>
      <c r="N334" s="40"/>
      <c r="O334" s="47"/>
      <c r="P334" s="47"/>
      <c r="Q334" s="47"/>
      <c r="R334" s="47"/>
      <c r="S334" s="47"/>
      <c r="T334" s="47"/>
      <c r="U334" s="47"/>
      <c r="V334" s="47"/>
    </row>
    <row r="335" spans="1:22">
      <c r="A335" s="45"/>
      <c r="B335" s="41"/>
      <c r="C335" s="40"/>
      <c r="D335" s="40"/>
      <c r="E335" s="40"/>
      <c r="F335" s="40"/>
      <c r="G335" s="40"/>
      <c r="H335" s="40"/>
      <c r="I335" s="40"/>
      <c r="J335" s="40"/>
      <c r="K335" s="40"/>
      <c r="L335" s="40"/>
      <c r="M335" s="40"/>
      <c r="N335" s="40"/>
      <c r="O335" s="47"/>
      <c r="P335" s="47"/>
      <c r="Q335" s="47"/>
      <c r="R335" s="47"/>
      <c r="S335" s="47"/>
      <c r="T335" s="47"/>
      <c r="U335" s="47"/>
      <c r="V335" s="47"/>
    </row>
    <row r="336" spans="1:22">
      <c r="A336" s="45"/>
      <c r="B336" s="41"/>
      <c r="C336" s="40"/>
      <c r="D336" s="40"/>
      <c r="E336" s="40"/>
      <c r="F336" s="40"/>
      <c r="G336" s="40"/>
      <c r="H336" s="40"/>
      <c r="I336" s="40"/>
      <c r="J336" s="40"/>
      <c r="K336" s="40"/>
      <c r="L336" s="40"/>
      <c r="M336" s="40"/>
      <c r="N336" s="40"/>
      <c r="O336" s="47"/>
      <c r="P336" s="47"/>
      <c r="Q336" s="47"/>
      <c r="R336" s="47"/>
      <c r="S336" s="47"/>
      <c r="T336" s="47"/>
      <c r="U336" s="47"/>
      <c r="V336" s="47"/>
    </row>
    <row r="337" spans="1:22">
      <c r="A337" s="45"/>
      <c r="B337" s="41"/>
      <c r="C337" s="40"/>
      <c r="D337" s="40"/>
      <c r="E337" s="40"/>
      <c r="F337" s="40"/>
      <c r="G337" s="40"/>
      <c r="H337" s="40"/>
      <c r="I337" s="40"/>
      <c r="J337" s="40"/>
      <c r="K337" s="40"/>
      <c r="L337" s="40"/>
      <c r="M337" s="40"/>
      <c r="N337" s="40"/>
      <c r="O337" s="47"/>
      <c r="P337" s="47"/>
      <c r="Q337" s="47"/>
      <c r="R337" s="47"/>
      <c r="S337" s="47"/>
      <c r="T337" s="47"/>
      <c r="U337" s="47"/>
      <c r="V337" s="47"/>
    </row>
    <row r="338" spans="1:22">
      <c r="A338" s="45"/>
      <c r="B338" s="41"/>
      <c r="C338" s="40"/>
      <c r="D338" s="40"/>
      <c r="E338" s="40"/>
      <c r="F338" s="40"/>
      <c r="G338" s="40"/>
      <c r="H338" s="40"/>
      <c r="I338" s="40"/>
      <c r="J338" s="40"/>
      <c r="K338" s="40"/>
      <c r="L338" s="40"/>
      <c r="M338" s="40"/>
      <c r="N338" s="40"/>
      <c r="O338" s="47"/>
      <c r="P338" s="47"/>
      <c r="Q338" s="47"/>
      <c r="R338" s="47"/>
      <c r="S338" s="47"/>
      <c r="T338" s="47"/>
      <c r="U338" s="47"/>
      <c r="V338" s="47"/>
    </row>
    <row r="339" spans="1:22">
      <c r="A339" s="45"/>
      <c r="B339" s="41"/>
      <c r="C339" s="40"/>
      <c r="D339" s="40"/>
      <c r="E339" s="40"/>
      <c r="F339" s="40"/>
      <c r="G339" s="40"/>
      <c r="H339" s="40"/>
      <c r="I339" s="40"/>
      <c r="J339" s="40"/>
      <c r="K339" s="40"/>
      <c r="L339" s="40"/>
      <c r="M339" s="40"/>
      <c r="N339" s="40"/>
      <c r="O339" s="47"/>
      <c r="P339" s="47"/>
      <c r="Q339" s="47"/>
      <c r="R339" s="47"/>
      <c r="S339" s="47"/>
      <c r="T339" s="47"/>
      <c r="U339" s="47"/>
      <c r="V339" s="47"/>
    </row>
    <row r="340" spans="1:22">
      <c r="A340" s="45"/>
      <c r="B340" s="41"/>
      <c r="C340" s="40"/>
      <c r="D340" s="40"/>
      <c r="E340" s="40"/>
      <c r="F340" s="40"/>
      <c r="G340" s="40"/>
      <c r="H340" s="40"/>
      <c r="I340" s="40"/>
      <c r="J340" s="40"/>
      <c r="K340" s="40"/>
      <c r="L340" s="40"/>
      <c r="M340" s="40"/>
      <c r="N340" s="40"/>
      <c r="O340" s="47"/>
      <c r="P340" s="47"/>
      <c r="Q340" s="47"/>
      <c r="R340" s="47"/>
      <c r="S340" s="47"/>
      <c r="T340" s="47"/>
      <c r="U340" s="47"/>
      <c r="V340" s="47"/>
    </row>
    <row r="341" spans="1:22">
      <c r="A341" s="45"/>
      <c r="B341" s="41"/>
      <c r="C341" s="40"/>
      <c r="D341" s="40"/>
      <c r="E341" s="40"/>
      <c r="F341" s="40"/>
      <c r="G341" s="40"/>
      <c r="H341" s="40"/>
      <c r="I341" s="40"/>
      <c r="J341" s="40"/>
      <c r="K341" s="40"/>
      <c r="L341" s="40"/>
      <c r="M341" s="40"/>
      <c r="N341" s="40"/>
      <c r="O341" s="47"/>
      <c r="P341" s="47"/>
      <c r="Q341" s="47"/>
      <c r="R341" s="47"/>
      <c r="S341" s="47"/>
      <c r="T341" s="47"/>
      <c r="U341" s="47"/>
      <c r="V341" s="47"/>
    </row>
    <row r="342" spans="1:22">
      <c r="A342" s="45"/>
      <c r="B342" s="41"/>
      <c r="C342" s="40"/>
      <c r="D342" s="40"/>
      <c r="E342" s="40"/>
      <c r="F342" s="40"/>
      <c r="G342" s="40"/>
      <c r="H342" s="40"/>
      <c r="I342" s="40"/>
      <c r="J342" s="40"/>
      <c r="K342" s="40"/>
      <c r="L342" s="40"/>
      <c r="M342" s="40"/>
      <c r="N342" s="40"/>
      <c r="O342" s="47"/>
      <c r="P342" s="47"/>
      <c r="Q342" s="47"/>
      <c r="R342" s="47"/>
      <c r="S342" s="47"/>
      <c r="T342" s="47"/>
      <c r="U342" s="47"/>
      <c r="V342" s="47"/>
    </row>
    <row r="343" spans="1:22">
      <c r="A343" s="45"/>
      <c r="B343" s="41"/>
      <c r="C343" s="40"/>
      <c r="D343" s="40"/>
      <c r="E343" s="40"/>
      <c r="F343" s="40"/>
      <c r="G343" s="40"/>
      <c r="H343" s="40"/>
      <c r="I343" s="40"/>
      <c r="J343" s="40"/>
      <c r="K343" s="40"/>
      <c r="L343" s="40"/>
      <c r="M343" s="40"/>
      <c r="N343" s="40"/>
      <c r="O343" s="47"/>
      <c r="P343" s="47"/>
      <c r="Q343" s="47"/>
      <c r="R343" s="47"/>
      <c r="S343" s="47"/>
      <c r="T343" s="47"/>
      <c r="U343" s="47"/>
      <c r="V343" s="47"/>
    </row>
    <row r="344" spans="1:22">
      <c r="A344" s="45"/>
      <c r="B344" s="41"/>
      <c r="C344" s="40"/>
      <c r="D344" s="40"/>
      <c r="E344" s="40"/>
      <c r="F344" s="40"/>
      <c r="G344" s="40"/>
      <c r="H344" s="40"/>
      <c r="I344" s="40"/>
      <c r="J344" s="40"/>
      <c r="K344" s="40"/>
      <c r="L344" s="40"/>
      <c r="M344" s="40"/>
      <c r="N344" s="40"/>
      <c r="O344" s="47"/>
      <c r="P344" s="47"/>
      <c r="Q344" s="47"/>
      <c r="R344" s="47"/>
      <c r="S344" s="47"/>
      <c r="T344" s="47"/>
      <c r="U344" s="47"/>
      <c r="V344" s="47"/>
    </row>
    <row r="345" spans="1:22">
      <c r="A345" s="45"/>
      <c r="B345" s="41"/>
      <c r="C345" s="40"/>
      <c r="D345" s="40"/>
      <c r="E345" s="40"/>
      <c r="F345" s="40"/>
      <c r="G345" s="40"/>
      <c r="H345" s="40"/>
      <c r="I345" s="40"/>
      <c r="J345" s="40"/>
      <c r="K345" s="40"/>
      <c r="L345" s="40"/>
      <c r="M345" s="40"/>
      <c r="N345" s="40"/>
      <c r="O345" s="47"/>
      <c r="P345" s="47"/>
      <c r="Q345" s="47"/>
      <c r="R345" s="47"/>
      <c r="S345" s="47"/>
      <c r="T345" s="47"/>
      <c r="U345" s="47"/>
      <c r="V345" s="47"/>
    </row>
    <row r="346" spans="1:22">
      <c r="A346" s="45"/>
      <c r="B346" s="41"/>
      <c r="C346" s="40"/>
      <c r="D346" s="40"/>
      <c r="E346" s="40"/>
      <c r="F346" s="40"/>
      <c r="G346" s="40"/>
      <c r="H346" s="40"/>
      <c r="I346" s="40"/>
      <c r="J346" s="40"/>
      <c r="K346" s="40"/>
      <c r="L346" s="40"/>
      <c r="M346" s="40"/>
      <c r="N346" s="40"/>
      <c r="O346" s="47"/>
      <c r="P346" s="47"/>
      <c r="Q346" s="47"/>
      <c r="R346" s="47"/>
      <c r="S346" s="47"/>
      <c r="T346" s="47"/>
      <c r="U346" s="47"/>
      <c r="V346" s="47"/>
    </row>
    <row r="347" spans="1:22">
      <c r="A347" s="45"/>
      <c r="B347" s="41"/>
      <c r="C347" s="40"/>
      <c r="D347" s="40"/>
      <c r="E347" s="40"/>
      <c r="F347" s="40"/>
      <c r="G347" s="40"/>
      <c r="H347" s="40"/>
      <c r="I347" s="40"/>
      <c r="J347" s="40"/>
      <c r="K347" s="40"/>
      <c r="L347" s="40"/>
      <c r="M347" s="40"/>
      <c r="N347" s="40"/>
      <c r="O347" s="47"/>
      <c r="P347" s="47"/>
      <c r="Q347" s="47"/>
      <c r="R347" s="47"/>
      <c r="S347" s="47"/>
      <c r="T347" s="47"/>
      <c r="U347" s="47"/>
      <c r="V347" s="47"/>
    </row>
    <row r="348" spans="1:22">
      <c r="A348" s="45"/>
      <c r="B348" s="41"/>
      <c r="C348" s="40"/>
      <c r="D348" s="40"/>
      <c r="E348" s="40"/>
      <c r="F348" s="40"/>
      <c r="G348" s="40"/>
      <c r="H348" s="40"/>
      <c r="I348" s="40"/>
      <c r="J348" s="40"/>
      <c r="K348" s="40"/>
      <c r="L348" s="40"/>
      <c r="M348" s="40"/>
      <c r="N348" s="40"/>
      <c r="O348" s="47"/>
      <c r="P348" s="47"/>
      <c r="Q348" s="47"/>
      <c r="R348" s="47"/>
      <c r="S348" s="47"/>
      <c r="T348" s="47"/>
      <c r="U348" s="47"/>
      <c r="V348" s="47"/>
    </row>
    <row r="349" spans="1:22">
      <c r="A349" s="45"/>
      <c r="B349" s="41"/>
      <c r="C349" s="40"/>
      <c r="D349" s="40"/>
      <c r="E349" s="40"/>
      <c r="F349" s="40"/>
      <c r="G349" s="40"/>
      <c r="H349" s="40"/>
      <c r="I349" s="40"/>
      <c r="J349" s="40"/>
      <c r="K349" s="40"/>
      <c r="L349" s="40"/>
      <c r="M349" s="40"/>
      <c r="N349" s="40"/>
      <c r="O349" s="47"/>
      <c r="P349" s="47"/>
      <c r="Q349" s="47"/>
      <c r="R349" s="47"/>
      <c r="S349" s="47"/>
      <c r="T349" s="47"/>
      <c r="U349" s="47"/>
      <c r="V349" s="47"/>
    </row>
    <row r="350" spans="1:22">
      <c r="A350" s="45"/>
      <c r="B350" s="41"/>
      <c r="C350" s="40"/>
      <c r="D350" s="40"/>
      <c r="E350" s="40"/>
      <c r="F350" s="40"/>
      <c r="G350" s="40"/>
      <c r="H350" s="40"/>
      <c r="I350" s="40"/>
      <c r="J350" s="40"/>
      <c r="K350" s="40"/>
      <c r="L350" s="40"/>
      <c r="M350" s="40"/>
      <c r="N350" s="40"/>
      <c r="O350" s="47"/>
      <c r="P350" s="47"/>
      <c r="Q350" s="47"/>
      <c r="R350" s="47"/>
      <c r="S350" s="47"/>
      <c r="T350" s="47"/>
      <c r="U350" s="47"/>
      <c r="V350" s="47"/>
    </row>
    <row r="351" spans="1:22">
      <c r="A351" s="45"/>
      <c r="B351" s="41"/>
      <c r="C351" s="40"/>
      <c r="D351" s="40"/>
      <c r="E351" s="40"/>
      <c r="F351" s="40"/>
      <c r="G351" s="40"/>
      <c r="H351" s="40"/>
      <c r="I351" s="40"/>
      <c r="J351" s="40"/>
      <c r="K351" s="40"/>
      <c r="L351" s="40"/>
      <c r="M351" s="40"/>
      <c r="N351" s="40"/>
      <c r="O351" s="47"/>
      <c r="P351" s="47"/>
      <c r="Q351" s="47"/>
      <c r="R351" s="47"/>
      <c r="S351" s="47"/>
      <c r="T351" s="47"/>
      <c r="U351" s="47"/>
      <c r="V351" s="47"/>
    </row>
    <row r="352" spans="1:22">
      <c r="A352" s="45"/>
      <c r="B352" s="41"/>
      <c r="C352" s="40"/>
      <c r="D352" s="40"/>
      <c r="E352" s="40"/>
      <c r="F352" s="40"/>
      <c r="G352" s="40"/>
      <c r="H352" s="40"/>
      <c r="I352" s="40"/>
      <c r="J352" s="40"/>
      <c r="K352" s="40"/>
      <c r="L352" s="40"/>
      <c r="M352" s="40"/>
      <c r="N352" s="40"/>
      <c r="O352" s="47"/>
      <c r="P352" s="47"/>
      <c r="Q352" s="47"/>
      <c r="R352" s="47"/>
      <c r="S352" s="47"/>
      <c r="T352" s="47"/>
      <c r="U352" s="47"/>
      <c r="V352" s="47"/>
    </row>
    <row r="353" spans="1:22">
      <c r="A353" s="45"/>
      <c r="B353" s="41"/>
      <c r="C353" s="40"/>
      <c r="D353" s="40"/>
      <c r="E353" s="40"/>
      <c r="F353" s="40"/>
      <c r="G353" s="40"/>
      <c r="H353" s="40"/>
      <c r="I353" s="40"/>
      <c r="J353" s="40"/>
      <c r="K353" s="40"/>
      <c r="L353" s="40"/>
      <c r="M353" s="40"/>
      <c r="N353" s="40"/>
      <c r="O353" s="47"/>
      <c r="P353" s="47"/>
      <c r="Q353" s="47"/>
      <c r="R353" s="47"/>
      <c r="S353" s="47"/>
      <c r="T353" s="47"/>
      <c r="U353" s="47"/>
      <c r="V353" s="47"/>
    </row>
    <row r="354" spans="1:22">
      <c r="A354" s="45"/>
      <c r="B354" s="41"/>
      <c r="C354" s="40"/>
      <c r="D354" s="40"/>
      <c r="E354" s="40"/>
      <c r="F354" s="40"/>
      <c r="G354" s="40"/>
      <c r="H354" s="40"/>
      <c r="I354" s="40"/>
      <c r="J354" s="40"/>
      <c r="K354" s="40"/>
      <c r="L354" s="40"/>
      <c r="M354" s="40"/>
      <c r="N354" s="40"/>
      <c r="O354" s="47"/>
      <c r="P354" s="47"/>
      <c r="Q354" s="47"/>
      <c r="R354" s="47"/>
      <c r="S354" s="47"/>
      <c r="T354" s="47"/>
      <c r="U354" s="47"/>
      <c r="V354" s="47"/>
    </row>
    <row r="355" spans="1:22">
      <c r="A355" s="45"/>
      <c r="B355" s="41"/>
      <c r="C355" s="40"/>
      <c r="D355" s="40"/>
      <c r="E355" s="40"/>
      <c r="F355" s="40"/>
      <c r="G355" s="40"/>
      <c r="H355" s="40"/>
      <c r="I355" s="40"/>
      <c r="J355" s="40"/>
      <c r="K355" s="40"/>
      <c r="L355" s="40"/>
      <c r="M355" s="40"/>
      <c r="N355" s="40"/>
      <c r="O355" s="47"/>
      <c r="P355" s="47"/>
      <c r="Q355" s="47"/>
      <c r="R355" s="47"/>
      <c r="S355" s="47"/>
      <c r="T355" s="47"/>
      <c r="U355" s="47"/>
      <c r="V355" s="47"/>
    </row>
    <row r="356" spans="1:22">
      <c r="A356" s="45"/>
      <c r="B356" s="41"/>
      <c r="C356" s="40"/>
      <c r="D356" s="40"/>
      <c r="E356" s="40"/>
      <c r="F356" s="40"/>
      <c r="G356" s="40"/>
      <c r="H356" s="40"/>
      <c r="I356" s="40"/>
      <c r="J356" s="40"/>
      <c r="K356" s="40"/>
      <c r="L356" s="40"/>
      <c r="M356" s="40"/>
      <c r="N356" s="40"/>
      <c r="O356" s="47"/>
      <c r="P356" s="47"/>
      <c r="Q356" s="47"/>
      <c r="R356" s="47"/>
      <c r="S356" s="47"/>
      <c r="T356" s="47"/>
      <c r="U356" s="47"/>
      <c r="V356" s="47"/>
    </row>
    <row r="357" spans="1:22">
      <c r="A357" s="45"/>
      <c r="B357" s="41"/>
      <c r="C357" s="40"/>
      <c r="D357" s="40"/>
      <c r="E357" s="40"/>
      <c r="F357" s="40"/>
      <c r="G357" s="40"/>
      <c r="H357" s="40"/>
      <c r="I357" s="40"/>
      <c r="J357" s="40"/>
      <c r="K357" s="40"/>
      <c r="L357" s="40"/>
      <c r="M357" s="40"/>
      <c r="N357" s="40"/>
      <c r="O357" s="47"/>
      <c r="P357" s="47"/>
      <c r="Q357" s="47"/>
      <c r="R357" s="47"/>
      <c r="S357" s="47"/>
      <c r="T357" s="47"/>
      <c r="U357" s="47"/>
      <c r="V357" s="47"/>
    </row>
    <row r="358" spans="1:22">
      <c r="A358" s="45"/>
      <c r="B358" s="41"/>
      <c r="C358" s="40"/>
      <c r="D358" s="40"/>
      <c r="E358" s="40"/>
      <c r="F358" s="40"/>
      <c r="G358" s="40"/>
      <c r="H358" s="40"/>
      <c r="I358" s="40"/>
      <c r="J358" s="40"/>
      <c r="K358" s="40"/>
      <c r="L358" s="40"/>
      <c r="M358" s="40"/>
      <c r="N358" s="40"/>
      <c r="O358" s="47"/>
      <c r="P358" s="47"/>
      <c r="Q358" s="47"/>
      <c r="R358" s="47"/>
      <c r="S358" s="47"/>
      <c r="T358" s="47"/>
      <c r="U358" s="47"/>
      <c r="V358" s="47"/>
    </row>
    <row r="359" spans="1:22">
      <c r="A359" s="45"/>
      <c r="B359" s="41"/>
      <c r="C359" s="40"/>
      <c r="D359" s="40"/>
      <c r="E359" s="40"/>
      <c r="F359" s="40"/>
      <c r="G359" s="40"/>
      <c r="H359" s="40"/>
      <c r="I359" s="40"/>
      <c r="J359" s="40"/>
      <c r="K359" s="40"/>
      <c r="L359" s="40"/>
      <c r="M359" s="40"/>
      <c r="N359" s="40"/>
      <c r="O359" s="47"/>
      <c r="P359" s="47"/>
      <c r="Q359" s="47"/>
      <c r="R359" s="47"/>
      <c r="S359" s="47"/>
      <c r="T359" s="47"/>
      <c r="U359" s="47"/>
      <c r="V359" s="47"/>
    </row>
    <row r="360" spans="1:22">
      <c r="A360" s="45"/>
      <c r="B360" s="41"/>
      <c r="C360" s="40"/>
      <c r="D360" s="40"/>
      <c r="E360" s="40"/>
      <c r="F360" s="40"/>
      <c r="G360" s="40"/>
      <c r="H360" s="40"/>
      <c r="I360" s="40"/>
      <c r="J360" s="40"/>
      <c r="K360" s="40"/>
      <c r="L360" s="40"/>
      <c r="M360" s="40"/>
      <c r="N360" s="40"/>
      <c r="O360" s="47"/>
      <c r="P360" s="47"/>
      <c r="Q360" s="47"/>
      <c r="R360" s="47"/>
      <c r="S360" s="47"/>
      <c r="T360" s="47"/>
      <c r="U360" s="47"/>
      <c r="V360" s="47"/>
    </row>
    <row r="361" spans="1:22">
      <c r="A361" s="45"/>
      <c r="B361" s="41"/>
      <c r="C361" s="40"/>
      <c r="D361" s="40"/>
      <c r="E361" s="40"/>
      <c r="F361" s="40"/>
      <c r="G361" s="40"/>
      <c r="H361" s="40"/>
      <c r="I361" s="40"/>
      <c r="J361" s="40"/>
      <c r="K361" s="40"/>
      <c r="L361" s="40"/>
      <c r="M361" s="40"/>
      <c r="N361" s="40"/>
      <c r="O361" s="47"/>
      <c r="P361" s="47"/>
      <c r="Q361" s="47"/>
      <c r="R361" s="47"/>
      <c r="S361" s="47"/>
      <c r="T361" s="47"/>
      <c r="U361" s="47"/>
      <c r="V361" s="47"/>
    </row>
    <row r="362" spans="1:22">
      <c r="A362" s="45"/>
      <c r="B362" s="41"/>
      <c r="C362" s="40"/>
      <c r="D362" s="40"/>
      <c r="E362" s="40"/>
      <c r="F362" s="40"/>
      <c r="G362" s="40"/>
      <c r="H362" s="40"/>
      <c r="I362" s="40"/>
      <c r="J362" s="40"/>
      <c r="K362" s="40"/>
      <c r="L362" s="40"/>
      <c r="M362" s="40"/>
      <c r="N362" s="40"/>
      <c r="O362" s="47"/>
      <c r="P362" s="47"/>
      <c r="Q362" s="47"/>
      <c r="R362" s="47"/>
      <c r="S362" s="47"/>
      <c r="T362" s="47"/>
      <c r="U362" s="47"/>
      <c r="V362" s="47"/>
    </row>
    <row r="363" spans="1:22">
      <c r="A363" s="45"/>
      <c r="B363" s="41"/>
      <c r="C363" s="40"/>
      <c r="D363" s="40"/>
      <c r="E363" s="40"/>
      <c r="F363" s="40"/>
      <c r="G363" s="40"/>
      <c r="H363" s="40"/>
      <c r="I363" s="40"/>
      <c r="J363" s="40"/>
      <c r="K363" s="40"/>
      <c r="L363" s="40"/>
      <c r="M363" s="40"/>
      <c r="N363" s="40"/>
      <c r="O363" s="47"/>
      <c r="P363" s="47"/>
      <c r="Q363" s="47"/>
      <c r="R363" s="47"/>
      <c r="S363" s="47"/>
      <c r="T363" s="47"/>
      <c r="U363" s="47"/>
      <c r="V363" s="47"/>
    </row>
    <row r="364" spans="1:22">
      <c r="A364" s="45"/>
      <c r="B364" s="41"/>
      <c r="C364" s="40"/>
      <c r="D364" s="40"/>
      <c r="E364" s="40"/>
      <c r="F364" s="40"/>
      <c r="G364" s="40"/>
      <c r="H364" s="40"/>
      <c r="I364" s="40"/>
      <c r="J364" s="40"/>
      <c r="K364" s="40"/>
      <c r="L364" s="40"/>
      <c r="M364" s="40"/>
      <c r="N364" s="40"/>
      <c r="O364" s="47"/>
      <c r="P364" s="47"/>
      <c r="Q364" s="47"/>
      <c r="R364" s="47"/>
      <c r="S364" s="47"/>
      <c r="T364" s="47"/>
      <c r="U364" s="47"/>
      <c r="V364" s="47"/>
    </row>
    <row r="365" spans="1:22">
      <c r="A365" s="45"/>
      <c r="B365" s="41"/>
      <c r="C365" s="40"/>
      <c r="D365" s="40"/>
      <c r="E365" s="40"/>
      <c r="F365" s="40"/>
      <c r="G365" s="40"/>
      <c r="H365" s="40"/>
      <c r="I365" s="40"/>
      <c r="J365" s="40"/>
      <c r="K365" s="40"/>
      <c r="L365" s="40"/>
      <c r="M365" s="40"/>
      <c r="N365" s="40"/>
      <c r="O365" s="47"/>
      <c r="P365" s="47"/>
      <c r="Q365" s="47"/>
      <c r="R365" s="47"/>
      <c r="S365" s="47"/>
      <c r="T365" s="47"/>
      <c r="U365" s="47"/>
      <c r="V365" s="47"/>
    </row>
    <row r="366" spans="1:22">
      <c r="A366" s="45"/>
      <c r="B366" s="41"/>
      <c r="C366" s="40"/>
      <c r="D366" s="40"/>
      <c r="E366" s="40"/>
      <c r="F366" s="40"/>
      <c r="G366" s="40"/>
      <c r="H366" s="40"/>
      <c r="I366" s="40"/>
      <c r="J366" s="40"/>
      <c r="K366" s="40"/>
      <c r="L366" s="40"/>
      <c r="M366" s="40"/>
      <c r="N366" s="40"/>
      <c r="O366" s="47"/>
      <c r="P366" s="47"/>
      <c r="Q366" s="47"/>
      <c r="R366" s="47"/>
      <c r="S366" s="47"/>
      <c r="T366" s="47"/>
      <c r="U366" s="47"/>
      <c r="V366" s="47"/>
    </row>
    <row r="367" spans="1:22">
      <c r="A367" s="45"/>
      <c r="B367" s="41"/>
      <c r="C367" s="40"/>
      <c r="D367" s="40"/>
      <c r="E367" s="40"/>
      <c r="F367" s="40"/>
      <c r="G367" s="40"/>
      <c r="H367" s="40"/>
      <c r="I367" s="40"/>
      <c r="J367" s="40"/>
      <c r="K367" s="40"/>
      <c r="L367" s="40"/>
      <c r="M367" s="40"/>
      <c r="N367" s="40"/>
      <c r="O367" s="47"/>
      <c r="P367" s="47"/>
      <c r="Q367" s="47"/>
      <c r="R367" s="47"/>
      <c r="S367" s="47"/>
      <c r="T367" s="47"/>
      <c r="U367" s="47"/>
      <c r="V367" s="47"/>
    </row>
    <row r="368" spans="1:22">
      <c r="A368" s="45"/>
      <c r="B368" s="41"/>
      <c r="C368" s="40"/>
      <c r="D368" s="40"/>
      <c r="E368" s="40"/>
      <c r="F368" s="40"/>
      <c r="G368" s="40"/>
      <c r="H368" s="40"/>
      <c r="I368" s="40"/>
      <c r="J368" s="40"/>
      <c r="K368" s="40"/>
      <c r="L368" s="40"/>
      <c r="M368" s="40"/>
      <c r="N368" s="40"/>
      <c r="O368" s="47"/>
      <c r="P368" s="47"/>
      <c r="Q368" s="47"/>
      <c r="R368" s="47"/>
      <c r="S368" s="47"/>
      <c r="T368" s="47"/>
      <c r="U368" s="47"/>
      <c r="V368" s="47"/>
    </row>
    <row r="369" spans="1:22">
      <c r="A369" s="45"/>
      <c r="B369" s="41"/>
      <c r="C369" s="40"/>
      <c r="D369" s="40"/>
      <c r="E369" s="40"/>
      <c r="F369" s="40"/>
      <c r="G369" s="40"/>
      <c r="H369" s="40"/>
      <c r="I369" s="40"/>
      <c r="J369" s="40"/>
      <c r="K369" s="40"/>
      <c r="L369" s="40"/>
      <c r="M369" s="40"/>
      <c r="N369" s="40"/>
      <c r="O369" s="47"/>
      <c r="P369" s="47"/>
      <c r="Q369" s="47"/>
      <c r="R369" s="47"/>
      <c r="S369" s="47"/>
      <c r="T369" s="47"/>
      <c r="U369" s="47"/>
      <c r="V369" s="47"/>
    </row>
    <row r="370" spans="1:22">
      <c r="A370" s="45"/>
      <c r="B370" s="41"/>
      <c r="C370" s="40"/>
      <c r="D370" s="40"/>
      <c r="E370" s="40"/>
      <c r="F370" s="40"/>
      <c r="G370" s="40"/>
      <c r="H370" s="40"/>
      <c r="I370" s="40"/>
      <c r="J370" s="40"/>
      <c r="K370" s="40"/>
      <c r="L370" s="40"/>
      <c r="M370" s="40"/>
      <c r="N370" s="40"/>
      <c r="O370" s="47"/>
      <c r="P370" s="47"/>
      <c r="Q370" s="47"/>
      <c r="R370" s="47"/>
      <c r="S370" s="47"/>
      <c r="T370" s="47"/>
      <c r="U370" s="47"/>
      <c r="V370" s="47"/>
    </row>
    <row r="371" spans="1:22">
      <c r="A371" s="45"/>
      <c r="B371" s="41"/>
      <c r="C371" s="40"/>
      <c r="D371" s="40"/>
      <c r="E371" s="40"/>
      <c r="F371" s="40"/>
      <c r="G371" s="40"/>
      <c r="H371" s="40"/>
      <c r="I371" s="40"/>
      <c r="J371" s="40"/>
      <c r="K371" s="40"/>
      <c r="L371" s="40"/>
      <c r="M371" s="40"/>
      <c r="N371" s="40"/>
      <c r="O371" s="47"/>
      <c r="P371" s="47"/>
      <c r="Q371" s="47"/>
      <c r="R371" s="47"/>
      <c r="S371" s="47"/>
      <c r="T371" s="47"/>
      <c r="U371" s="47"/>
      <c r="V371" s="47"/>
    </row>
    <row r="372" spans="1:22">
      <c r="A372" s="45"/>
      <c r="B372" s="41"/>
      <c r="C372" s="40"/>
      <c r="D372" s="40"/>
      <c r="E372" s="40"/>
      <c r="F372" s="40"/>
      <c r="G372" s="40"/>
      <c r="H372" s="40"/>
      <c r="I372" s="40"/>
      <c r="J372" s="40"/>
      <c r="K372" s="40"/>
      <c r="L372" s="40"/>
      <c r="M372" s="40"/>
      <c r="N372" s="40"/>
      <c r="O372" s="47"/>
      <c r="P372" s="47"/>
      <c r="Q372" s="47"/>
      <c r="R372" s="47"/>
      <c r="S372" s="47"/>
      <c r="T372" s="47"/>
      <c r="U372" s="47"/>
      <c r="V372" s="47"/>
    </row>
    <row r="373" spans="1:22">
      <c r="A373" s="45"/>
      <c r="B373" s="41"/>
      <c r="C373" s="40"/>
      <c r="D373" s="40"/>
      <c r="E373" s="40"/>
      <c r="F373" s="40"/>
      <c r="G373" s="40"/>
      <c r="H373" s="40"/>
      <c r="I373" s="40"/>
      <c r="J373" s="40"/>
      <c r="K373" s="40"/>
      <c r="L373" s="40"/>
      <c r="M373" s="40"/>
      <c r="N373" s="40"/>
      <c r="O373" s="47"/>
      <c r="P373" s="47"/>
      <c r="Q373" s="47"/>
      <c r="R373" s="47"/>
      <c r="S373" s="47"/>
      <c r="T373" s="47"/>
      <c r="U373" s="47"/>
      <c r="V373" s="47"/>
    </row>
    <row r="374" spans="1:22">
      <c r="A374" s="45"/>
      <c r="B374" s="41"/>
      <c r="C374" s="40"/>
      <c r="D374" s="40"/>
      <c r="E374" s="40"/>
      <c r="F374" s="40"/>
      <c r="G374" s="40"/>
      <c r="H374" s="40"/>
      <c r="I374" s="40"/>
      <c r="J374" s="40"/>
      <c r="K374" s="40"/>
      <c r="L374" s="40"/>
      <c r="M374" s="40"/>
      <c r="N374" s="40"/>
      <c r="O374" s="47"/>
      <c r="P374" s="47"/>
      <c r="Q374" s="47"/>
      <c r="R374" s="47"/>
      <c r="S374" s="47"/>
      <c r="T374" s="47"/>
      <c r="U374" s="47"/>
      <c r="V374" s="47"/>
    </row>
    <row r="375" spans="1:22">
      <c r="A375" s="45"/>
      <c r="B375" s="41"/>
      <c r="C375" s="40"/>
      <c r="D375" s="40"/>
      <c r="E375" s="40"/>
      <c r="F375" s="40"/>
      <c r="G375" s="40"/>
      <c r="H375" s="40"/>
      <c r="I375" s="40"/>
      <c r="J375" s="40"/>
      <c r="K375" s="40"/>
      <c r="L375" s="40"/>
      <c r="M375" s="40"/>
      <c r="N375" s="40"/>
      <c r="O375" s="47"/>
      <c r="P375" s="47"/>
      <c r="Q375" s="47"/>
      <c r="R375" s="47"/>
      <c r="S375" s="47"/>
      <c r="T375" s="47"/>
      <c r="U375" s="47"/>
      <c r="V375" s="47"/>
    </row>
    <row r="376" spans="1:22">
      <c r="A376" s="45"/>
      <c r="B376" s="41"/>
      <c r="C376" s="40"/>
      <c r="D376" s="40"/>
      <c r="E376" s="40"/>
      <c r="F376" s="40"/>
      <c r="G376" s="40"/>
      <c r="H376" s="40"/>
      <c r="I376" s="40"/>
      <c r="J376" s="40"/>
      <c r="K376" s="40"/>
      <c r="L376" s="40"/>
      <c r="M376" s="40"/>
      <c r="N376" s="40"/>
      <c r="O376" s="47"/>
      <c r="P376" s="47"/>
      <c r="Q376" s="47"/>
      <c r="R376" s="47"/>
      <c r="S376" s="47"/>
      <c r="T376" s="47"/>
      <c r="U376" s="47"/>
      <c r="V376" s="47"/>
    </row>
    <row r="377" spans="1:22">
      <c r="A377" s="45"/>
      <c r="B377" s="41"/>
      <c r="C377" s="40"/>
      <c r="D377" s="40"/>
      <c r="E377" s="40"/>
      <c r="F377" s="40"/>
      <c r="G377" s="40"/>
      <c r="H377" s="40"/>
      <c r="I377" s="40"/>
      <c r="J377" s="40"/>
      <c r="K377" s="40"/>
      <c r="L377" s="40"/>
      <c r="M377" s="40"/>
      <c r="N377" s="40"/>
      <c r="O377" s="47"/>
      <c r="P377" s="47"/>
      <c r="Q377" s="47"/>
      <c r="R377" s="47"/>
      <c r="S377" s="47"/>
      <c r="T377" s="47"/>
      <c r="U377" s="47"/>
      <c r="V377" s="47"/>
    </row>
    <row r="378" spans="1:22">
      <c r="A378" s="45"/>
      <c r="B378" s="41"/>
      <c r="C378" s="40"/>
      <c r="D378" s="40"/>
      <c r="E378" s="40"/>
      <c r="F378" s="40"/>
      <c r="G378" s="40"/>
      <c r="H378" s="40"/>
      <c r="I378" s="40"/>
      <c r="J378" s="40"/>
      <c r="K378" s="40"/>
      <c r="L378" s="40"/>
      <c r="M378" s="40"/>
      <c r="N378" s="40"/>
      <c r="O378" s="47"/>
      <c r="P378" s="47"/>
      <c r="Q378" s="47"/>
      <c r="R378" s="47"/>
      <c r="S378" s="47"/>
      <c r="T378" s="47"/>
      <c r="U378" s="47"/>
      <c r="V378" s="47"/>
    </row>
    <row r="379" spans="1:22">
      <c r="A379" s="45"/>
      <c r="B379" s="41"/>
      <c r="C379" s="40"/>
      <c r="D379" s="40"/>
      <c r="E379" s="40"/>
      <c r="F379" s="40"/>
      <c r="G379" s="40"/>
      <c r="H379" s="40"/>
      <c r="I379" s="40"/>
      <c r="J379" s="40"/>
      <c r="K379" s="40"/>
      <c r="L379" s="40"/>
      <c r="M379" s="40"/>
      <c r="N379" s="40"/>
      <c r="O379" s="47"/>
      <c r="P379" s="47"/>
      <c r="Q379" s="47"/>
      <c r="R379" s="47"/>
      <c r="S379" s="47"/>
      <c r="T379" s="47"/>
      <c r="U379" s="47"/>
      <c r="V379" s="47"/>
    </row>
    <row r="380" spans="1:22">
      <c r="A380" s="45"/>
      <c r="B380" s="41"/>
      <c r="C380" s="40"/>
      <c r="D380" s="40"/>
      <c r="E380" s="40"/>
      <c r="F380" s="40"/>
      <c r="G380" s="40"/>
      <c r="H380" s="40"/>
      <c r="I380" s="40"/>
      <c r="J380" s="40"/>
      <c r="K380" s="40"/>
      <c r="L380" s="40"/>
      <c r="M380" s="40"/>
      <c r="N380" s="40"/>
      <c r="O380" s="47"/>
      <c r="P380" s="47"/>
      <c r="Q380" s="47"/>
      <c r="R380" s="47"/>
      <c r="S380" s="47"/>
      <c r="T380" s="47"/>
      <c r="U380" s="47"/>
      <c r="V380" s="47"/>
    </row>
    <row r="381" spans="1:22">
      <c r="A381" s="45"/>
      <c r="B381" s="41"/>
      <c r="C381" s="40"/>
      <c r="D381" s="40"/>
      <c r="E381" s="40"/>
      <c r="F381" s="40"/>
      <c r="G381" s="40"/>
      <c r="H381" s="40"/>
      <c r="I381" s="40"/>
      <c r="J381" s="40"/>
      <c r="K381" s="40"/>
      <c r="L381" s="40"/>
      <c r="M381" s="40"/>
      <c r="N381" s="40"/>
      <c r="O381" s="47"/>
      <c r="P381" s="47"/>
      <c r="Q381" s="47"/>
      <c r="R381" s="47"/>
      <c r="S381" s="47"/>
      <c r="T381" s="47"/>
      <c r="U381" s="47"/>
      <c r="V381" s="47"/>
    </row>
    <row r="382" spans="1:22">
      <c r="A382" s="45"/>
      <c r="B382" s="41"/>
      <c r="C382" s="40"/>
      <c r="D382" s="40"/>
      <c r="E382" s="40"/>
      <c r="F382" s="40"/>
      <c r="G382" s="40"/>
      <c r="H382" s="40"/>
      <c r="I382" s="40"/>
      <c r="J382" s="40"/>
      <c r="K382" s="40"/>
      <c r="L382" s="40"/>
      <c r="M382" s="40"/>
      <c r="N382" s="40"/>
      <c r="O382" s="47"/>
      <c r="P382" s="47"/>
      <c r="Q382" s="47"/>
      <c r="R382" s="47"/>
      <c r="S382" s="47"/>
      <c r="T382" s="47"/>
      <c r="U382" s="47"/>
      <c r="V382" s="47"/>
    </row>
    <row r="383" spans="1:22">
      <c r="A383" s="45"/>
      <c r="B383" s="41"/>
      <c r="C383" s="40"/>
      <c r="D383" s="40"/>
      <c r="E383" s="40"/>
      <c r="F383" s="40"/>
      <c r="G383" s="40"/>
      <c r="H383" s="40"/>
      <c r="I383" s="40"/>
      <c r="J383" s="40"/>
      <c r="K383" s="40"/>
      <c r="L383" s="40"/>
      <c r="M383" s="40"/>
      <c r="N383" s="40"/>
      <c r="O383" s="47"/>
      <c r="P383" s="47"/>
      <c r="Q383" s="47"/>
      <c r="R383" s="47"/>
      <c r="S383" s="47"/>
      <c r="T383" s="47"/>
      <c r="U383" s="47"/>
      <c r="V383" s="47"/>
    </row>
    <row r="384" spans="1:22">
      <c r="A384" s="45"/>
      <c r="B384" s="41"/>
      <c r="C384" s="40"/>
      <c r="D384" s="40"/>
      <c r="E384" s="40"/>
      <c r="F384" s="40"/>
      <c r="G384" s="40"/>
      <c r="H384" s="40"/>
      <c r="I384" s="40"/>
      <c r="J384" s="40"/>
      <c r="K384" s="40"/>
      <c r="L384" s="40"/>
      <c r="M384" s="40"/>
      <c r="N384" s="40"/>
      <c r="O384" s="47"/>
      <c r="P384" s="47"/>
      <c r="Q384" s="47"/>
      <c r="R384" s="47"/>
      <c r="S384" s="47"/>
      <c r="T384" s="47"/>
      <c r="U384" s="47"/>
      <c r="V384" s="47"/>
    </row>
    <row r="385" spans="1:22">
      <c r="A385" s="45"/>
      <c r="B385" s="41"/>
      <c r="C385" s="40"/>
      <c r="D385" s="40"/>
      <c r="E385" s="40"/>
      <c r="F385" s="40"/>
      <c r="G385" s="40"/>
      <c r="H385" s="40"/>
      <c r="I385" s="40"/>
      <c r="J385" s="40"/>
      <c r="K385" s="40"/>
      <c r="L385" s="40"/>
      <c r="M385" s="40"/>
      <c r="N385" s="40"/>
      <c r="O385" s="47"/>
      <c r="P385" s="47"/>
      <c r="Q385" s="47"/>
      <c r="R385" s="47"/>
      <c r="S385" s="47"/>
      <c r="T385" s="47"/>
      <c r="U385" s="47"/>
      <c r="V385" s="47"/>
    </row>
    <row r="386" spans="1:22">
      <c r="A386" s="45"/>
      <c r="B386" s="41"/>
      <c r="C386" s="40"/>
      <c r="D386" s="40"/>
      <c r="E386" s="40"/>
      <c r="F386" s="40"/>
      <c r="G386" s="40"/>
      <c r="H386" s="40"/>
      <c r="I386" s="40"/>
      <c r="J386" s="40"/>
      <c r="K386" s="40"/>
      <c r="L386" s="40"/>
      <c r="M386" s="40"/>
      <c r="N386" s="40"/>
      <c r="O386" s="47"/>
      <c r="P386" s="47"/>
      <c r="Q386" s="47"/>
      <c r="R386" s="47"/>
      <c r="S386" s="47"/>
      <c r="T386" s="47"/>
      <c r="U386" s="47"/>
      <c r="V386" s="47"/>
    </row>
    <row r="387" spans="1:22">
      <c r="A387" s="45"/>
      <c r="B387" s="41"/>
      <c r="C387" s="40"/>
      <c r="D387" s="40"/>
      <c r="E387" s="40"/>
      <c r="F387" s="40"/>
      <c r="G387" s="40"/>
      <c r="H387" s="40"/>
      <c r="I387" s="40"/>
      <c r="J387" s="40"/>
      <c r="K387" s="40"/>
      <c r="L387" s="40"/>
      <c r="M387" s="40"/>
      <c r="N387" s="40"/>
      <c r="O387" s="47"/>
      <c r="P387" s="47"/>
      <c r="Q387" s="47"/>
      <c r="R387" s="47"/>
      <c r="S387" s="47"/>
      <c r="T387" s="47"/>
      <c r="U387" s="47"/>
      <c r="V387" s="47"/>
    </row>
    <row r="388" spans="1:22">
      <c r="A388" s="45"/>
      <c r="B388" s="41"/>
      <c r="C388" s="40"/>
      <c r="D388" s="40"/>
      <c r="E388" s="40"/>
      <c r="F388" s="40"/>
      <c r="G388" s="40"/>
      <c r="H388" s="40"/>
      <c r="I388" s="40"/>
      <c r="J388" s="40"/>
      <c r="K388" s="40"/>
      <c r="L388" s="40"/>
      <c r="M388" s="40"/>
      <c r="N388" s="40"/>
      <c r="O388" s="47"/>
      <c r="P388" s="47"/>
      <c r="Q388" s="47"/>
      <c r="R388" s="47"/>
      <c r="S388" s="47"/>
      <c r="T388" s="47"/>
      <c r="U388" s="47"/>
      <c r="V388" s="47"/>
    </row>
    <row r="389" spans="1:22">
      <c r="A389" s="45"/>
      <c r="B389" s="41"/>
      <c r="C389" s="40"/>
      <c r="D389" s="40"/>
      <c r="E389" s="40"/>
      <c r="F389" s="40"/>
      <c r="G389" s="40"/>
      <c r="H389" s="40"/>
      <c r="I389" s="40"/>
      <c r="J389" s="40"/>
      <c r="K389" s="40"/>
      <c r="L389" s="40"/>
      <c r="M389" s="40"/>
      <c r="N389" s="40"/>
      <c r="O389" s="47"/>
      <c r="P389" s="47"/>
      <c r="Q389" s="47"/>
      <c r="R389" s="47"/>
      <c r="S389" s="47"/>
      <c r="T389" s="47"/>
      <c r="U389" s="47"/>
      <c r="V389" s="47"/>
    </row>
    <row r="390" spans="1:22">
      <c r="A390" s="45"/>
      <c r="B390" s="41"/>
      <c r="C390" s="40"/>
      <c r="D390" s="40"/>
      <c r="E390" s="40"/>
      <c r="F390" s="40"/>
      <c r="G390" s="40"/>
      <c r="H390" s="40"/>
      <c r="I390" s="40"/>
      <c r="J390" s="40"/>
      <c r="K390" s="40"/>
      <c r="L390" s="40"/>
      <c r="M390" s="40"/>
      <c r="N390" s="40"/>
      <c r="O390" s="47"/>
      <c r="P390" s="47"/>
      <c r="Q390" s="47"/>
      <c r="R390" s="47"/>
      <c r="S390" s="47"/>
      <c r="T390" s="47"/>
      <c r="U390" s="47"/>
      <c r="V390" s="47"/>
    </row>
    <row r="391" spans="1:22">
      <c r="A391" s="45"/>
      <c r="B391" s="41"/>
      <c r="C391" s="40"/>
      <c r="D391" s="40"/>
      <c r="E391" s="40"/>
      <c r="F391" s="40"/>
      <c r="G391" s="40"/>
      <c r="H391" s="40"/>
      <c r="I391" s="40"/>
      <c r="J391" s="40"/>
      <c r="K391" s="40"/>
      <c r="L391" s="40"/>
      <c r="M391" s="40"/>
      <c r="N391" s="40"/>
      <c r="O391" s="47"/>
      <c r="P391" s="47"/>
      <c r="Q391" s="47"/>
      <c r="R391" s="47"/>
      <c r="S391" s="47"/>
      <c r="T391" s="47"/>
      <c r="U391" s="47"/>
      <c r="V391" s="47"/>
    </row>
    <row r="392" spans="1:22">
      <c r="A392" s="45"/>
      <c r="B392" s="41"/>
      <c r="C392" s="40"/>
      <c r="D392" s="40"/>
      <c r="E392" s="40"/>
      <c r="F392" s="40"/>
      <c r="G392" s="40"/>
      <c r="H392" s="40"/>
      <c r="I392" s="40"/>
      <c r="J392" s="40"/>
      <c r="K392" s="40"/>
      <c r="L392" s="40"/>
      <c r="M392" s="40"/>
      <c r="N392" s="40"/>
      <c r="O392" s="47"/>
      <c r="P392" s="47"/>
      <c r="Q392" s="47"/>
      <c r="R392" s="47"/>
      <c r="S392" s="47"/>
      <c r="T392" s="47"/>
      <c r="U392" s="47"/>
      <c r="V392" s="47"/>
    </row>
    <row r="393" spans="1:22">
      <c r="A393" s="45"/>
      <c r="B393" s="41"/>
      <c r="C393" s="40"/>
      <c r="D393" s="40"/>
      <c r="E393" s="40"/>
      <c r="F393" s="40"/>
      <c r="G393" s="40"/>
      <c r="H393" s="40"/>
      <c r="I393" s="40"/>
      <c r="J393" s="40"/>
      <c r="K393" s="40"/>
      <c r="L393" s="40"/>
      <c r="M393" s="40"/>
      <c r="N393" s="40"/>
      <c r="O393" s="47"/>
      <c r="P393" s="47"/>
      <c r="Q393" s="47"/>
      <c r="R393" s="47"/>
      <c r="S393" s="47"/>
      <c r="T393" s="47"/>
      <c r="U393" s="47"/>
      <c r="V393" s="47"/>
    </row>
    <row r="394" spans="1:22">
      <c r="A394" s="45"/>
      <c r="B394" s="41"/>
      <c r="C394" s="40"/>
      <c r="D394" s="40"/>
      <c r="E394" s="40"/>
      <c r="F394" s="40"/>
      <c r="G394" s="40"/>
      <c r="H394" s="40"/>
      <c r="I394" s="40"/>
      <c r="J394" s="40"/>
      <c r="K394" s="40"/>
      <c r="L394" s="40"/>
      <c r="M394" s="40"/>
      <c r="N394" s="40"/>
      <c r="O394" s="47"/>
      <c r="P394" s="47"/>
      <c r="Q394" s="47"/>
      <c r="R394" s="47"/>
      <c r="S394" s="47"/>
      <c r="T394" s="47"/>
      <c r="U394" s="47"/>
      <c r="V394" s="47"/>
    </row>
    <row r="395" spans="1:22">
      <c r="A395" s="45"/>
      <c r="B395" s="41"/>
      <c r="C395" s="40"/>
      <c r="D395" s="40"/>
      <c r="E395" s="40"/>
      <c r="F395" s="40"/>
      <c r="G395" s="40"/>
      <c r="H395" s="40"/>
      <c r="I395" s="40"/>
      <c r="J395" s="40"/>
      <c r="K395" s="40"/>
      <c r="L395" s="40"/>
      <c r="M395" s="40"/>
      <c r="N395" s="40"/>
      <c r="O395" s="47"/>
      <c r="P395" s="47"/>
      <c r="Q395" s="47"/>
      <c r="R395" s="47"/>
      <c r="S395" s="47"/>
      <c r="T395" s="47"/>
      <c r="U395" s="47"/>
      <c r="V395" s="47"/>
    </row>
    <row r="396" spans="1:22">
      <c r="A396" s="45"/>
      <c r="B396" s="41"/>
      <c r="C396" s="40"/>
      <c r="D396" s="40"/>
      <c r="E396" s="40"/>
      <c r="F396" s="40"/>
      <c r="G396" s="40"/>
      <c r="H396" s="40"/>
      <c r="I396" s="40"/>
      <c r="J396" s="40"/>
      <c r="K396" s="40"/>
      <c r="L396" s="40"/>
      <c r="M396" s="40"/>
      <c r="N396" s="40"/>
      <c r="O396" s="47"/>
      <c r="P396" s="47"/>
      <c r="Q396" s="47"/>
      <c r="R396" s="47"/>
      <c r="S396" s="47"/>
      <c r="T396" s="47"/>
      <c r="U396" s="47"/>
      <c r="V396" s="47"/>
    </row>
    <row r="397" spans="1:22">
      <c r="A397" s="45"/>
      <c r="B397" s="41"/>
      <c r="C397" s="40"/>
      <c r="D397" s="40"/>
      <c r="E397" s="40"/>
      <c r="F397" s="40"/>
      <c r="G397" s="40"/>
      <c r="H397" s="40"/>
      <c r="I397" s="40"/>
      <c r="J397" s="40"/>
      <c r="K397" s="40"/>
      <c r="L397" s="40"/>
      <c r="M397" s="40"/>
      <c r="N397" s="40"/>
      <c r="O397" s="47"/>
      <c r="P397" s="47"/>
      <c r="Q397" s="47"/>
      <c r="R397" s="47"/>
      <c r="S397" s="47"/>
      <c r="T397" s="47"/>
      <c r="U397" s="47"/>
      <c r="V397" s="47"/>
    </row>
    <row r="398" spans="1:22">
      <c r="A398" s="45"/>
      <c r="B398" s="41"/>
      <c r="C398" s="40"/>
      <c r="D398" s="40"/>
      <c r="E398" s="40"/>
      <c r="F398" s="40"/>
      <c r="G398" s="40"/>
      <c r="H398" s="40"/>
      <c r="I398" s="40"/>
      <c r="J398" s="40"/>
      <c r="K398" s="40"/>
      <c r="L398" s="40"/>
      <c r="M398" s="40"/>
      <c r="N398" s="40"/>
      <c r="O398" s="47"/>
      <c r="P398" s="47"/>
      <c r="Q398" s="47"/>
      <c r="R398" s="47"/>
      <c r="S398" s="47"/>
      <c r="T398" s="47"/>
      <c r="U398" s="47"/>
      <c r="V398" s="47"/>
    </row>
    <row r="399" spans="1:22">
      <c r="A399" s="45"/>
      <c r="B399" s="41"/>
      <c r="C399" s="40"/>
      <c r="D399" s="40"/>
      <c r="E399" s="40"/>
      <c r="F399" s="40"/>
      <c r="G399" s="40"/>
      <c r="H399" s="40"/>
      <c r="I399" s="40"/>
      <c r="J399" s="40"/>
      <c r="K399" s="40"/>
      <c r="L399" s="40"/>
      <c r="M399" s="40"/>
      <c r="N399" s="40"/>
      <c r="O399" s="47"/>
      <c r="P399" s="47"/>
      <c r="Q399" s="47"/>
      <c r="R399" s="47"/>
      <c r="S399" s="47"/>
      <c r="T399" s="47"/>
      <c r="U399" s="47"/>
      <c r="V399" s="47"/>
    </row>
    <row r="400" spans="1:22">
      <c r="A400" s="45"/>
      <c r="B400" s="41"/>
      <c r="C400" s="40"/>
      <c r="D400" s="40"/>
      <c r="E400" s="40"/>
      <c r="F400" s="40"/>
      <c r="G400" s="40"/>
      <c r="H400" s="40"/>
      <c r="I400" s="40"/>
      <c r="J400" s="40"/>
      <c r="K400" s="40"/>
      <c r="L400" s="40"/>
      <c r="M400" s="40"/>
      <c r="N400" s="40"/>
      <c r="O400" s="47"/>
      <c r="P400" s="47"/>
      <c r="Q400" s="47"/>
      <c r="R400" s="47"/>
      <c r="S400" s="47"/>
      <c r="T400" s="47"/>
      <c r="U400" s="47"/>
      <c r="V400" s="47"/>
    </row>
    <row r="401" spans="1:22">
      <c r="A401" s="45"/>
      <c r="B401" s="41"/>
      <c r="C401" s="40"/>
      <c r="D401" s="40"/>
      <c r="E401" s="40"/>
      <c r="F401" s="40"/>
      <c r="G401" s="40"/>
      <c r="H401" s="40"/>
      <c r="I401" s="40"/>
      <c r="J401" s="40"/>
      <c r="K401" s="40"/>
      <c r="L401" s="40"/>
      <c r="M401" s="40"/>
      <c r="N401" s="40"/>
      <c r="O401" s="47"/>
      <c r="P401" s="47"/>
      <c r="Q401" s="47"/>
      <c r="R401" s="47"/>
      <c r="S401" s="47"/>
      <c r="T401" s="47"/>
      <c r="U401" s="47"/>
      <c r="V401" s="47"/>
    </row>
    <row r="402" spans="1:22">
      <c r="A402" s="45"/>
      <c r="B402" s="41"/>
      <c r="C402" s="40"/>
      <c r="D402" s="40"/>
      <c r="E402" s="40"/>
      <c r="F402" s="40"/>
      <c r="G402" s="40"/>
      <c r="H402" s="40"/>
      <c r="I402" s="40"/>
      <c r="J402" s="40"/>
      <c r="K402" s="40"/>
      <c r="L402" s="40"/>
      <c r="M402" s="40"/>
      <c r="N402" s="40"/>
      <c r="O402" s="47"/>
      <c r="P402" s="47"/>
      <c r="Q402" s="47"/>
      <c r="R402" s="47"/>
      <c r="S402" s="47"/>
      <c r="T402" s="47"/>
      <c r="U402" s="47"/>
      <c r="V402" s="47"/>
    </row>
    <row r="403" spans="1:22">
      <c r="A403" s="45"/>
      <c r="B403" s="41"/>
      <c r="C403" s="40"/>
      <c r="D403" s="40"/>
      <c r="E403" s="40"/>
      <c r="F403" s="40"/>
      <c r="G403" s="40"/>
      <c r="H403" s="40"/>
      <c r="I403" s="40"/>
      <c r="J403" s="40"/>
      <c r="K403" s="40"/>
      <c r="L403" s="40"/>
      <c r="M403" s="40"/>
      <c r="N403" s="40"/>
      <c r="O403" s="47"/>
      <c r="P403" s="47"/>
      <c r="Q403" s="47"/>
      <c r="R403" s="47"/>
      <c r="S403" s="47"/>
      <c r="T403" s="47"/>
      <c r="U403" s="47"/>
      <c r="V403" s="47"/>
    </row>
    <row r="404" spans="1:22">
      <c r="A404" s="45"/>
      <c r="B404" s="41"/>
      <c r="C404" s="40"/>
      <c r="D404" s="40"/>
      <c r="E404" s="40"/>
      <c r="F404" s="40"/>
      <c r="G404" s="40"/>
      <c r="H404" s="40"/>
      <c r="I404" s="40"/>
      <c r="J404" s="40"/>
      <c r="K404" s="40"/>
      <c r="L404" s="40"/>
      <c r="M404" s="40"/>
      <c r="N404" s="40"/>
      <c r="O404" s="47"/>
      <c r="P404" s="47"/>
      <c r="Q404" s="47"/>
      <c r="R404" s="47"/>
      <c r="S404" s="47"/>
      <c r="T404" s="47"/>
      <c r="U404" s="47"/>
      <c r="V404" s="47"/>
    </row>
    <row r="405" spans="1:22">
      <c r="A405" s="45"/>
      <c r="B405" s="41"/>
      <c r="C405" s="40"/>
      <c r="D405" s="40"/>
      <c r="E405" s="40"/>
      <c r="F405" s="40"/>
      <c r="G405" s="40"/>
      <c r="H405" s="40"/>
      <c r="I405" s="40"/>
      <c r="J405" s="40"/>
      <c r="K405" s="40"/>
      <c r="L405" s="40"/>
      <c r="M405" s="40"/>
      <c r="N405" s="40"/>
      <c r="O405" s="47"/>
      <c r="P405" s="47"/>
      <c r="Q405" s="47"/>
      <c r="R405" s="47"/>
      <c r="S405" s="47"/>
      <c r="T405" s="47"/>
      <c r="U405" s="47"/>
      <c r="V405" s="47"/>
    </row>
    <row r="406" spans="1:22">
      <c r="A406" s="45"/>
      <c r="B406" s="41"/>
      <c r="C406" s="40"/>
      <c r="D406" s="40"/>
      <c r="E406" s="40"/>
      <c r="F406" s="40"/>
      <c r="G406" s="40"/>
      <c r="H406" s="40"/>
      <c r="I406" s="40"/>
      <c r="J406" s="40"/>
      <c r="K406" s="40"/>
      <c r="L406" s="40"/>
      <c r="M406" s="40"/>
      <c r="N406" s="40"/>
      <c r="O406" s="47"/>
      <c r="P406" s="47"/>
      <c r="Q406" s="47"/>
      <c r="R406" s="47"/>
      <c r="S406" s="47"/>
      <c r="T406" s="47"/>
      <c r="U406" s="47"/>
      <c r="V406" s="47"/>
    </row>
    <row r="407" spans="1:22">
      <c r="A407" s="45"/>
      <c r="B407" s="41"/>
      <c r="C407" s="40"/>
      <c r="D407" s="40"/>
      <c r="E407" s="40"/>
      <c r="F407" s="40"/>
      <c r="G407" s="40"/>
      <c r="H407" s="40"/>
      <c r="I407" s="40"/>
      <c r="J407" s="40"/>
      <c r="K407" s="40"/>
      <c r="L407" s="40"/>
      <c r="M407" s="40"/>
      <c r="N407" s="40"/>
      <c r="O407" s="47"/>
      <c r="P407" s="47"/>
      <c r="Q407" s="47"/>
      <c r="R407" s="47"/>
      <c r="S407" s="47"/>
      <c r="T407" s="47"/>
      <c r="U407" s="47"/>
      <c r="V407" s="47"/>
    </row>
    <row r="408" spans="1:22">
      <c r="A408" s="45"/>
      <c r="B408" s="41"/>
      <c r="C408" s="40"/>
      <c r="D408" s="40"/>
      <c r="E408" s="40"/>
      <c r="F408" s="40"/>
      <c r="G408" s="40"/>
      <c r="H408" s="40"/>
      <c r="I408" s="40"/>
      <c r="J408" s="40"/>
      <c r="K408" s="40"/>
      <c r="L408" s="40"/>
      <c r="M408" s="40"/>
      <c r="N408" s="40"/>
      <c r="O408" s="47"/>
      <c r="P408" s="47"/>
      <c r="Q408" s="47"/>
      <c r="R408" s="47"/>
      <c r="S408" s="47"/>
      <c r="T408" s="47"/>
      <c r="U408" s="47"/>
      <c r="V408" s="47"/>
    </row>
    <row r="409" spans="1:22">
      <c r="A409" s="45"/>
      <c r="B409" s="41"/>
      <c r="C409" s="40"/>
      <c r="D409" s="40"/>
      <c r="E409" s="40"/>
      <c r="F409" s="40"/>
      <c r="G409" s="40"/>
      <c r="H409" s="40"/>
      <c r="I409" s="40"/>
      <c r="J409" s="40"/>
      <c r="K409" s="40"/>
      <c r="L409" s="40"/>
      <c r="M409" s="40"/>
      <c r="N409" s="40"/>
      <c r="O409" s="47"/>
      <c r="P409" s="47"/>
      <c r="Q409" s="47"/>
      <c r="R409" s="47"/>
      <c r="S409" s="47"/>
      <c r="T409" s="47"/>
      <c r="U409" s="47"/>
      <c r="V409" s="47"/>
    </row>
    <row r="410" spans="1:22">
      <c r="A410" s="45"/>
      <c r="B410" s="41"/>
      <c r="C410" s="40"/>
      <c r="D410" s="40"/>
      <c r="E410" s="40"/>
      <c r="F410" s="40"/>
      <c r="G410" s="40"/>
      <c r="H410" s="40"/>
      <c r="I410" s="40"/>
      <c r="J410" s="40"/>
      <c r="K410" s="40"/>
      <c r="L410" s="40"/>
      <c r="M410" s="40"/>
      <c r="N410" s="40"/>
      <c r="O410" s="47"/>
      <c r="P410" s="47"/>
      <c r="Q410" s="47"/>
      <c r="R410" s="47"/>
      <c r="S410" s="47"/>
      <c r="T410" s="47"/>
      <c r="U410" s="47"/>
      <c r="V410" s="47"/>
    </row>
    <row r="411" spans="1:22">
      <c r="A411" s="45"/>
      <c r="B411" s="41"/>
      <c r="C411" s="40"/>
      <c r="D411" s="40"/>
      <c r="E411" s="40"/>
      <c r="F411" s="40"/>
      <c r="G411" s="40"/>
      <c r="H411" s="40"/>
      <c r="I411" s="40"/>
      <c r="J411" s="40"/>
      <c r="K411" s="40"/>
      <c r="L411" s="40"/>
      <c r="M411" s="40"/>
      <c r="N411" s="40"/>
      <c r="O411" s="47"/>
      <c r="P411" s="47"/>
      <c r="Q411" s="47"/>
      <c r="R411" s="47"/>
      <c r="S411" s="47"/>
      <c r="T411" s="47"/>
      <c r="U411" s="47"/>
      <c r="V411" s="47"/>
    </row>
    <row r="412" spans="1:22">
      <c r="A412" s="45"/>
      <c r="B412" s="41"/>
      <c r="C412" s="40"/>
      <c r="D412" s="40"/>
      <c r="E412" s="40"/>
      <c r="F412" s="40"/>
      <c r="G412" s="40"/>
      <c r="H412" s="40"/>
      <c r="I412" s="40"/>
      <c r="J412" s="40"/>
      <c r="K412" s="40"/>
      <c r="L412" s="40"/>
      <c r="M412" s="40"/>
      <c r="N412" s="40"/>
      <c r="O412" s="47"/>
      <c r="P412" s="47"/>
      <c r="Q412" s="47"/>
      <c r="R412" s="47"/>
      <c r="S412" s="47"/>
      <c r="T412" s="47"/>
      <c r="U412" s="47"/>
      <c r="V412" s="47"/>
    </row>
    <row r="413" spans="1:22">
      <c r="A413" s="45"/>
      <c r="B413" s="41"/>
      <c r="C413" s="40"/>
      <c r="D413" s="40"/>
      <c r="E413" s="40"/>
      <c r="F413" s="40"/>
      <c r="G413" s="40"/>
      <c r="H413" s="40"/>
      <c r="I413" s="40"/>
      <c r="J413" s="40"/>
      <c r="K413" s="40"/>
      <c r="L413" s="40"/>
      <c r="M413" s="40"/>
      <c r="N413" s="40"/>
      <c r="O413" s="47"/>
      <c r="P413" s="47"/>
      <c r="Q413" s="47"/>
      <c r="R413" s="47"/>
      <c r="S413" s="47"/>
      <c r="T413" s="47"/>
      <c r="U413" s="47"/>
      <c r="V413" s="47"/>
    </row>
    <row r="414" spans="1:22">
      <c r="A414" s="45"/>
      <c r="B414" s="41"/>
      <c r="C414" s="40"/>
      <c r="D414" s="40"/>
      <c r="E414" s="40"/>
      <c r="F414" s="40"/>
      <c r="G414" s="40"/>
      <c r="H414" s="40"/>
      <c r="I414" s="40"/>
      <c r="J414" s="40"/>
      <c r="K414" s="40"/>
      <c r="L414" s="40"/>
      <c r="M414" s="40"/>
      <c r="N414" s="40"/>
      <c r="O414" s="47"/>
      <c r="P414" s="47"/>
      <c r="Q414" s="47"/>
      <c r="R414" s="47"/>
      <c r="S414" s="47"/>
      <c r="T414" s="47"/>
      <c r="U414" s="47"/>
      <c r="V414" s="47"/>
    </row>
    <row r="415" spans="1:22">
      <c r="A415" s="45"/>
      <c r="B415" s="41"/>
      <c r="C415" s="40"/>
      <c r="D415" s="40"/>
      <c r="E415" s="40"/>
      <c r="F415" s="40"/>
      <c r="G415" s="40"/>
      <c r="H415" s="40"/>
      <c r="I415" s="40"/>
      <c r="J415" s="40"/>
      <c r="K415" s="40"/>
      <c r="L415" s="40"/>
      <c r="M415" s="40"/>
      <c r="N415" s="40"/>
      <c r="O415" s="47"/>
      <c r="P415" s="47"/>
      <c r="Q415" s="47"/>
      <c r="R415" s="47"/>
      <c r="S415" s="47"/>
      <c r="T415" s="47"/>
      <c r="U415" s="47"/>
      <c r="V415" s="47"/>
    </row>
    <row r="416" spans="1:22">
      <c r="A416" s="45"/>
      <c r="B416" s="41"/>
      <c r="C416" s="40"/>
      <c r="D416" s="40"/>
      <c r="E416" s="40"/>
      <c r="F416" s="40"/>
      <c r="G416" s="40"/>
      <c r="H416" s="40"/>
      <c r="I416" s="40"/>
      <c r="J416" s="40"/>
      <c r="K416" s="40"/>
      <c r="L416" s="40"/>
      <c r="M416" s="40"/>
      <c r="N416" s="40"/>
      <c r="O416" s="47"/>
      <c r="P416" s="47"/>
      <c r="Q416" s="47"/>
      <c r="R416" s="47"/>
      <c r="S416" s="47"/>
      <c r="T416" s="47"/>
      <c r="U416" s="47"/>
      <c r="V416" s="47"/>
    </row>
    <row r="417" spans="1:22">
      <c r="A417" s="45"/>
      <c r="B417" s="41"/>
      <c r="C417" s="40"/>
      <c r="D417" s="40"/>
      <c r="E417" s="40"/>
      <c r="F417" s="40"/>
      <c r="G417" s="40"/>
      <c r="H417" s="40"/>
      <c r="I417" s="40"/>
      <c r="J417" s="40"/>
      <c r="K417" s="40"/>
      <c r="L417" s="40"/>
      <c r="M417" s="40"/>
      <c r="N417" s="40"/>
      <c r="O417" s="47"/>
      <c r="P417" s="47"/>
      <c r="Q417" s="47"/>
      <c r="R417" s="47"/>
      <c r="S417" s="47"/>
      <c r="T417" s="47"/>
      <c r="U417" s="47"/>
      <c r="V417" s="47"/>
    </row>
    <row r="418" spans="1:22">
      <c r="A418" s="45"/>
      <c r="B418" s="41"/>
      <c r="C418" s="40"/>
      <c r="D418" s="40"/>
      <c r="E418" s="40"/>
      <c r="F418" s="40"/>
      <c r="G418" s="40"/>
      <c r="H418" s="40"/>
      <c r="I418" s="40"/>
      <c r="J418" s="40"/>
      <c r="K418" s="40"/>
      <c r="L418" s="40"/>
      <c r="M418" s="40"/>
      <c r="N418" s="40"/>
      <c r="O418" s="47"/>
      <c r="P418" s="47"/>
      <c r="Q418" s="47"/>
      <c r="R418" s="47"/>
      <c r="S418" s="47"/>
      <c r="T418" s="47"/>
      <c r="U418" s="47"/>
      <c r="V418" s="47"/>
    </row>
    <row r="419" spans="1:22">
      <c r="A419" s="45"/>
      <c r="B419" s="41"/>
      <c r="C419" s="40"/>
      <c r="D419" s="40"/>
      <c r="E419" s="40"/>
      <c r="F419" s="40"/>
      <c r="G419" s="40"/>
      <c r="H419" s="40"/>
      <c r="I419" s="40"/>
      <c r="J419" s="40"/>
      <c r="K419" s="40"/>
      <c r="L419" s="40"/>
      <c r="M419" s="40"/>
      <c r="N419" s="40"/>
      <c r="O419" s="47"/>
      <c r="P419" s="47"/>
      <c r="Q419" s="47"/>
      <c r="R419" s="47"/>
      <c r="S419" s="47"/>
      <c r="T419" s="47"/>
      <c r="U419" s="47"/>
      <c r="V419" s="47"/>
    </row>
    <row r="420" spans="1:22">
      <c r="A420" s="45"/>
      <c r="B420" s="41"/>
      <c r="C420" s="40"/>
      <c r="D420" s="40"/>
      <c r="E420" s="40"/>
      <c r="F420" s="40"/>
      <c r="G420" s="40"/>
      <c r="H420" s="40"/>
      <c r="I420" s="40"/>
      <c r="J420" s="40"/>
      <c r="K420" s="40"/>
      <c r="L420" s="40"/>
      <c r="M420" s="40"/>
      <c r="N420" s="40"/>
      <c r="O420" s="47"/>
      <c r="P420" s="47"/>
      <c r="Q420" s="47"/>
      <c r="R420" s="47"/>
      <c r="S420" s="47"/>
      <c r="T420" s="47"/>
      <c r="U420" s="47"/>
      <c r="V420" s="47"/>
    </row>
    <row r="421" spans="1:22">
      <c r="A421" s="45"/>
      <c r="B421" s="41"/>
      <c r="C421" s="40"/>
      <c r="D421" s="40"/>
      <c r="E421" s="40"/>
      <c r="F421" s="40"/>
      <c r="G421" s="40"/>
      <c r="H421" s="40"/>
      <c r="I421" s="40"/>
      <c r="J421" s="40"/>
      <c r="K421" s="40"/>
      <c r="L421" s="40"/>
      <c r="M421" s="40"/>
      <c r="N421" s="40"/>
      <c r="O421" s="47"/>
      <c r="P421" s="47"/>
      <c r="Q421" s="47"/>
      <c r="R421" s="47"/>
      <c r="S421" s="47"/>
      <c r="T421" s="47"/>
      <c r="U421" s="47"/>
      <c r="V421" s="47"/>
    </row>
    <row r="422" spans="1:22">
      <c r="A422" s="45"/>
      <c r="B422" s="41"/>
      <c r="C422" s="40"/>
      <c r="D422" s="40"/>
      <c r="E422" s="40"/>
      <c r="F422" s="40"/>
      <c r="G422" s="40"/>
      <c r="H422" s="40"/>
      <c r="I422" s="40"/>
      <c r="J422" s="40"/>
      <c r="K422" s="40"/>
      <c r="L422" s="40"/>
      <c r="M422" s="40"/>
      <c r="N422" s="40"/>
      <c r="O422" s="47"/>
      <c r="P422" s="47"/>
      <c r="Q422" s="47"/>
      <c r="R422" s="47"/>
      <c r="S422" s="47"/>
      <c r="T422" s="47"/>
      <c r="U422" s="47"/>
      <c r="V422" s="47"/>
    </row>
    <row r="423" spans="1:22">
      <c r="A423" s="45"/>
      <c r="B423" s="41"/>
      <c r="C423" s="40"/>
      <c r="D423" s="40"/>
      <c r="E423" s="40"/>
      <c r="F423" s="40"/>
      <c r="G423" s="40"/>
      <c r="H423" s="40"/>
      <c r="I423" s="40"/>
      <c r="J423" s="40"/>
      <c r="K423" s="40"/>
      <c r="L423" s="40"/>
      <c r="M423" s="40"/>
      <c r="N423" s="40"/>
      <c r="O423" s="47"/>
      <c r="P423" s="47"/>
      <c r="Q423" s="47"/>
      <c r="R423" s="47"/>
      <c r="S423" s="47"/>
      <c r="T423" s="47"/>
      <c r="U423" s="47"/>
      <c r="V423" s="47"/>
    </row>
    <row r="424" spans="1:22">
      <c r="A424" s="45"/>
      <c r="B424" s="41"/>
      <c r="C424" s="40"/>
      <c r="D424" s="40"/>
      <c r="E424" s="40"/>
      <c r="F424" s="40"/>
      <c r="G424" s="40"/>
      <c r="H424" s="40"/>
      <c r="I424" s="40"/>
      <c r="J424" s="40"/>
      <c r="K424" s="40"/>
      <c r="L424" s="40"/>
      <c r="M424" s="40"/>
      <c r="N424" s="40"/>
      <c r="O424" s="47"/>
      <c r="P424" s="47"/>
      <c r="Q424" s="47"/>
      <c r="R424" s="47"/>
      <c r="S424" s="47"/>
      <c r="T424" s="47"/>
      <c r="U424" s="47"/>
      <c r="V424" s="47"/>
    </row>
    <row r="425" spans="1:22">
      <c r="A425" s="45"/>
      <c r="B425" s="41"/>
      <c r="C425" s="40"/>
      <c r="D425" s="40"/>
      <c r="E425" s="40"/>
      <c r="F425" s="40"/>
      <c r="G425" s="40"/>
      <c r="H425" s="40"/>
      <c r="I425" s="40"/>
      <c r="J425" s="40"/>
      <c r="K425" s="40"/>
      <c r="L425" s="40"/>
      <c r="M425" s="40"/>
      <c r="N425" s="40"/>
      <c r="O425" s="47"/>
      <c r="P425" s="47"/>
      <c r="Q425" s="47"/>
      <c r="R425" s="47"/>
      <c r="S425" s="47"/>
      <c r="T425" s="47"/>
      <c r="U425" s="47"/>
      <c r="V425" s="47"/>
    </row>
    <row r="426" spans="1:22">
      <c r="A426" s="45"/>
      <c r="B426" s="41"/>
      <c r="C426" s="40"/>
      <c r="D426" s="40"/>
      <c r="E426" s="40"/>
      <c r="F426" s="40"/>
      <c r="G426" s="40"/>
      <c r="H426" s="40"/>
      <c r="I426" s="40"/>
      <c r="J426" s="40"/>
      <c r="K426" s="40"/>
      <c r="L426" s="40"/>
      <c r="M426" s="40"/>
      <c r="N426" s="40"/>
      <c r="O426" s="47"/>
      <c r="P426" s="47"/>
      <c r="Q426" s="47"/>
      <c r="R426" s="47"/>
      <c r="S426" s="47"/>
      <c r="T426" s="47"/>
      <c r="U426" s="47"/>
      <c r="V426" s="47"/>
    </row>
    <row r="427" spans="1:22">
      <c r="A427" s="45"/>
      <c r="B427" s="41"/>
      <c r="C427" s="40"/>
      <c r="D427" s="40"/>
      <c r="E427" s="40"/>
      <c r="F427" s="40"/>
      <c r="G427" s="40"/>
      <c r="H427" s="40"/>
      <c r="I427" s="40"/>
      <c r="J427" s="40"/>
      <c r="K427" s="40"/>
      <c r="L427" s="40"/>
      <c r="M427" s="40"/>
      <c r="N427" s="40"/>
      <c r="O427" s="47"/>
      <c r="P427" s="47"/>
      <c r="Q427" s="47"/>
      <c r="R427" s="47"/>
      <c r="S427" s="47"/>
      <c r="T427" s="47"/>
      <c r="U427" s="47"/>
      <c r="V427" s="47"/>
    </row>
    <row r="428" spans="1:22">
      <c r="A428" s="45"/>
      <c r="B428" s="41"/>
      <c r="C428" s="40"/>
      <c r="D428" s="40"/>
      <c r="E428" s="40"/>
      <c r="F428" s="40"/>
      <c r="G428" s="40"/>
      <c r="H428" s="40"/>
      <c r="I428" s="40"/>
      <c r="J428" s="40"/>
      <c r="K428" s="40"/>
      <c r="L428" s="40"/>
      <c r="M428" s="40"/>
      <c r="N428" s="40"/>
      <c r="O428" s="47"/>
      <c r="P428" s="47"/>
      <c r="Q428" s="47"/>
      <c r="R428" s="47"/>
      <c r="S428" s="47"/>
      <c r="T428" s="47"/>
      <c r="U428" s="47"/>
      <c r="V428" s="47"/>
    </row>
    <row r="429" spans="1:22">
      <c r="A429" s="45"/>
      <c r="B429" s="41"/>
      <c r="C429" s="40"/>
      <c r="D429" s="40"/>
      <c r="E429" s="40"/>
      <c r="F429" s="40"/>
      <c r="G429" s="40"/>
      <c r="H429" s="40"/>
      <c r="I429" s="40"/>
      <c r="J429" s="40"/>
      <c r="K429" s="40"/>
      <c r="L429" s="40"/>
      <c r="M429" s="40"/>
      <c r="N429" s="40"/>
      <c r="O429" s="47"/>
      <c r="P429" s="47"/>
      <c r="Q429" s="47"/>
      <c r="R429" s="47"/>
      <c r="S429" s="47"/>
      <c r="T429" s="47"/>
      <c r="U429" s="47"/>
      <c r="V429" s="47"/>
    </row>
    <row r="430" spans="1:22">
      <c r="A430" s="45"/>
      <c r="B430" s="41"/>
      <c r="C430" s="40"/>
      <c r="D430" s="40"/>
      <c r="E430" s="40"/>
      <c r="F430" s="40"/>
      <c r="G430" s="40"/>
      <c r="H430" s="40"/>
      <c r="I430" s="40"/>
      <c r="J430" s="40"/>
      <c r="K430" s="40"/>
      <c r="L430" s="40"/>
      <c r="M430" s="40"/>
      <c r="N430" s="40"/>
      <c r="O430" s="47"/>
      <c r="P430" s="47"/>
      <c r="Q430" s="47"/>
      <c r="R430" s="47"/>
      <c r="S430" s="47"/>
      <c r="T430" s="47"/>
      <c r="U430" s="47"/>
      <c r="V430" s="47"/>
    </row>
    <row r="431" spans="1:22">
      <c r="A431" s="45"/>
      <c r="B431" s="41"/>
      <c r="C431" s="40"/>
      <c r="D431" s="40"/>
      <c r="E431" s="40"/>
      <c r="F431" s="40"/>
      <c r="G431" s="40"/>
      <c r="H431" s="40"/>
      <c r="I431" s="40"/>
      <c r="J431" s="40"/>
      <c r="K431" s="40"/>
      <c r="L431" s="40"/>
      <c r="M431" s="40"/>
      <c r="N431" s="40"/>
      <c r="O431" s="47"/>
      <c r="P431" s="47"/>
      <c r="Q431" s="47"/>
      <c r="R431" s="47"/>
      <c r="S431" s="47"/>
      <c r="T431" s="47"/>
      <c r="U431" s="47"/>
      <c r="V431" s="47"/>
    </row>
    <row r="432" spans="1:22">
      <c r="A432" s="45"/>
      <c r="B432" s="41"/>
      <c r="C432" s="40"/>
      <c r="D432" s="40"/>
      <c r="E432" s="40"/>
      <c r="F432" s="40"/>
      <c r="G432" s="40"/>
      <c r="H432" s="40"/>
      <c r="I432" s="40"/>
      <c r="J432" s="40"/>
      <c r="K432" s="40"/>
      <c r="L432" s="40"/>
      <c r="M432" s="40"/>
      <c r="N432" s="40"/>
      <c r="O432" s="47"/>
      <c r="P432" s="47"/>
      <c r="Q432" s="47"/>
      <c r="R432" s="47"/>
      <c r="S432" s="47"/>
      <c r="T432" s="47"/>
      <c r="U432" s="47"/>
      <c r="V432" s="47"/>
    </row>
    <row r="433" spans="1:22">
      <c r="A433" s="45"/>
      <c r="B433" s="41"/>
      <c r="C433" s="40"/>
      <c r="D433" s="40"/>
      <c r="E433" s="40"/>
      <c r="F433" s="40"/>
      <c r="G433" s="40"/>
      <c r="H433" s="40"/>
      <c r="I433" s="40"/>
      <c r="J433" s="40"/>
      <c r="K433" s="40"/>
      <c r="L433" s="40"/>
      <c r="M433" s="40"/>
      <c r="N433" s="40"/>
      <c r="O433" s="47"/>
      <c r="P433" s="47"/>
      <c r="Q433" s="47"/>
      <c r="R433" s="47"/>
      <c r="S433" s="47"/>
      <c r="T433" s="47"/>
      <c r="U433" s="47"/>
      <c r="V433" s="47"/>
    </row>
    <row r="434" spans="1:22">
      <c r="A434" s="45"/>
      <c r="B434" s="41"/>
      <c r="C434" s="40"/>
      <c r="D434" s="40"/>
      <c r="E434" s="40"/>
      <c r="F434" s="40"/>
      <c r="G434" s="40"/>
      <c r="H434" s="40"/>
      <c r="I434" s="40"/>
      <c r="J434" s="40"/>
      <c r="K434" s="40"/>
      <c r="L434" s="40"/>
      <c r="M434" s="40"/>
      <c r="N434" s="40"/>
      <c r="O434" s="47"/>
      <c r="P434" s="47"/>
      <c r="Q434" s="47"/>
      <c r="R434" s="47"/>
      <c r="S434" s="47"/>
      <c r="T434" s="47"/>
      <c r="U434" s="47"/>
      <c r="V434" s="47"/>
    </row>
    <row r="435" spans="1:22">
      <c r="A435" s="45"/>
      <c r="B435" s="41"/>
      <c r="C435" s="40"/>
      <c r="D435" s="40"/>
      <c r="E435" s="40"/>
      <c r="F435" s="40"/>
      <c r="G435" s="40"/>
      <c r="H435" s="40"/>
      <c r="I435" s="40"/>
      <c r="J435" s="40"/>
      <c r="K435" s="40"/>
      <c r="L435" s="40"/>
      <c r="M435" s="40"/>
      <c r="N435" s="40"/>
      <c r="O435" s="47"/>
      <c r="P435" s="47"/>
      <c r="Q435" s="47"/>
      <c r="R435" s="47"/>
      <c r="S435" s="47"/>
      <c r="T435" s="47"/>
      <c r="U435" s="47"/>
      <c r="V435" s="47"/>
    </row>
    <row r="436" spans="1:22">
      <c r="A436" s="45"/>
      <c r="B436" s="41"/>
      <c r="C436" s="40"/>
      <c r="D436" s="40"/>
      <c r="E436" s="40"/>
      <c r="F436" s="40"/>
      <c r="G436" s="40"/>
      <c r="H436" s="40"/>
      <c r="I436" s="40"/>
      <c r="J436" s="40"/>
      <c r="K436" s="40"/>
      <c r="L436" s="40"/>
      <c r="M436" s="40"/>
      <c r="N436" s="40"/>
      <c r="O436" s="47"/>
      <c r="P436" s="47"/>
      <c r="Q436" s="47"/>
      <c r="R436" s="47"/>
      <c r="S436" s="47"/>
      <c r="T436" s="47"/>
      <c r="U436" s="47"/>
      <c r="V436" s="47"/>
    </row>
    <row r="437" spans="1:22">
      <c r="A437" s="45"/>
      <c r="B437" s="41"/>
      <c r="C437" s="40"/>
      <c r="D437" s="40"/>
      <c r="E437" s="40"/>
      <c r="F437" s="40"/>
      <c r="G437" s="40"/>
      <c r="H437" s="40"/>
      <c r="I437" s="40"/>
      <c r="J437" s="40"/>
      <c r="K437" s="40"/>
      <c r="L437" s="40"/>
      <c r="M437" s="40"/>
      <c r="N437" s="40"/>
      <c r="O437" s="47"/>
      <c r="P437" s="47"/>
      <c r="Q437" s="47"/>
      <c r="R437" s="47"/>
      <c r="S437" s="47"/>
      <c r="T437" s="47"/>
      <c r="U437" s="47"/>
      <c r="V437" s="47"/>
    </row>
    <row r="438" spans="1:22">
      <c r="A438" s="45"/>
      <c r="B438" s="41"/>
      <c r="C438" s="40"/>
      <c r="D438" s="40"/>
      <c r="E438" s="40"/>
      <c r="F438" s="40"/>
      <c r="G438" s="40"/>
      <c r="H438" s="40"/>
      <c r="I438" s="40"/>
      <c r="J438" s="40"/>
      <c r="K438" s="40"/>
      <c r="L438" s="40"/>
      <c r="M438" s="40"/>
      <c r="N438" s="40"/>
      <c r="O438" s="47"/>
      <c r="P438" s="47"/>
      <c r="Q438" s="47"/>
      <c r="R438" s="47"/>
      <c r="S438" s="47"/>
      <c r="T438" s="47"/>
      <c r="U438" s="47"/>
      <c r="V438" s="47"/>
    </row>
    <row r="439" spans="1:22">
      <c r="A439" s="45"/>
      <c r="B439" s="41"/>
      <c r="C439" s="40"/>
      <c r="D439" s="40"/>
      <c r="E439" s="40"/>
      <c r="F439" s="40"/>
      <c r="G439" s="40"/>
      <c r="H439" s="40"/>
      <c r="I439" s="40"/>
      <c r="J439" s="40"/>
      <c r="K439" s="40"/>
      <c r="L439" s="40"/>
      <c r="M439" s="40"/>
      <c r="N439" s="40"/>
      <c r="O439" s="47"/>
      <c r="P439" s="47"/>
      <c r="Q439" s="47"/>
      <c r="R439" s="47"/>
      <c r="S439" s="47"/>
      <c r="T439" s="47"/>
      <c r="U439" s="47"/>
      <c r="V439" s="47"/>
    </row>
    <row r="440" spans="1:22">
      <c r="A440" s="45"/>
      <c r="B440" s="41"/>
      <c r="C440" s="40"/>
      <c r="D440" s="40"/>
      <c r="E440" s="40"/>
      <c r="F440" s="40"/>
      <c r="G440" s="40"/>
      <c r="H440" s="40"/>
      <c r="I440" s="40"/>
      <c r="J440" s="40"/>
      <c r="K440" s="40"/>
      <c r="L440" s="40"/>
      <c r="M440" s="40"/>
      <c r="N440" s="40"/>
      <c r="O440" s="47"/>
      <c r="P440" s="47"/>
      <c r="Q440" s="47"/>
      <c r="R440" s="47"/>
      <c r="S440" s="47"/>
      <c r="T440" s="47"/>
      <c r="U440" s="47"/>
      <c r="V440" s="47"/>
    </row>
    <row r="441" spans="1:22">
      <c r="A441" s="45"/>
      <c r="B441" s="41"/>
      <c r="C441" s="40"/>
      <c r="D441" s="40"/>
      <c r="E441" s="40"/>
      <c r="F441" s="40"/>
      <c r="G441" s="40"/>
      <c r="H441" s="40"/>
      <c r="I441" s="40"/>
      <c r="J441" s="40"/>
      <c r="K441" s="40"/>
      <c r="L441" s="40"/>
      <c r="M441" s="40"/>
      <c r="N441" s="40"/>
      <c r="O441" s="47"/>
      <c r="P441" s="47"/>
      <c r="Q441" s="47"/>
      <c r="R441" s="47"/>
      <c r="S441" s="47"/>
      <c r="T441" s="47"/>
      <c r="U441" s="47"/>
      <c r="V441" s="47"/>
    </row>
    <row r="442" spans="1:22">
      <c r="A442" s="45"/>
      <c r="B442" s="41"/>
      <c r="C442" s="40"/>
      <c r="D442" s="40"/>
      <c r="E442" s="40"/>
      <c r="F442" s="40"/>
      <c r="G442" s="40"/>
      <c r="H442" s="40"/>
      <c r="I442" s="40"/>
      <c r="J442" s="40"/>
      <c r="K442" s="40"/>
      <c r="L442" s="40"/>
      <c r="M442" s="40"/>
      <c r="N442" s="40"/>
      <c r="O442" s="47"/>
      <c r="P442" s="47"/>
      <c r="Q442" s="47"/>
      <c r="R442" s="47"/>
      <c r="S442" s="47"/>
      <c r="T442" s="47"/>
      <c r="U442" s="47"/>
      <c r="V442" s="47"/>
    </row>
    <row r="443" spans="1:22">
      <c r="A443" s="45"/>
      <c r="B443" s="41"/>
      <c r="C443" s="40"/>
      <c r="D443" s="40"/>
      <c r="E443" s="40"/>
      <c r="F443" s="40"/>
      <c r="G443" s="40"/>
      <c r="H443" s="40"/>
      <c r="I443" s="40"/>
      <c r="J443" s="40"/>
      <c r="K443" s="40"/>
      <c r="L443" s="40"/>
      <c r="M443" s="40"/>
      <c r="N443" s="40"/>
      <c r="O443" s="47"/>
      <c r="P443" s="47"/>
      <c r="Q443" s="47"/>
      <c r="R443" s="47"/>
      <c r="S443" s="47"/>
      <c r="T443" s="47"/>
      <c r="U443" s="47"/>
      <c r="V443" s="47"/>
    </row>
    <row r="444" spans="1:22">
      <c r="A444" s="45"/>
      <c r="B444" s="41"/>
      <c r="C444" s="40"/>
      <c r="D444" s="40"/>
      <c r="E444" s="40"/>
      <c r="F444" s="40"/>
      <c r="G444" s="40"/>
      <c r="H444" s="40"/>
      <c r="I444" s="40"/>
      <c r="J444" s="40"/>
      <c r="K444" s="40"/>
      <c r="L444" s="40"/>
      <c r="M444" s="40"/>
      <c r="N444" s="40"/>
      <c r="O444" s="47"/>
      <c r="P444" s="47"/>
      <c r="Q444" s="47"/>
      <c r="R444" s="47"/>
      <c r="S444" s="47"/>
      <c r="T444" s="47"/>
      <c r="U444" s="47"/>
      <c r="V444" s="47"/>
    </row>
    <row r="445" spans="1:22">
      <c r="A445" s="45"/>
      <c r="B445" s="41"/>
      <c r="C445" s="40"/>
      <c r="D445" s="40"/>
      <c r="E445" s="40"/>
      <c r="F445" s="40"/>
      <c r="G445" s="40"/>
      <c r="H445" s="40"/>
      <c r="I445" s="40"/>
      <c r="J445" s="40"/>
      <c r="K445" s="40"/>
      <c r="L445" s="40"/>
      <c r="M445" s="40"/>
      <c r="N445" s="40"/>
      <c r="O445" s="47"/>
      <c r="P445" s="47"/>
      <c r="Q445" s="47"/>
      <c r="R445" s="47"/>
      <c r="S445" s="47"/>
      <c r="T445" s="47"/>
      <c r="U445" s="47"/>
      <c r="V445" s="47"/>
    </row>
    <row r="446" spans="1:22">
      <c r="A446" s="45"/>
      <c r="B446" s="41"/>
      <c r="C446" s="40"/>
      <c r="D446" s="40"/>
      <c r="E446" s="40"/>
      <c r="F446" s="40"/>
      <c r="G446" s="40"/>
      <c r="H446" s="40"/>
      <c r="I446" s="40"/>
      <c r="J446" s="40"/>
      <c r="K446" s="40"/>
      <c r="L446" s="40"/>
      <c r="M446" s="40"/>
      <c r="N446" s="40"/>
      <c r="O446" s="47"/>
      <c r="P446" s="47"/>
      <c r="Q446" s="47"/>
      <c r="R446" s="47"/>
      <c r="S446" s="47"/>
      <c r="T446" s="47"/>
      <c r="U446" s="47"/>
      <c r="V446" s="47"/>
    </row>
    <row r="447" spans="1:22">
      <c r="A447" s="45"/>
      <c r="B447" s="41"/>
      <c r="C447" s="40"/>
      <c r="D447" s="40"/>
      <c r="E447" s="40"/>
      <c r="F447" s="40"/>
      <c r="G447" s="40"/>
      <c r="H447" s="40"/>
      <c r="I447" s="40"/>
      <c r="J447" s="40"/>
      <c r="K447" s="40"/>
      <c r="L447" s="40"/>
      <c r="M447" s="40"/>
      <c r="N447" s="40"/>
      <c r="O447" s="47"/>
      <c r="P447" s="47"/>
      <c r="Q447" s="47"/>
      <c r="R447" s="47"/>
      <c r="S447" s="47"/>
      <c r="T447" s="47"/>
      <c r="U447" s="47"/>
      <c r="V447" s="47"/>
    </row>
    <row r="448" spans="1:22">
      <c r="A448" s="45"/>
      <c r="B448" s="41"/>
      <c r="C448" s="40"/>
      <c r="D448" s="40"/>
      <c r="E448" s="40"/>
      <c r="F448" s="40"/>
      <c r="G448" s="40"/>
      <c r="H448" s="40"/>
      <c r="I448" s="40"/>
      <c r="J448" s="40"/>
      <c r="K448" s="40"/>
      <c r="L448" s="40"/>
      <c r="M448" s="40"/>
      <c r="N448" s="40"/>
      <c r="O448" s="47"/>
      <c r="P448" s="47"/>
      <c r="Q448" s="47"/>
      <c r="R448" s="47"/>
      <c r="S448" s="47"/>
      <c r="T448" s="47"/>
      <c r="U448" s="47"/>
      <c r="V448" s="47"/>
    </row>
    <row r="449" spans="1:22">
      <c r="A449" s="45"/>
      <c r="B449" s="41"/>
      <c r="C449" s="40"/>
      <c r="D449" s="40"/>
      <c r="E449" s="40"/>
      <c r="F449" s="40"/>
      <c r="G449" s="40"/>
      <c r="H449" s="40"/>
      <c r="I449" s="40"/>
      <c r="J449" s="40"/>
      <c r="K449" s="40"/>
      <c r="L449" s="40"/>
      <c r="M449" s="40"/>
      <c r="N449" s="40"/>
      <c r="O449" s="47"/>
      <c r="P449" s="47"/>
      <c r="Q449" s="47"/>
      <c r="R449" s="47"/>
      <c r="S449" s="47"/>
      <c r="T449" s="47"/>
      <c r="U449" s="47"/>
      <c r="V449" s="47"/>
    </row>
    <row r="450" spans="1:22">
      <c r="A450" s="45"/>
      <c r="B450" s="41"/>
      <c r="C450" s="40"/>
      <c r="D450" s="40"/>
      <c r="E450" s="40"/>
      <c r="F450" s="40"/>
      <c r="G450" s="40"/>
      <c r="H450" s="40"/>
      <c r="I450" s="40"/>
      <c r="J450" s="40"/>
      <c r="K450" s="40"/>
      <c r="L450" s="40"/>
      <c r="M450" s="40"/>
      <c r="N450" s="40"/>
      <c r="O450" s="47"/>
      <c r="P450" s="47"/>
      <c r="Q450" s="47"/>
      <c r="R450" s="47"/>
      <c r="S450" s="47"/>
      <c r="T450" s="47"/>
      <c r="U450" s="47"/>
      <c r="V450" s="47"/>
    </row>
    <row r="451" spans="1:22">
      <c r="A451" s="45"/>
      <c r="B451" s="41"/>
      <c r="C451" s="40"/>
      <c r="D451" s="40"/>
      <c r="E451" s="40"/>
      <c r="F451" s="40"/>
      <c r="G451" s="40"/>
      <c r="H451" s="40"/>
      <c r="I451" s="40"/>
      <c r="J451" s="40"/>
      <c r="K451" s="40"/>
      <c r="L451" s="40"/>
      <c r="M451" s="40"/>
      <c r="N451" s="40"/>
      <c r="O451" s="47"/>
      <c r="P451" s="47"/>
      <c r="Q451" s="47"/>
      <c r="R451" s="47"/>
      <c r="S451" s="47"/>
      <c r="T451" s="47"/>
      <c r="U451" s="47"/>
      <c r="V451" s="47"/>
    </row>
    <row r="452" spans="1:22">
      <c r="A452" s="45"/>
      <c r="B452" s="41"/>
      <c r="C452" s="40"/>
      <c r="D452" s="40"/>
      <c r="E452" s="40"/>
      <c r="F452" s="40"/>
      <c r="G452" s="40"/>
      <c r="H452" s="40"/>
      <c r="I452" s="40"/>
      <c r="J452" s="40"/>
      <c r="K452" s="40"/>
      <c r="L452" s="40"/>
      <c r="M452" s="40"/>
      <c r="N452" s="40"/>
      <c r="O452" s="47"/>
      <c r="P452" s="47"/>
      <c r="Q452" s="47"/>
      <c r="R452" s="47"/>
      <c r="S452" s="47"/>
      <c r="T452" s="47"/>
      <c r="U452" s="47"/>
      <c r="V452" s="47"/>
    </row>
    <row r="453" spans="1:22">
      <c r="A453" s="45"/>
      <c r="B453" s="41"/>
      <c r="C453" s="40"/>
      <c r="D453" s="40"/>
      <c r="E453" s="40"/>
      <c r="F453" s="40"/>
      <c r="G453" s="40"/>
      <c r="H453" s="40"/>
      <c r="I453" s="40"/>
      <c r="J453" s="40"/>
      <c r="K453" s="40"/>
      <c r="L453" s="40"/>
      <c r="M453" s="40"/>
      <c r="N453" s="40"/>
      <c r="O453" s="47"/>
      <c r="P453" s="47"/>
      <c r="Q453" s="47"/>
      <c r="R453" s="47"/>
      <c r="S453" s="47"/>
      <c r="T453" s="47"/>
      <c r="U453" s="47"/>
      <c r="V453" s="47"/>
    </row>
    <row r="454" spans="1:22">
      <c r="A454" s="45"/>
      <c r="B454" s="41"/>
      <c r="C454" s="40"/>
      <c r="D454" s="40"/>
      <c r="E454" s="40"/>
      <c r="F454" s="40"/>
      <c r="G454" s="40"/>
      <c r="H454" s="40"/>
      <c r="I454" s="40"/>
      <c r="J454" s="40"/>
      <c r="K454" s="40"/>
      <c r="L454" s="40"/>
      <c r="M454" s="40"/>
      <c r="N454" s="40"/>
      <c r="O454" s="47"/>
      <c r="P454" s="47"/>
      <c r="Q454" s="47"/>
      <c r="R454" s="47"/>
      <c r="S454" s="47"/>
      <c r="T454" s="47"/>
      <c r="U454" s="47"/>
      <c r="V454" s="47"/>
    </row>
    <row r="455" spans="1:22">
      <c r="A455" s="45"/>
      <c r="B455" s="41"/>
      <c r="C455" s="40"/>
      <c r="D455" s="40"/>
      <c r="E455" s="40"/>
      <c r="F455" s="40"/>
      <c r="G455" s="40"/>
      <c r="H455" s="40"/>
      <c r="I455" s="40"/>
      <c r="J455" s="40"/>
      <c r="K455" s="40"/>
      <c r="L455" s="40"/>
      <c r="M455" s="40"/>
      <c r="N455" s="40"/>
      <c r="O455" s="47"/>
      <c r="P455" s="47"/>
      <c r="Q455" s="47"/>
      <c r="R455" s="47"/>
      <c r="S455" s="47"/>
      <c r="T455" s="47"/>
      <c r="U455" s="47"/>
      <c r="V455" s="47"/>
    </row>
    <row r="456" spans="1:22">
      <c r="A456" s="45"/>
      <c r="B456" s="41"/>
      <c r="C456" s="40"/>
      <c r="D456" s="40"/>
      <c r="E456" s="40"/>
      <c r="F456" s="40"/>
      <c r="G456" s="40"/>
      <c r="H456" s="40"/>
      <c r="I456" s="40"/>
      <c r="J456" s="40"/>
      <c r="K456" s="40"/>
      <c r="L456" s="40"/>
      <c r="M456" s="40"/>
      <c r="N456" s="40"/>
      <c r="O456" s="47"/>
      <c r="P456" s="47"/>
      <c r="Q456" s="47"/>
      <c r="R456" s="47"/>
      <c r="S456" s="47"/>
      <c r="T456" s="47"/>
      <c r="U456" s="47"/>
      <c r="V456" s="47"/>
    </row>
    <row r="457" spans="1:22">
      <c r="A457" s="45"/>
      <c r="B457" s="41"/>
      <c r="C457" s="40"/>
      <c r="D457" s="40"/>
      <c r="E457" s="40"/>
      <c r="F457" s="40"/>
      <c r="G457" s="40"/>
      <c r="H457" s="40"/>
      <c r="I457" s="40"/>
      <c r="J457" s="40"/>
      <c r="K457" s="40"/>
      <c r="L457" s="40"/>
      <c r="M457" s="40"/>
      <c r="N457" s="40"/>
      <c r="O457" s="47"/>
      <c r="P457" s="47"/>
      <c r="Q457" s="47"/>
      <c r="R457" s="47"/>
      <c r="S457" s="47"/>
      <c r="T457" s="47"/>
      <c r="U457" s="47"/>
      <c r="V457" s="47"/>
    </row>
    <row r="458" spans="1:22">
      <c r="A458" s="45"/>
      <c r="B458" s="41"/>
      <c r="C458" s="40"/>
      <c r="D458" s="40"/>
      <c r="E458" s="40"/>
      <c r="F458" s="40"/>
      <c r="G458" s="40"/>
      <c r="H458" s="40"/>
      <c r="I458" s="40"/>
      <c r="J458" s="40"/>
      <c r="K458" s="40"/>
      <c r="L458" s="40"/>
      <c r="M458" s="40"/>
      <c r="N458" s="40"/>
      <c r="O458" s="47"/>
      <c r="P458" s="47"/>
      <c r="Q458" s="47"/>
      <c r="R458" s="47"/>
      <c r="S458" s="47"/>
      <c r="T458" s="47"/>
      <c r="U458" s="47"/>
      <c r="V458" s="47"/>
    </row>
    <row r="459" spans="1:22">
      <c r="A459" s="45"/>
      <c r="B459" s="41"/>
      <c r="C459" s="40"/>
      <c r="D459" s="40"/>
      <c r="E459" s="40"/>
      <c r="F459" s="40"/>
      <c r="G459" s="40"/>
      <c r="H459" s="40"/>
      <c r="I459" s="40"/>
      <c r="J459" s="40"/>
      <c r="K459" s="40"/>
      <c r="L459" s="40"/>
      <c r="M459" s="40"/>
      <c r="N459" s="40"/>
      <c r="O459" s="47"/>
      <c r="P459" s="47"/>
      <c r="Q459" s="47"/>
      <c r="R459" s="47"/>
      <c r="S459" s="47"/>
      <c r="T459" s="47"/>
      <c r="U459" s="47"/>
      <c r="V459" s="47"/>
    </row>
    <row r="460" spans="1:22">
      <c r="A460" s="45"/>
      <c r="B460" s="41"/>
      <c r="C460" s="40"/>
      <c r="D460" s="40"/>
      <c r="E460" s="40"/>
      <c r="F460" s="40"/>
      <c r="G460" s="40"/>
      <c r="H460" s="40"/>
      <c r="I460" s="40"/>
      <c r="J460" s="40"/>
      <c r="K460" s="40"/>
      <c r="L460" s="40"/>
      <c r="M460" s="40"/>
      <c r="N460" s="40"/>
      <c r="O460" s="47"/>
      <c r="P460" s="47"/>
      <c r="Q460" s="47"/>
      <c r="R460" s="47"/>
      <c r="S460" s="47"/>
      <c r="T460" s="47"/>
      <c r="U460" s="47"/>
      <c r="V460" s="47"/>
    </row>
    <row r="461" spans="1:22">
      <c r="A461" s="45"/>
      <c r="B461" s="41"/>
      <c r="C461" s="40"/>
      <c r="D461" s="40"/>
      <c r="E461" s="40"/>
      <c r="F461" s="40"/>
      <c r="G461" s="40"/>
      <c r="H461" s="40"/>
      <c r="I461" s="40"/>
      <c r="J461" s="40"/>
      <c r="K461" s="40"/>
      <c r="L461" s="40"/>
      <c r="M461" s="40"/>
      <c r="N461" s="40"/>
      <c r="O461" s="47"/>
      <c r="P461" s="47"/>
      <c r="Q461" s="47"/>
      <c r="R461" s="47"/>
      <c r="S461" s="47"/>
      <c r="T461" s="47"/>
      <c r="U461" s="47"/>
      <c r="V461" s="47"/>
    </row>
    <row r="462" spans="1:22">
      <c r="A462" s="45"/>
      <c r="B462" s="41"/>
      <c r="C462" s="40"/>
      <c r="D462" s="40"/>
      <c r="E462" s="40"/>
      <c r="F462" s="40"/>
      <c r="G462" s="40"/>
      <c r="H462" s="40"/>
      <c r="I462" s="40"/>
      <c r="J462" s="40"/>
      <c r="K462" s="40"/>
      <c r="L462" s="40"/>
      <c r="M462" s="40"/>
      <c r="N462" s="40"/>
      <c r="O462" s="47"/>
      <c r="P462" s="47"/>
      <c r="Q462" s="47"/>
      <c r="R462" s="47"/>
      <c r="S462" s="47"/>
      <c r="T462" s="47"/>
      <c r="U462" s="47"/>
      <c r="V462" s="47"/>
    </row>
    <row r="463" spans="1:22">
      <c r="A463" s="45"/>
      <c r="B463" s="41"/>
      <c r="C463" s="40"/>
      <c r="D463" s="40"/>
      <c r="E463" s="40"/>
      <c r="F463" s="40"/>
      <c r="G463" s="40"/>
      <c r="H463" s="40"/>
      <c r="I463" s="40"/>
      <c r="J463" s="40"/>
      <c r="K463" s="40"/>
      <c r="L463" s="40"/>
      <c r="M463" s="40"/>
      <c r="N463" s="40"/>
      <c r="O463" s="47"/>
      <c r="P463" s="47"/>
      <c r="Q463" s="47"/>
      <c r="R463" s="47"/>
      <c r="S463" s="47"/>
      <c r="T463" s="47"/>
      <c r="U463" s="47"/>
      <c r="V463" s="47"/>
    </row>
    <row r="464" spans="1:22">
      <c r="A464" s="45"/>
      <c r="B464" s="41"/>
      <c r="C464" s="40"/>
      <c r="D464" s="40"/>
      <c r="E464" s="40"/>
      <c r="F464" s="40"/>
      <c r="G464" s="40"/>
      <c r="H464" s="40"/>
      <c r="I464" s="40"/>
      <c r="J464" s="40"/>
      <c r="K464" s="40"/>
      <c r="L464" s="40"/>
      <c r="M464" s="40"/>
      <c r="N464" s="40"/>
      <c r="O464" s="47"/>
      <c r="P464" s="47"/>
      <c r="Q464" s="47"/>
      <c r="R464" s="47"/>
      <c r="S464" s="47"/>
      <c r="T464" s="47"/>
      <c r="U464" s="47"/>
      <c r="V464" s="47"/>
    </row>
    <row r="465" spans="1:22">
      <c r="A465" s="45"/>
      <c r="B465" s="41"/>
      <c r="C465" s="40"/>
      <c r="D465" s="40"/>
      <c r="E465" s="40"/>
      <c r="F465" s="40"/>
      <c r="G465" s="40"/>
      <c r="H465" s="40"/>
      <c r="I465" s="40"/>
      <c r="J465" s="40"/>
      <c r="K465" s="40"/>
      <c r="L465" s="40"/>
      <c r="M465" s="40"/>
      <c r="N465" s="40"/>
      <c r="O465" s="47"/>
      <c r="P465" s="47"/>
      <c r="Q465" s="47"/>
      <c r="R465" s="47"/>
      <c r="S465" s="47"/>
      <c r="T465" s="47"/>
      <c r="U465" s="47"/>
      <c r="V465" s="47"/>
    </row>
    <row r="466" spans="1:22">
      <c r="A466" s="45"/>
      <c r="B466" s="41"/>
      <c r="C466" s="40"/>
      <c r="D466" s="40"/>
      <c r="E466" s="40"/>
      <c r="F466" s="40"/>
      <c r="G466" s="40"/>
      <c r="H466" s="40"/>
      <c r="I466" s="40"/>
      <c r="J466" s="40"/>
      <c r="K466" s="40"/>
      <c r="L466" s="40"/>
      <c r="M466" s="40"/>
      <c r="N466" s="40"/>
      <c r="O466" s="47"/>
      <c r="P466" s="47"/>
      <c r="Q466" s="47"/>
      <c r="R466" s="47"/>
      <c r="S466" s="47"/>
      <c r="T466" s="47"/>
      <c r="U466" s="47"/>
      <c r="V466" s="47"/>
    </row>
    <row r="467" spans="1:22">
      <c r="A467" s="45"/>
      <c r="B467" s="41"/>
      <c r="C467" s="40"/>
      <c r="D467" s="40"/>
      <c r="E467" s="40"/>
      <c r="F467" s="40"/>
      <c r="G467" s="40"/>
      <c r="H467" s="40"/>
      <c r="I467" s="40"/>
      <c r="J467" s="40"/>
      <c r="K467" s="40"/>
      <c r="L467" s="40"/>
      <c r="M467" s="40"/>
      <c r="N467" s="40"/>
      <c r="O467" s="47"/>
      <c r="P467" s="47"/>
      <c r="Q467" s="47"/>
      <c r="R467" s="47"/>
      <c r="S467" s="47"/>
      <c r="T467" s="47"/>
      <c r="U467" s="47"/>
      <c r="V467" s="47"/>
    </row>
    <row r="468" spans="1:22">
      <c r="A468" s="45"/>
      <c r="B468" s="41"/>
      <c r="C468" s="40"/>
      <c r="D468" s="40"/>
      <c r="E468" s="40"/>
      <c r="F468" s="40"/>
      <c r="G468" s="40"/>
      <c r="H468" s="40"/>
      <c r="I468" s="40"/>
      <c r="J468" s="40"/>
      <c r="K468" s="40"/>
      <c r="L468" s="40"/>
      <c r="M468" s="40"/>
      <c r="N468" s="40"/>
      <c r="O468" s="47"/>
      <c r="P468" s="47"/>
      <c r="Q468" s="47"/>
      <c r="R468" s="47"/>
      <c r="S468" s="47"/>
      <c r="T468" s="47"/>
      <c r="U468" s="47"/>
      <c r="V468" s="47"/>
    </row>
    <row r="469" spans="1:22">
      <c r="A469" s="45"/>
      <c r="B469" s="41"/>
      <c r="C469" s="40"/>
      <c r="D469" s="40"/>
      <c r="E469" s="40"/>
      <c r="F469" s="40"/>
      <c r="G469" s="40"/>
      <c r="H469" s="40"/>
      <c r="I469" s="40"/>
      <c r="J469" s="40"/>
      <c r="K469" s="40"/>
      <c r="L469" s="40"/>
      <c r="M469" s="40"/>
      <c r="N469" s="40"/>
      <c r="O469" s="47"/>
      <c r="P469" s="47"/>
      <c r="Q469" s="47"/>
      <c r="R469" s="47"/>
      <c r="S469" s="47"/>
      <c r="T469" s="47"/>
      <c r="U469" s="47"/>
      <c r="V469" s="47"/>
    </row>
    <row r="470" spans="1:22">
      <c r="A470" s="45"/>
      <c r="B470" s="41"/>
      <c r="C470" s="40"/>
      <c r="D470" s="40"/>
      <c r="E470" s="40"/>
      <c r="F470" s="40"/>
      <c r="G470" s="40"/>
      <c r="H470" s="40"/>
      <c r="I470" s="40"/>
      <c r="J470" s="40"/>
      <c r="K470" s="40"/>
      <c r="L470" s="40"/>
      <c r="M470" s="40"/>
      <c r="N470" s="40"/>
      <c r="O470" s="47"/>
      <c r="P470" s="47"/>
      <c r="Q470" s="47"/>
      <c r="R470" s="47"/>
      <c r="S470" s="47"/>
      <c r="T470" s="47"/>
      <c r="U470" s="47"/>
      <c r="V470" s="47"/>
    </row>
    <row r="471" spans="1:22">
      <c r="A471" s="45"/>
      <c r="B471" s="41"/>
      <c r="C471" s="40"/>
      <c r="D471" s="40"/>
      <c r="E471" s="40"/>
      <c r="F471" s="40"/>
      <c r="G471" s="40"/>
      <c r="H471" s="40"/>
      <c r="I471" s="40"/>
      <c r="J471" s="40"/>
      <c r="K471" s="40"/>
      <c r="L471" s="40"/>
      <c r="M471" s="40"/>
      <c r="N471" s="40"/>
      <c r="O471" s="47"/>
      <c r="P471" s="47"/>
      <c r="Q471" s="47"/>
      <c r="R471" s="47"/>
      <c r="S471" s="47"/>
      <c r="T471" s="47"/>
      <c r="U471" s="47"/>
      <c r="V471" s="47"/>
    </row>
    <row r="472" spans="1:22">
      <c r="A472" s="45"/>
      <c r="B472" s="41"/>
      <c r="C472" s="40"/>
      <c r="D472" s="40"/>
      <c r="E472" s="40"/>
      <c r="F472" s="40"/>
      <c r="G472" s="40"/>
      <c r="H472" s="40"/>
      <c r="I472" s="40"/>
      <c r="J472" s="40"/>
      <c r="K472" s="40"/>
      <c r="L472" s="40"/>
      <c r="M472" s="40"/>
      <c r="N472" s="40"/>
      <c r="O472" s="47"/>
      <c r="P472" s="47"/>
      <c r="Q472" s="47"/>
      <c r="R472" s="47"/>
      <c r="S472" s="47"/>
      <c r="T472" s="47"/>
      <c r="U472" s="47"/>
      <c r="V472" s="47"/>
    </row>
    <row r="473" spans="1:22">
      <c r="A473" s="45"/>
      <c r="B473" s="41"/>
      <c r="C473" s="40"/>
      <c r="D473" s="40"/>
      <c r="E473" s="40"/>
      <c r="F473" s="40"/>
      <c r="G473" s="40"/>
      <c r="H473" s="40"/>
      <c r="I473" s="40"/>
      <c r="J473" s="40"/>
      <c r="K473" s="40"/>
      <c r="L473" s="40"/>
      <c r="M473" s="40"/>
      <c r="N473" s="40"/>
      <c r="O473" s="47"/>
      <c r="P473" s="47"/>
      <c r="Q473" s="47"/>
      <c r="R473" s="47"/>
      <c r="S473" s="47"/>
      <c r="T473" s="47"/>
      <c r="U473" s="47"/>
      <c r="V473" s="47"/>
    </row>
    <row r="474" spans="1:22">
      <c r="A474" s="45"/>
      <c r="B474" s="41"/>
      <c r="C474" s="40"/>
      <c r="D474" s="40"/>
      <c r="E474" s="40"/>
      <c r="F474" s="40"/>
      <c r="G474" s="40"/>
      <c r="H474" s="40"/>
      <c r="I474" s="40"/>
      <c r="J474" s="40"/>
      <c r="K474" s="40"/>
      <c r="L474" s="40"/>
      <c r="M474" s="40"/>
      <c r="N474" s="40"/>
      <c r="O474" s="47"/>
      <c r="P474" s="47"/>
      <c r="Q474" s="47"/>
      <c r="R474" s="47"/>
      <c r="S474" s="47"/>
      <c r="T474" s="47"/>
      <c r="U474" s="47"/>
      <c r="V474" s="47"/>
    </row>
    <row r="475" spans="1:22">
      <c r="A475" s="45"/>
      <c r="B475" s="41"/>
      <c r="C475" s="40"/>
      <c r="D475" s="40"/>
      <c r="E475" s="40"/>
      <c r="F475" s="40"/>
      <c r="G475" s="40"/>
      <c r="H475" s="40"/>
      <c r="I475" s="40"/>
      <c r="J475" s="40"/>
      <c r="K475" s="40"/>
      <c r="L475" s="40"/>
      <c r="M475" s="40"/>
      <c r="N475" s="40"/>
      <c r="O475" s="47"/>
      <c r="P475" s="47"/>
      <c r="Q475" s="47"/>
      <c r="R475" s="47"/>
      <c r="S475" s="47"/>
      <c r="T475" s="47"/>
      <c r="U475" s="47"/>
      <c r="V475" s="47"/>
    </row>
    <row r="476" spans="1:22">
      <c r="A476" s="45"/>
      <c r="B476" s="41"/>
      <c r="C476" s="40"/>
      <c r="D476" s="40"/>
      <c r="E476" s="40"/>
      <c r="F476" s="40"/>
      <c r="G476" s="40"/>
      <c r="H476" s="40"/>
      <c r="I476" s="40"/>
      <c r="J476" s="40"/>
      <c r="K476" s="40"/>
      <c r="L476" s="40"/>
      <c r="M476" s="40"/>
      <c r="N476" s="40"/>
      <c r="O476" s="47"/>
      <c r="P476" s="47"/>
      <c r="Q476" s="47"/>
      <c r="R476" s="47"/>
      <c r="S476" s="47"/>
      <c r="T476" s="47"/>
      <c r="U476" s="47"/>
      <c r="V476" s="47"/>
    </row>
    <row r="477" spans="1:22">
      <c r="A477" s="45"/>
      <c r="B477" s="41"/>
      <c r="C477" s="40"/>
      <c r="D477" s="40"/>
      <c r="E477" s="40"/>
      <c r="F477" s="40"/>
      <c r="G477" s="40"/>
      <c r="H477" s="40"/>
      <c r="I477" s="40"/>
      <c r="J477" s="40"/>
      <c r="K477" s="40"/>
      <c r="L477" s="40"/>
      <c r="M477" s="40"/>
      <c r="N477" s="40"/>
      <c r="O477" s="47"/>
      <c r="P477" s="47"/>
      <c r="Q477" s="47"/>
      <c r="R477" s="47"/>
      <c r="S477" s="47"/>
      <c r="T477" s="47"/>
      <c r="U477" s="47"/>
      <c r="V477" s="47"/>
    </row>
    <row r="478" spans="1:22">
      <c r="A478" s="45"/>
      <c r="B478" s="41"/>
      <c r="C478" s="40"/>
      <c r="D478" s="40"/>
      <c r="E478" s="40"/>
      <c r="F478" s="40"/>
      <c r="G478" s="40"/>
      <c r="H478" s="40"/>
      <c r="I478" s="40"/>
      <c r="J478" s="40"/>
      <c r="K478" s="40"/>
      <c r="L478" s="40"/>
      <c r="M478" s="40"/>
      <c r="N478" s="40"/>
      <c r="O478" s="47"/>
      <c r="P478" s="47"/>
      <c r="Q478" s="47"/>
      <c r="R478" s="47"/>
      <c r="S478" s="47"/>
      <c r="T478" s="47"/>
      <c r="U478" s="47"/>
      <c r="V478" s="47"/>
    </row>
    <row r="479" spans="1:22">
      <c r="A479" s="45"/>
      <c r="B479" s="41"/>
      <c r="C479" s="40"/>
      <c r="D479" s="40"/>
      <c r="E479" s="40"/>
      <c r="F479" s="40"/>
      <c r="G479" s="40"/>
      <c r="H479" s="40"/>
      <c r="I479" s="40"/>
      <c r="J479" s="40"/>
      <c r="K479" s="40"/>
      <c r="L479" s="40"/>
      <c r="M479" s="40"/>
      <c r="N479" s="40"/>
      <c r="O479" s="47"/>
      <c r="P479" s="47"/>
      <c r="Q479" s="47"/>
      <c r="R479" s="47"/>
      <c r="S479" s="47"/>
      <c r="T479" s="47"/>
      <c r="U479" s="47"/>
      <c r="V479" s="47"/>
    </row>
    <row r="480" spans="1:22">
      <c r="A480" s="45"/>
      <c r="B480" s="41"/>
      <c r="C480" s="40"/>
      <c r="D480" s="40"/>
      <c r="E480" s="40"/>
      <c r="F480" s="40"/>
      <c r="G480" s="40"/>
      <c r="H480" s="40"/>
      <c r="I480" s="40"/>
      <c r="J480" s="40"/>
      <c r="K480" s="40"/>
      <c r="L480" s="40"/>
      <c r="M480" s="40"/>
      <c r="N480" s="40"/>
      <c r="O480" s="47"/>
      <c r="P480" s="47"/>
      <c r="Q480" s="47"/>
      <c r="R480" s="47"/>
      <c r="S480" s="47"/>
      <c r="T480" s="47"/>
      <c r="U480" s="47"/>
      <c r="V480" s="47"/>
    </row>
    <row r="481" spans="1:22">
      <c r="A481" s="45"/>
      <c r="B481" s="41"/>
      <c r="C481" s="40"/>
      <c r="D481" s="40"/>
      <c r="E481" s="40"/>
      <c r="F481" s="40"/>
      <c r="G481" s="40"/>
      <c r="H481" s="40"/>
      <c r="I481" s="40"/>
      <c r="J481" s="40"/>
      <c r="K481" s="40"/>
      <c r="L481" s="40"/>
      <c r="M481" s="40"/>
      <c r="N481" s="40"/>
      <c r="O481" s="47"/>
      <c r="P481" s="47"/>
      <c r="Q481" s="47"/>
      <c r="R481" s="47"/>
      <c r="S481" s="47"/>
      <c r="T481" s="47"/>
      <c r="U481" s="47"/>
      <c r="V481" s="47"/>
    </row>
    <row r="482" spans="1:22">
      <c r="A482" s="45"/>
      <c r="B482" s="41"/>
      <c r="C482" s="40"/>
      <c r="D482" s="40"/>
      <c r="E482" s="40"/>
      <c r="F482" s="40"/>
      <c r="G482" s="40"/>
      <c r="H482" s="40"/>
      <c r="I482" s="40"/>
      <c r="J482" s="40"/>
      <c r="K482" s="40"/>
      <c r="L482" s="40"/>
      <c r="M482" s="40"/>
      <c r="N482" s="40"/>
      <c r="O482" s="47"/>
      <c r="P482" s="47"/>
      <c r="Q482" s="47"/>
      <c r="R482" s="47"/>
      <c r="S482" s="47"/>
      <c r="T482" s="47"/>
      <c r="U482" s="47"/>
      <c r="V482" s="47"/>
    </row>
    <row r="483" spans="1:22">
      <c r="A483" s="45"/>
      <c r="B483" s="41"/>
      <c r="C483" s="40"/>
      <c r="D483" s="40"/>
      <c r="E483" s="40"/>
      <c r="F483" s="40"/>
      <c r="G483" s="40"/>
      <c r="H483" s="40"/>
      <c r="I483" s="40"/>
      <c r="J483" s="40"/>
      <c r="K483" s="40"/>
      <c r="L483" s="40"/>
      <c r="M483" s="40"/>
      <c r="N483" s="40"/>
      <c r="O483" s="47"/>
      <c r="P483" s="47"/>
      <c r="Q483" s="47"/>
      <c r="R483" s="47"/>
      <c r="S483" s="47"/>
      <c r="T483" s="47"/>
      <c r="U483" s="47"/>
      <c r="V483" s="47"/>
    </row>
    <row r="484" spans="1:22">
      <c r="A484" s="45"/>
      <c r="B484" s="41"/>
      <c r="C484" s="40"/>
      <c r="D484" s="40"/>
      <c r="E484" s="40"/>
      <c r="F484" s="40"/>
      <c r="G484" s="40"/>
      <c r="H484" s="40"/>
      <c r="I484" s="40"/>
      <c r="J484" s="40"/>
      <c r="K484" s="40"/>
      <c r="L484" s="40"/>
      <c r="M484" s="40"/>
      <c r="N484" s="40"/>
      <c r="O484" s="47"/>
      <c r="P484" s="47"/>
      <c r="Q484" s="47"/>
      <c r="R484" s="47"/>
      <c r="S484" s="47"/>
      <c r="T484" s="47"/>
      <c r="U484" s="47"/>
      <c r="V484" s="47"/>
    </row>
    <row r="485" spans="1:22">
      <c r="A485" s="45"/>
      <c r="B485" s="41"/>
      <c r="C485" s="40"/>
      <c r="D485" s="40"/>
      <c r="E485" s="40"/>
      <c r="F485" s="40"/>
      <c r="G485" s="40"/>
      <c r="H485" s="40"/>
      <c r="I485" s="40"/>
      <c r="J485" s="40"/>
      <c r="K485" s="40"/>
      <c r="L485" s="40"/>
      <c r="M485" s="40"/>
      <c r="N485" s="40"/>
      <c r="O485" s="47"/>
      <c r="P485" s="47"/>
      <c r="Q485" s="47"/>
      <c r="R485" s="47"/>
      <c r="S485" s="47"/>
      <c r="T485" s="47"/>
      <c r="U485" s="47"/>
      <c r="V485" s="47"/>
    </row>
    <row r="486" spans="1:22">
      <c r="A486" s="45"/>
      <c r="B486" s="41"/>
      <c r="C486" s="40"/>
      <c r="D486" s="40"/>
      <c r="E486" s="40"/>
      <c r="F486" s="40"/>
      <c r="G486" s="40"/>
      <c r="H486" s="40"/>
      <c r="I486" s="40"/>
      <c r="J486" s="40"/>
      <c r="K486" s="40"/>
      <c r="L486" s="40"/>
      <c r="M486" s="40"/>
      <c r="N486" s="40"/>
      <c r="O486" s="47"/>
      <c r="P486" s="47"/>
      <c r="Q486" s="47"/>
      <c r="R486" s="47"/>
      <c r="S486" s="47"/>
      <c r="T486" s="47"/>
      <c r="U486" s="47"/>
      <c r="V486" s="47"/>
    </row>
    <row r="487" spans="1:22">
      <c r="A487" s="45"/>
      <c r="B487" s="41"/>
      <c r="C487" s="40"/>
      <c r="D487" s="40"/>
      <c r="E487" s="40"/>
      <c r="F487" s="40"/>
      <c r="G487" s="40"/>
      <c r="H487" s="40"/>
      <c r="I487" s="40"/>
      <c r="J487" s="40"/>
      <c r="K487" s="40"/>
      <c r="L487" s="40"/>
      <c r="M487" s="40"/>
      <c r="N487" s="40"/>
      <c r="O487" s="47"/>
      <c r="P487" s="47"/>
      <c r="Q487" s="47"/>
      <c r="R487" s="47"/>
      <c r="S487" s="47"/>
      <c r="T487" s="47"/>
      <c r="U487" s="47"/>
      <c r="V487" s="47"/>
    </row>
    <row r="488" spans="1:22">
      <c r="A488" s="45"/>
      <c r="B488" s="41"/>
      <c r="C488" s="40"/>
      <c r="D488" s="40"/>
      <c r="E488" s="40"/>
      <c r="F488" s="40"/>
      <c r="G488" s="40"/>
      <c r="H488" s="40"/>
      <c r="I488" s="40"/>
      <c r="J488" s="40"/>
      <c r="K488" s="40"/>
      <c r="L488" s="40"/>
      <c r="M488" s="40"/>
      <c r="N488" s="40"/>
      <c r="O488" s="47"/>
      <c r="P488" s="47"/>
      <c r="Q488" s="47"/>
      <c r="R488" s="47"/>
      <c r="S488" s="47"/>
      <c r="T488" s="47"/>
      <c r="U488" s="47"/>
      <c r="V488" s="47"/>
    </row>
    <row r="489" spans="1:22">
      <c r="A489" s="45"/>
      <c r="B489" s="41"/>
      <c r="C489" s="40"/>
      <c r="D489" s="40"/>
      <c r="E489" s="40"/>
      <c r="F489" s="40"/>
      <c r="G489" s="40"/>
      <c r="H489" s="40"/>
      <c r="I489" s="40"/>
      <c r="J489" s="40"/>
      <c r="K489" s="40"/>
      <c r="L489" s="40"/>
      <c r="M489" s="40"/>
      <c r="N489" s="40"/>
      <c r="O489" s="47"/>
      <c r="P489" s="47"/>
      <c r="Q489" s="47"/>
      <c r="R489" s="47"/>
      <c r="S489" s="47"/>
      <c r="T489" s="47"/>
      <c r="U489" s="47"/>
      <c r="V489" s="47"/>
    </row>
    <row r="490" spans="1:22">
      <c r="A490" s="45"/>
      <c r="B490" s="41"/>
      <c r="C490" s="40"/>
      <c r="D490" s="40"/>
      <c r="E490" s="40"/>
      <c r="F490" s="40"/>
      <c r="G490" s="40"/>
      <c r="H490" s="40"/>
      <c r="I490" s="40"/>
      <c r="J490" s="40"/>
      <c r="K490" s="40"/>
      <c r="L490" s="40"/>
      <c r="M490" s="40"/>
      <c r="N490" s="40"/>
      <c r="O490" s="47"/>
      <c r="P490" s="47"/>
      <c r="Q490" s="47"/>
      <c r="R490" s="47"/>
      <c r="S490" s="47"/>
      <c r="T490" s="47"/>
      <c r="U490" s="47"/>
      <c r="V490" s="47"/>
    </row>
    <row r="491" spans="1:22">
      <c r="A491" s="45"/>
      <c r="B491" s="41"/>
      <c r="C491" s="40"/>
      <c r="D491" s="40"/>
      <c r="E491" s="40"/>
      <c r="F491" s="40"/>
      <c r="G491" s="40"/>
      <c r="H491" s="40"/>
      <c r="I491" s="40"/>
      <c r="J491" s="40"/>
      <c r="K491" s="40"/>
      <c r="L491" s="40"/>
      <c r="M491" s="40"/>
      <c r="N491" s="40"/>
      <c r="O491" s="47"/>
      <c r="P491" s="47"/>
      <c r="Q491" s="47"/>
      <c r="R491" s="47"/>
      <c r="S491" s="47"/>
      <c r="T491" s="47"/>
      <c r="U491" s="47"/>
      <c r="V491" s="47"/>
    </row>
    <row r="492" spans="1:22">
      <c r="A492" s="45"/>
      <c r="B492" s="41"/>
      <c r="C492" s="40"/>
      <c r="D492" s="40"/>
      <c r="E492" s="40"/>
      <c r="F492" s="40"/>
      <c r="G492" s="40"/>
      <c r="H492" s="40"/>
      <c r="I492" s="40"/>
      <c r="J492" s="40"/>
      <c r="K492" s="40"/>
      <c r="L492" s="40"/>
      <c r="M492" s="40"/>
      <c r="N492" s="40"/>
      <c r="O492" s="47"/>
      <c r="P492" s="47"/>
      <c r="Q492" s="47"/>
      <c r="R492" s="47"/>
      <c r="S492" s="47"/>
      <c r="T492" s="47"/>
      <c r="U492" s="47"/>
      <c r="V492" s="47"/>
    </row>
    <row r="493" spans="1:22">
      <c r="A493" s="45"/>
      <c r="B493" s="41"/>
      <c r="C493" s="40"/>
      <c r="D493" s="40"/>
      <c r="E493" s="40"/>
      <c r="F493" s="40"/>
      <c r="G493" s="40"/>
      <c r="H493" s="40"/>
      <c r="I493" s="40"/>
      <c r="J493" s="40"/>
      <c r="K493" s="40"/>
      <c r="L493" s="40"/>
      <c r="M493" s="40"/>
      <c r="N493" s="40"/>
      <c r="O493" s="47"/>
      <c r="P493" s="47"/>
      <c r="Q493" s="47"/>
      <c r="R493" s="47"/>
      <c r="S493" s="47"/>
      <c r="T493" s="47"/>
      <c r="U493" s="47"/>
      <c r="V493" s="47"/>
    </row>
    <row r="494" spans="1:22">
      <c r="A494" s="45"/>
      <c r="B494" s="41"/>
      <c r="C494" s="40"/>
      <c r="D494" s="40"/>
      <c r="E494" s="40"/>
      <c r="F494" s="40"/>
      <c r="G494" s="40"/>
      <c r="H494" s="40"/>
      <c r="I494" s="40"/>
      <c r="J494" s="40"/>
      <c r="K494" s="40"/>
      <c r="L494" s="40"/>
      <c r="M494" s="40"/>
      <c r="N494" s="40"/>
      <c r="O494" s="47"/>
      <c r="P494" s="47"/>
      <c r="Q494" s="47"/>
      <c r="R494" s="47"/>
      <c r="S494" s="47"/>
      <c r="T494" s="47"/>
      <c r="U494" s="47"/>
      <c r="V494" s="47"/>
    </row>
    <row r="495" spans="1:22">
      <c r="A495" s="45"/>
      <c r="B495" s="41"/>
      <c r="C495" s="40"/>
      <c r="D495" s="40"/>
      <c r="E495" s="40"/>
      <c r="F495" s="40"/>
      <c r="G495" s="40"/>
      <c r="H495" s="40"/>
      <c r="I495" s="40"/>
      <c r="J495" s="40"/>
      <c r="K495" s="40"/>
      <c r="L495" s="40"/>
      <c r="M495" s="40"/>
      <c r="N495" s="40"/>
      <c r="O495" s="47"/>
      <c r="P495" s="47"/>
      <c r="Q495" s="47"/>
      <c r="R495" s="47"/>
      <c r="S495" s="47"/>
      <c r="T495" s="47"/>
      <c r="U495" s="47"/>
      <c r="V495" s="47"/>
    </row>
    <row r="496" spans="1:22">
      <c r="A496" s="45"/>
      <c r="B496" s="41"/>
      <c r="C496" s="40"/>
      <c r="D496" s="40"/>
      <c r="E496" s="40"/>
      <c r="F496" s="40"/>
      <c r="G496" s="40"/>
      <c r="H496" s="40"/>
      <c r="I496" s="40"/>
      <c r="J496" s="40"/>
      <c r="K496" s="40"/>
      <c r="L496" s="40"/>
      <c r="M496" s="40"/>
      <c r="N496" s="40"/>
      <c r="O496" s="47"/>
      <c r="P496" s="47"/>
      <c r="Q496" s="47"/>
      <c r="R496" s="47"/>
      <c r="S496" s="47"/>
      <c r="T496" s="47"/>
      <c r="U496" s="47"/>
      <c r="V496" s="47"/>
    </row>
    <row r="497" spans="1:22">
      <c r="A497" s="45"/>
      <c r="B497" s="41"/>
      <c r="C497" s="40"/>
      <c r="D497" s="40"/>
      <c r="E497" s="40"/>
      <c r="F497" s="40"/>
      <c r="G497" s="40"/>
      <c r="H497" s="40"/>
      <c r="I497" s="40"/>
      <c r="J497" s="40"/>
      <c r="K497" s="40"/>
      <c r="L497" s="40"/>
      <c r="M497" s="40"/>
      <c r="N497" s="40"/>
      <c r="O497" s="47"/>
      <c r="P497" s="47"/>
      <c r="Q497" s="47"/>
      <c r="R497" s="47"/>
      <c r="S497" s="47"/>
      <c r="T497" s="47"/>
      <c r="U497" s="47"/>
      <c r="V497" s="47"/>
    </row>
    <row r="498" spans="1:22">
      <c r="A498" s="45"/>
      <c r="B498" s="41"/>
      <c r="C498" s="40"/>
      <c r="D498" s="40"/>
      <c r="E498" s="40"/>
      <c r="F498" s="40"/>
      <c r="G498" s="40"/>
      <c r="H498" s="40"/>
      <c r="I498" s="40"/>
      <c r="J498" s="40"/>
      <c r="K498" s="40"/>
      <c r="L498" s="40"/>
      <c r="M498" s="40"/>
      <c r="N498" s="40"/>
      <c r="O498" s="47"/>
      <c r="P498" s="47"/>
      <c r="Q498" s="47"/>
      <c r="R498" s="47"/>
      <c r="S498" s="47"/>
      <c r="T498" s="47"/>
      <c r="U498" s="47"/>
      <c r="V498" s="47"/>
    </row>
    <row r="499" spans="1:22">
      <c r="A499" s="45"/>
      <c r="B499" s="41"/>
      <c r="C499" s="40"/>
      <c r="D499" s="40"/>
      <c r="E499" s="40"/>
      <c r="F499" s="40"/>
      <c r="G499" s="40"/>
      <c r="H499" s="40"/>
      <c r="I499" s="40"/>
      <c r="J499" s="40"/>
      <c r="K499" s="40"/>
      <c r="L499" s="40"/>
      <c r="M499" s="40"/>
      <c r="N499" s="40"/>
      <c r="O499" s="47"/>
      <c r="P499" s="47"/>
      <c r="Q499" s="47"/>
      <c r="R499" s="47"/>
      <c r="S499" s="47"/>
      <c r="T499" s="47"/>
      <c r="U499" s="47"/>
      <c r="V499" s="47"/>
    </row>
    <row r="500" spans="1:22">
      <c r="A500" s="45"/>
      <c r="B500" s="41"/>
      <c r="C500" s="40"/>
      <c r="D500" s="40"/>
      <c r="E500" s="40"/>
      <c r="F500" s="40"/>
      <c r="G500" s="40"/>
      <c r="H500" s="40"/>
      <c r="I500" s="40"/>
      <c r="J500" s="40"/>
      <c r="K500" s="40"/>
      <c r="L500" s="40"/>
      <c r="M500" s="40"/>
      <c r="N500" s="40"/>
      <c r="O500" s="47"/>
      <c r="P500" s="47"/>
      <c r="Q500" s="47"/>
      <c r="R500" s="47"/>
      <c r="S500" s="47"/>
      <c r="T500" s="47"/>
      <c r="U500" s="47"/>
      <c r="V500" s="47"/>
    </row>
    <row r="501" spans="1:22">
      <c r="A501" s="45"/>
      <c r="B501" s="41"/>
      <c r="C501" s="40"/>
      <c r="D501" s="40"/>
      <c r="E501" s="40"/>
      <c r="F501" s="40"/>
      <c r="G501" s="40"/>
      <c r="H501" s="40"/>
      <c r="I501" s="40"/>
      <c r="J501" s="40"/>
      <c r="K501" s="40"/>
      <c r="L501" s="40"/>
      <c r="M501" s="40"/>
      <c r="N501" s="40"/>
      <c r="O501" s="47"/>
      <c r="P501" s="47"/>
      <c r="Q501" s="47"/>
      <c r="R501" s="47"/>
      <c r="S501" s="47"/>
      <c r="T501" s="47"/>
      <c r="U501" s="47"/>
      <c r="V501" s="47"/>
    </row>
    <row r="502" spans="1:22">
      <c r="A502" s="45"/>
      <c r="B502" s="41"/>
      <c r="C502" s="40"/>
      <c r="D502" s="40"/>
      <c r="E502" s="40"/>
      <c r="F502" s="40"/>
      <c r="G502" s="40"/>
      <c r="H502" s="40"/>
      <c r="I502" s="40"/>
      <c r="J502" s="40"/>
      <c r="K502" s="40"/>
      <c r="L502" s="40"/>
      <c r="M502" s="40"/>
      <c r="N502" s="40"/>
      <c r="O502" s="47"/>
      <c r="P502" s="47"/>
      <c r="Q502" s="47"/>
      <c r="R502" s="47"/>
      <c r="S502" s="47"/>
      <c r="T502" s="47"/>
      <c r="U502" s="47"/>
      <c r="V502" s="47"/>
    </row>
    <row r="503" spans="1:22">
      <c r="A503" s="45"/>
      <c r="B503" s="41"/>
      <c r="C503" s="40"/>
      <c r="D503" s="40"/>
      <c r="E503" s="40"/>
      <c r="F503" s="40"/>
      <c r="G503" s="40"/>
      <c r="H503" s="40"/>
      <c r="I503" s="40"/>
      <c r="J503" s="40"/>
      <c r="K503" s="40"/>
      <c r="L503" s="40"/>
      <c r="M503" s="40"/>
      <c r="N503" s="40"/>
      <c r="O503" s="47"/>
      <c r="P503" s="47"/>
      <c r="Q503" s="47"/>
      <c r="R503" s="47"/>
      <c r="S503" s="47"/>
      <c r="T503" s="47"/>
      <c r="U503" s="47"/>
      <c r="V503" s="47"/>
    </row>
    <row r="504" spans="1:22">
      <c r="A504" s="45"/>
      <c r="B504" s="41"/>
      <c r="C504" s="40"/>
      <c r="D504" s="40"/>
      <c r="E504" s="40"/>
      <c r="F504" s="40"/>
      <c r="G504" s="40"/>
      <c r="H504" s="40"/>
      <c r="I504" s="40"/>
      <c r="J504" s="40"/>
      <c r="K504" s="40"/>
      <c r="L504" s="40"/>
      <c r="M504" s="40"/>
      <c r="N504" s="40"/>
      <c r="O504" s="47"/>
      <c r="P504" s="47"/>
      <c r="Q504" s="47"/>
      <c r="R504" s="47"/>
      <c r="S504" s="47"/>
      <c r="T504" s="47"/>
      <c r="U504" s="47"/>
      <c r="V504" s="47"/>
    </row>
    <row r="505" spans="1:22">
      <c r="A505" s="45"/>
      <c r="B505" s="41"/>
      <c r="C505" s="40"/>
      <c r="D505" s="40"/>
      <c r="E505" s="40"/>
      <c r="F505" s="40"/>
      <c r="G505" s="40"/>
      <c r="H505" s="40"/>
      <c r="I505" s="40"/>
      <c r="J505" s="40"/>
      <c r="K505" s="40"/>
      <c r="L505" s="40"/>
      <c r="M505" s="40"/>
      <c r="N505" s="40"/>
      <c r="O505" s="47"/>
      <c r="P505" s="47"/>
      <c r="Q505" s="47"/>
      <c r="R505" s="47"/>
      <c r="S505" s="47"/>
      <c r="T505" s="47"/>
      <c r="U505" s="47"/>
      <c r="V505" s="47"/>
    </row>
    <row r="506" spans="1:22">
      <c r="A506" s="45"/>
      <c r="B506" s="41"/>
      <c r="C506" s="40"/>
      <c r="D506" s="40"/>
      <c r="E506" s="40"/>
      <c r="F506" s="40"/>
      <c r="G506" s="40"/>
      <c r="H506" s="40"/>
      <c r="I506" s="40"/>
      <c r="J506" s="40"/>
      <c r="K506" s="40"/>
      <c r="L506" s="40"/>
      <c r="M506" s="40"/>
      <c r="N506" s="40"/>
      <c r="O506" s="47"/>
      <c r="P506" s="47"/>
      <c r="Q506" s="47"/>
      <c r="R506" s="47"/>
      <c r="S506" s="47"/>
      <c r="T506" s="47"/>
      <c r="U506" s="47"/>
      <c r="V506" s="47"/>
    </row>
    <row r="507" spans="1:22">
      <c r="A507" s="45"/>
      <c r="B507" s="41"/>
      <c r="C507" s="40"/>
      <c r="D507" s="40"/>
      <c r="E507" s="40"/>
      <c r="F507" s="40"/>
      <c r="G507" s="40"/>
      <c r="H507" s="40"/>
      <c r="I507" s="40"/>
      <c r="J507" s="40"/>
      <c r="K507" s="40"/>
      <c r="L507" s="40"/>
      <c r="M507" s="40"/>
      <c r="N507" s="40"/>
      <c r="O507" s="47"/>
      <c r="P507" s="47"/>
      <c r="Q507" s="47"/>
      <c r="R507" s="47"/>
      <c r="S507" s="47"/>
      <c r="T507" s="47"/>
      <c r="U507" s="47"/>
      <c r="V507" s="47"/>
    </row>
    <row r="508" spans="1:22">
      <c r="A508" s="45"/>
      <c r="B508" s="41"/>
      <c r="C508" s="40"/>
      <c r="D508" s="40"/>
      <c r="E508" s="40"/>
      <c r="F508" s="40"/>
      <c r="G508" s="40"/>
      <c r="H508" s="40"/>
      <c r="I508" s="40"/>
      <c r="J508" s="40"/>
      <c r="K508" s="40"/>
      <c r="L508" s="40"/>
      <c r="M508" s="40"/>
      <c r="N508" s="40"/>
      <c r="O508" s="47"/>
      <c r="P508" s="47"/>
      <c r="Q508" s="47"/>
      <c r="R508" s="47"/>
      <c r="S508" s="47"/>
      <c r="T508" s="47"/>
      <c r="U508" s="47"/>
      <c r="V508" s="47"/>
    </row>
    <row r="509" spans="1:22">
      <c r="A509" s="45"/>
      <c r="B509" s="41"/>
      <c r="C509" s="40"/>
      <c r="D509" s="40"/>
      <c r="E509" s="40"/>
      <c r="F509" s="40"/>
      <c r="G509" s="40"/>
      <c r="H509" s="40"/>
      <c r="I509" s="40"/>
      <c r="J509" s="40"/>
      <c r="K509" s="40"/>
      <c r="L509" s="40"/>
      <c r="M509" s="40"/>
      <c r="N509" s="40"/>
      <c r="O509" s="47"/>
      <c r="P509" s="47"/>
      <c r="Q509" s="47"/>
      <c r="R509" s="47"/>
      <c r="S509" s="47"/>
      <c r="T509" s="47"/>
      <c r="U509" s="47"/>
      <c r="V509" s="47"/>
    </row>
    <row r="510" spans="1:22">
      <c r="A510" s="45"/>
      <c r="B510" s="41"/>
      <c r="C510" s="40"/>
      <c r="D510" s="40"/>
      <c r="E510" s="40"/>
      <c r="F510" s="40"/>
      <c r="G510" s="40"/>
      <c r="H510" s="40"/>
      <c r="I510" s="40"/>
      <c r="J510" s="40"/>
      <c r="K510" s="40"/>
      <c r="L510" s="40"/>
      <c r="M510" s="40"/>
      <c r="N510" s="40"/>
      <c r="O510" s="47"/>
      <c r="P510" s="47"/>
      <c r="Q510" s="47"/>
      <c r="R510" s="47"/>
      <c r="S510" s="47"/>
      <c r="T510" s="47"/>
      <c r="U510" s="47"/>
      <c r="V510" s="47"/>
    </row>
    <row r="511" spans="1:22">
      <c r="A511" s="45"/>
      <c r="B511" s="41"/>
      <c r="C511" s="40"/>
      <c r="D511" s="40"/>
      <c r="E511" s="40"/>
      <c r="F511" s="40"/>
      <c r="G511" s="40"/>
      <c r="H511" s="40"/>
      <c r="I511" s="40"/>
      <c r="J511" s="40"/>
      <c r="K511" s="40"/>
      <c r="L511" s="40"/>
      <c r="M511" s="40"/>
      <c r="N511" s="40"/>
      <c r="O511" s="47"/>
      <c r="P511" s="47"/>
      <c r="Q511" s="47"/>
      <c r="R511" s="47"/>
      <c r="S511" s="47"/>
      <c r="T511" s="47"/>
      <c r="U511" s="47"/>
      <c r="V511" s="47"/>
    </row>
    <row r="512" spans="1:22">
      <c r="A512" s="45"/>
      <c r="B512" s="41"/>
      <c r="C512" s="40"/>
      <c r="D512" s="40"/>
      <c r="E512" s="40"/>
      <c r="F512" s="40"/>
      <c r="G512" s="40"/>
      <c r="H512" s="40"/>
      <c r="I512" s="40"/>
      <c r="J512" s="40"/>
      <c r="K512" s="40"/>
      <c r="L512" s="40"/>
      <c r="M512" s="40"/>
      <c r="N512" s="40"/>
      <c r="O512" s="47"/>
      <c r="P512" s="47"/>
      <c r="Q512" s="47"/>
      <c r="R512" s="47"/>
      <c r="S512" s="47"/>
      <c r="T512" s="47"/>
      <c r="U512" s="47"/>
      <c r="V512" s="47"/>
    </row>
    <row r="513" spans="1:22">
      <c r="A513" s="45"/>
      <c r="B513" s="41"/>
      <c r="C513" s="40"/>
      <c r="D513" s="40"/>
      <c r="E513" s="40"/>
      <c r="F513" s="40"/>
      <c r="G513" s="40"/>
      <c r="H513" s="40"/>
      <c r="I513" s="40"/>
      <c r="J513" s="40"/>
      <c r="K513" s="40"/>
      <c r="L513" s="40"/>
      <c r="M513" s="40"/>
      <c r="N513" s="40"/>
      <c r="O513" s="47"/>
      <c r="P513" s="47"/>
      <c r="Q513" s="47"/>
      <c r="R513" s="47"/>
      <c r="S513" s="47"/>
      <c r="T513" s="47"/>
      <c r="U513" s="47"/>
      <c r="V513" s="47"/>
    </row>
    <row r="514" spans="1:22">
      <c r="A514" s="45"/>
      <c r="B514" s="41"/>
      <c r="C514" s="40"/>
      <c r="D514" s="40"/>
      <c r="E514" s="40"/>
      <c r="F514" s="40"/>
      <c r="G514" s="40"/>
      <c r="H514" s="40"/>
      <c r="I514" s="40"/>
      <c r="J514" s="40"/>
      <c r="K514" s="40"/>
      <c r="L514" s="40"/>
      <c r="M514" s="40"/>
      <c r="N514" s="40"/>
      <c r="O514" s="47"/>
      <c r="P514" s="47"/>
      <c r="Q514" s="47"/>
      <c r="R514" s="47"/>
      <c r="S514" s="47"/>
      <c r="T514" s="47"/>
      <c r="U514" s="47"/>
      <c r="V514" s="47"/>
    </row>
    <row r="515" spans="1:22">
      <c r="A515" s="45"/>
      <c r="B515" s="41"/>
      <c r="C515" s="40"/>
      <c r="D515" s="40"/>
      <c r="E515" s="40"/>
      <c r="F515" s="40"/>
      <c r="G515" s="40"/>
      <c r="H515" s="40"/>
      <c r="I515" s="40"/>
      <c r="J515" s="40"/>
      <c r="K515" s="40"/>
      <c r="L515" s="40"/>
      <c r="M515" s="40"/>
      <c r="N515" s="40"/>
      <c r="O515" s="47"/>
      <c r="P515" s="47"/>
      <c r="Q515" s="47"/>
      <c r="R515" s="47"/>
      <c r="S515" s="47"/>
      <c r="T515" s="47"/>
      <c r="U515" s="47"/>
      <c r="V515" s="47"/>
    </row>
    <row r="516" spans="1:22">
      <c r="A516" s="45"/>
      <c r="B516" s="41"/>
      <c r="C516" s="40"/>
      <c r="D516" s="40"/>
      <c r="E516" s="40"/>
      <c r="F516" s="40"/>
      <c r="G516" s="40"/>
      <c r="H516" s="40"/>
      <c r="I516" s="40"/>
      <c r="J516" s="40"/>
      <c r="K516" s="40"/>
      <c r="L516" s="40"/>
      <c r="M516" s="40"/>
      <c r="N516" s="40"/>
      <c r="O516" s="47"/>
      <c r="P516" s="47"/>
      <c r="Q516" s="47"/>
      <c r="R516" s="47"/>
      <c r="S516" s="47"/>
      <c r="T516" s="47"/>
      <c r="U516" s="47"/>
      <c r="V516" s="47"/>
    </row>
    <row r="517" spans="1:22">
      <c r="A517" s="45"/>
      <c r="B517" s="41"/>
      <c r="C517" s="40"/>
      <c r="D517" s="40"/>
      <c r="E517" s="40"/>
      <c r="F517" s="40"/>
      <c r="G517" s="40"/>
      <c r="H517" s="40"/>
      <c r="I517" s="40"/>
      <c r="J517" s="40"/>
      <c r="K517" s="40"/>
      <c r="L517" s="40"/>
      <c r="M517" s="40"/>
      <c r="N517" s="40"/>
      <c r="O517" s="47"/>
      <c r="P517" s="47"/>
      <c r="Q517" s="47"/>
      <c r="R517" s="47"/>
      <c r="S517" s="47"/>
      <c r="T517" s="47"/>
      <c r="U517" s="47"/>
      <c r="V517" s="47"/>
    </row>
    <row r="518" spans="1:22">
      <c r="A518" s="45"/>
      <c r="B518" s="41"/>
      <c r="C518" s="40"/>
      <c r="D518" s="40"/>
      <c r="E518" s="40"/>
      <c r="F518" s="40"/>
      <c r="G518" s="40"/>
      <c r="H518" s="40"/>
      <c r="I518" s="40"/>
      <c r="J518" s="40"/>
      <c r="K518" s="40"/>
      <c r="L518" s="40"/>
      <c r="M518" s="40"/>
      <c r="N518" s="40"/>
      <c r="O518" s="47"/>
      <c r="P518" s="47"/>
      <c r="Q518" s="47"/>
      <c r="R518" s="47"/>
      <c r="S518" s="47"/>
      <c r="T518" s="47"/>
      <c r="U518" s="47"/>
      <c r="V518" s="47"/>
    </row>
    <row r="519" spans="1:22">
      <c r="A519" s="45"/>
      <c r="B519" s="41"/>
      <c r="C519" s="40"/>
      <c r="D519" s="40"/>
      <c r="E519" s="40"/>
      <c r="F519" s="40"/>
      <c r="G519" s="40"/>
      <c r="H519" s="40"/>
      <c r="I519" s="40"/>
      <c r="J519" s="40"/>
      <c r="K519" s="40"/>
      <c r="L519" s="40"/>
      <c r="M519" s="40"/>
      <c r="N519" s="40"/>
      <c r="O519" s="47"/>
      <c r="P519" s="47"/>
      <c r="Q519" s="47"/>
      <c r="R519" s="47"/>
      <c r="S519" s="47"/>
      <c r="T519" s="47"/>
      <c r="U519" s="47"/>
      <c r="V519" s="47"/>
    </row>
    <row r="520" spans="1:22">
      <c r="A520" s="45"/>
      <c r="B520" s="41"/>
      <c r="C520" s="40"/>
      <c r="D520" s="40"/>
      <c r="E520" s="40"/>
      <c r="F520" s="40"/>
      <c r="G520" s="40"/>
      <c r="H520" s="40"/>
      <c r="I520" s="40"/>
      <c r="J520" s="40"/>
      <c r="K520" s="40"/>
      <c r="L520" s="40"/>
      <c r="M520" s="40"/>
      <c r="N520" s="40"/>
      <c r="O520" s="47"/>
      <c r="P520" s="47"/>
      <c r="Q520" s="47"/>
      <c r="R520" s="47"/>
      <c r="S520" s="47"/>
      <c r="T520" s="47"/>
      <c r="U520" s="47"/>
      <c r="V520" s="47"/>
    </row>
    <row r="521" spans="1:22">
      <c r="A521" s="45"/>
      <c r="B521" s="41"/>
      <c r="C521" s="40"/>
      <c r="D521" s="40"/>
      <c r="E521" s="40"/>
      <c r="F521" s="40"/>
      <c r="G521" s="40"/>
      <c r="H521" s="40"/>
      <c r="I521" s="40"/>
      <c r="J521" s="40"/>
      <c r="K521" s="40"/>
      <c r="L521" s="40"/>
      <c r="M521" s="40"/>
      <c r="N521" s="40"/>
      <c r="O521" s="47"/>
      <c r="P521" s="47"/>
      <c r="Q521" s="47"/>
      <c r="R521" s="47"/>
      <c r="S521" s="47"/>
      <c r="T521" s="47"/>
      <c r="U521" s="47"/>
      <c r="V521" s="47"/>
    </row>
    <row r="522" spans="1:22">
      <c r="A522" s="45"/>
      <c r="B522" s="41"/>
      <c r="C522" s="40"/>
      <c r="D522" s="40"/>
      <c r="E522" s="40"/>
      <c r="F522" s="40"/>
      <c r="G522" s="40"/>
      <c r="H522" s="40"/>
      <c r="I522" s="40"/>
      <c r="J522" s="40"/>
      <c r="K522" s="40"/>
      <c r="L522" s="40"/>
      <c r="M522" s="40"/>
      <c r="N522" s="40"/>
      <c r="O522" s="47"/>
      <c r="P522" s="47"/>
      <c r="Q522" s="47"/>
      <c r="R522" s="47"/>
      <c r="S522" s="47"/>
      <c r="T522" s="47"/>
      <c r="U522" s="47"/>
      <c r="V522" s="47"/>
    </row>
    <row r="523" spans="1:22">
      <c r="A523" s="45"/>
      <c r="B523" s="41"/>
      <c r="C523" s="40"/>
      <c r="D523" s="40"/>
      <c r="E523" s="40"/>
      <c r="F523" s="40"/>
      <c r="G523" s="40"/>
      <c r="H523" s="40"/>
      <c r="I523" s="40"/>
      <c r="J523" s="40"/>
      <c r="K523" s="40"/>
      <c r="L523" s="40"/>
      <c r="M523" s="40"/>
      <c r="N523" s="40"/>
      <c r="O523" s="47"/>
      <c r="P523" s="47"/>
      <c r="Q523" s="47"/>
      <c r="R523" s="47"/>
      <c r="S523" s="47"/>
      <c r="T523" s="47"/>
      <c r="U523" s="47"/>
      <c r="V523" s="47"/>
    </row>
    <row r="524" spans="1:22">
      <c r="A524" s="45"/>
      <c r="B524" s="41"/>
      <c r="C524" s="40"/>
      <c r="D524" s="40"/>
      <c r="E524" s="40"/>
      <c r="F524" s="40"/>
      <c r="G524" s="40"/>
      <c r="H524" s="40"/>
      <c r="I524" s="40"/>
      <c r="J524" s="40"/>
      <c r="K524" s="40"/>
      <c r="L524" s="40"/>
      <c r="M524" s="40"/>
      <c r="N524" s="40"/>
      <c r="O524" s="47"/>
      <c r="P524" s="47"/>
      <c r="Q524" s="47"/>
      <c r="R524" s="47"/>
      <c r="S524" s="47"/>
      <c r="T524" s="47"/>
      <c r="U524" s="47"/>
      <c r="V524" s="47"/>
    </row>
    <row r="525" spans="1:22">
      <c r="A525" s="45"/>
      <c r="B525" s="41"/>
      <c r="C525" s="40"/>
      <c r="D525" s="40"/>
      <c r="E525" s="40"/>
      <c r="F525" s="40"/>
      <c r="G525" s="40"/>
      <c r="H525" s="40"/>
      <c r="I525" s="40"/>
      <c r="J525" s="40"/>
      <c r="K525" s="40"/>
      <c r="L525" s="40"/>
      <c r="M525" s="40"/>
      <c r="N525" s="40"/>
      <c r="O525" s="47"/>
      <c r="P525" s="47"/>
      <c r="Q525" s="47"/>
      <c r="R525" s="47"/>
      <c r="S525" s="47"/>
      <c r="T525" s="47"/>
      <c r="U525" s="47"/>
      <c r="V525" s="47"/>
    </row>
    <row r="526" spans="1:22">
      <c r="A526" s="45"/>
      <c r="B526" s="41"/>
      <c r="C526" s="40"/>
      <c r="D526" s="40"/>
      <c r="E526" s="40"/>
      <c r="F526" s="40"/>
      <c r="G526" s="40"/>
      <c r="H526" s="40"/>
      <c r="I526" s="40"/>
      <c r="J526" s="40"/>
      <c r="K526" s="40"/>
      <c r="L526" s="40"/>
      <c r="M526" s="40"/>
      <c r="N526" s="40"/>
      <c r="O526" s="47"/>
      <c r="P526" s="47"/>
      <c r="Q526" s="47"/>
      <c r="R526" s="47"/>
      <c r="S526" s="47"/>
      <c r="T526" s="47"/>
      <c r="U526" s="47"/>
      <c r="V526" s="47"/>
    </row>
    <row r="527" spans="1:22">
      <c r="A527" s="45"/>
      <c r="B527" s="41"/>
      <c r="C527" s="40"/>
      <c r="D527" s="40"/>
      <c r="E527" s="40"/>
      <c r="F527" s="40"/>
      <c r="G527" s="40"/>
      <c r="H527" s="40"/>
      <c r="I527" s="40"/>
      <c r="J527" s="40"/>
      <c r="K527" s="40"/>
      <c r="L527" s="40"/>
      <c r="M527" s="40"/>
      <c r="N527" s="40"/>
      <c r="O527" s="47"/>
      <c r="P527" s="47"/>
      <c r="Q527" s="47"/>
      <c r="R527" s="47"/>
      <c r="S527" s="47"/>
      <c r="T527" s="47"/>
      <c r="U527" s="47"/>
      <c r="V527" s="47"/>
    </row>
    <row r="528" spans="1:22">
      <c r="A528" s="45"/>
      <c r="B528" s="41"/>
      <c r="C528" s="40"/>
      <c r="D528" s="40"/>
      <c r="E528" s="40"/>
      <c r="F528" s="40"/>
      <c r="G528" s="40"/>
      <c r="H528" s="40"/>
      <c r="I528" s="40"/>
      <c r="J528" s="40"/>
      <c r="K528" s="40"/>
      <c r="L528" s="40"/>
      <c r="M528" s="40"/>
      <c r="N528" s="40"/>
      <c r="O528" s="47"/>
      <c r="P528" s="47"/>
      <c r="Q528" s="47"/>
      <c r="R528" s="47"/>
      <c r="S528" s="47"/>
      <c r="T528" s="47"/>
      <c r="U528" s="47"/>
      <c r="V528" s="47"/>
    </row>
    <row r="529" spans="1:22">
      <c r="A529" s="45"/>
      <c r="B529" s="41"/>
      <c r="C529" s="40"/>
      <c r="D529" s="40"/>
      <c r="E529" s="40"/>
      <c r="F529" s="40"/>
      <c r="G529" s="40"/>
      <c r="H529" s="40"/>
      <c r="I529" s="40"/>
      <c r="J529" s="40"/>
      <c r="K529" s="40"/>
      <c r="L529" s="40"/>
      <c r="M529" s="40"/>
      <c r="N529" s="40"/>
      <c r="O529" s="47"/>
      <c r="P529" s="47"/>
      <c r="Q529" s="47"/>
      <c r="R529" s="47"/>
      <c r="S529" s="47"/>
      <c r="T529" s="47"/>
      <c r="U529" s="47"/>
      <c r="V529" s="47"/>
    </row>
    <row r="530" spans="1:22">
      <c r="A530" s="45"/>
      <c r="B530" s="41"/>
      <c r="C530" s="40"/>
      <c r="D530" s="40"/>
      <c r="E530" s="40"/>
      <c r="F530" s="40"/>
      <c r="G530" s="40"/>
      <c r="H530" s="40"/>
      <c r="I530" s="40"/>
      <c r="J530" s="40"/>
      <c r="K530" s="40"/>
      <c r="L530" s="40"/>
      <c r="M530" s="40"/>
      <c r="N530" s="40"/>
      <c r="O530" s="47"/>
      <c r="P530" s="47"/>
      <c r="Q530" s="47"/>
      <c r="R530" s="47"/>
      <c r="S530" s="47"/>
      <c r="T530" s="47"/>
      <c r="U530" s="47"/>
      <c r="V530" s="47"/>
    </row>
    <row r="531" spans="1:22">
      <c r="A531" s="45"/>
      <c r="B531" s="41"/>
      <c r="C531" s="40"/>
      <c r="D531" s="40"/>
      <c r="E531" s="40"/>
      <c r="F531" s="40"/>
      <c r="G531" s="40"/>
      <c r="H531" s="40"/>
      <c r="I531" s="40"/>
      <c r="J531" s="40"/>
      <c r="K531" s="40"/>
      <c r="L531" s="40"/>
      <c r="M531" s="40"/>
      <c r="N531" s="40"/>
      <c r="O531" s="47"/>
      <c r="P531" s="47"/>
      <c r="Q531" s="47"/>
      <c r="R531" s="47"/>
      <c r="S531" s="47"/>
      <c r="T531" s="47"/>
      <c r="U531" s="47"/>
      <c r="V531" s="47"/>
    </row>
    <row r="532" spans="1:22">
      <c r="A532" s="45"/>
      <c r="B532" s="41"/>
      <c r="C532" s="40"/>
      <c r="D532" s="40"/>
      <c r="E532" s="40"/>
      <c r="F532" s="40"/>
      <c r="G532" s="40"/>
      <c r="H532" s="40"/>
      <c r="I532" s="40"/>
      <c r="J532" s="40"/>
      <c r="K532" s="40"/>
      <c r="L532" s="40"/>
      <c r="M532" s="40"/>
      <c r="N532" s="40"/>
      <c r="O532" s="47"/>
      <c r="P532" s="47"/>
      <c r="Q532" s="47"/>
      <c r="R532" s="47"/>
      <c r="S532" s="47"/>
      <c r="T532" s="47"/>
      <c r="U532" s="47"/>
      <c r="V532" s="47"/>
    </row>
    <row r="533" spans="1:22">
      <c r="A533" s="45"/>
      <c r="B533" s="41"/>
      <c r="C533" s="40"/>
      <c r="D533" s="40"/>
      <c r="E533" s="40"/>
      <c r="F533" s="40"/>
      <c r="G533" s="40"/>
      <c r="H533" s="40"/>
      <c r="I533" s="40"/>
      <c r="J533" s="40"/>
      <c r="K533" s="40"/>
      <c r="L533" s="40"/>
      <c r="M533" s="40"/>
      <c r="N533" s="40"/>
      <c r="O533" s="47"/>
      <c r="P533" s="47"/>
      <c r="Q533" s="47"/>
      <c r="R533" s="47"/>
      <c r="S533" s="47"/>
      <c r="T533" s="47"/>
      <c r="U533" s="47"/>
      <c r="V533" s="47"/>
    </row>
    <row r="534" spans="1:22">
      <c r="A534" s="45"/>
      <c r="B534" s="41"/>
      <c r="C534" s="40"/>
      <c r="D534" s="40"/>
      <c r="E534" s="40"/>
      <c r="F534" s="40"/>
      <c r="G534" s="40"/>
      <c r="H534" s="40"/>
      <c r="I534" s="40"/>
      <c r="J534" s="40"/>
      <c r="K534" s="40"/>
      <c r="L534" s="40"/>
      <c r="M534" s="40"/>
      <c r="N534" s="40"/>
      <c r="O534" s="47"/>
      <c r="P534" s="47"/>
      <c r="Q534" s="47"/>
      <c r="R534" s="47"/>
      <c r="S534" s="47"/>
      <c r="T534" s="47"/>
      <c r="U534" s="47"/>
      <c r="V534" s="47"/>
    </row>
    <row r="535" spans="1:22">
      <c r="A535" s="45"/>
      <c r="B535" s="41"/>
      <c r="C535" s="40"/>
      <c r="D535" s="40"/>
      <c r="E535" s="40"/>
      <c r="F535" s="40"/>
      <c r="G535" s="40"/>
      <c r="H535" s="40"/>
      <c r="I535" s="40"/>
      <c r="J535" s="40"/>
      <c r="K535" s="40"/>
      <c r="L535" s="40"/>
      <c r="M535" s="40"/>
      <c r="N535" s="40"/>
      <c r="O535" s="47"/>
      <c r="P535" s="47"/>
      <c r="Q535" s="47"/>
      <c r="R535" s="47"/>
      <c r="S535" s="47"/>
      <c r="T535" s="47"/>
      <c r="U535" s="47"/>
      <c r="V535" s="47"/>
    </row>
    <row r="536" spans="1:22">
      <c r="A536" s="45"/>
      <c r="B536" s="41"/>
      <c r="C536" s="40"/>
      <c r="D536" s="40"/>
      <c r="E536" s="40"/>
      <c r="F536" s="40"/>
      <c r="G536" s="40"/>
      <c r="H536" s="40"/>
      <c r="I536" s="40"/>
      <c r="J536" s="40"/>
      <c r="K536" s="40"/>
      <c r="L536" s="40"/>
      <c r="M536" s="40"/>
      <c r="N536" s="40"/>
      <c r="O536" s="47"/>
      <c r="P536" s="47"/>
      <c r="Q536" s="47"/>
      <c r="R536" s="47"/>
      <c r="S536" s="47"/>
      <c r="T536" s="47"/>
      <c r="U536" s="47"/>
      <c r="V536" s="47"/>
    </row>
    <row r="537" spans="1:22">
      <c r="A537" s="45"/>
      <c r="B537" s="41"/>
      <c r="C537" s="40"/>
      <c r="D537" s="40"/>
      <c r="E537" s="40"/>
      <c r="F537" s="40"/>
      <c r="G537" s="40"/>
      <c r="H537" s="40"/>
      <c r="I537" s="40"/>
      <c r="J537" s="40"/>
      <c r="K537" s="40"/>
      <c r="L537" s="40"/>
      <c r="M537" s="40"/>
      <c r="N537" s="40"/>
      <c r="O537" s="47"/>
      <c r="P537" s="47"/>
      <c r="Q537" s="47"/>
      <c r="R537" s="47"/>
      <c r="S537" s="47"/>
      <c r="T537" s="47"/>
      <c r="U537" s="47"/>
      <c r="V537" s="47"/>
    </row>
    <row r="538" spans="1:22">
      <c r="A538" s="45"/>
      <c r="B538" s="41"/>
      <c r="C538" s="40"/>
      <c r="D538" s="40"/>
      <c r="E538" s="40"/>
      <c r="F538" s="40"/>
      <c r="G538" s="40"/>
      <c r="H538" s="40"/>
      <c r="I538" s="40"/>
      <c r="J538" s="40"/>
      <c r="K538" s="40"/>
      <c r="L538" s="40"/>
      <c r="M538" s="40"/>
      <c r="N538" s="40"/>
      <c r="O538" s="47"/>
      <c r="P538" s="47"/>
      <c r="Q538" s="47"/>
      <c r="R538" s="47"/>
      <c r="S538" s="47"/>
      <c r="T538" s="47"/>
      <c r="U538" s="47"/>
      <c r="V538" s="47"/>
    </row>
    <row r="539" spans="1:22">
      <c r="A539" s="45"/>
      <c r="B539" s="41"/>
      <c r="C539" s="40"/>
      <c r="D539" s="40"/>
      <c r="E539" s="40"/>
      <c r="F539" s="40"/>
      <c r="G539" s="40"/>
      <c r="H539" s="40"/>
      <c r="I539" s="40"/>
      <c r="J539" s="40"/>
      <c r="K539" s="40"/>
      <c r="L539" s="40"/>
      <c r="M539" s="40"/>
      <c r="N539" s="40"/>
      <c r="O539" s="47"/>
      <c r="P539" s="47"/>
      <c r="Q539" s="47"/>
      <c r="R539" s="47"/>
      <c r="S539" s="47"/>
      <c r="T539" s="47"/>
      <c r="U539" s="47"/>
      <c r="V539" s="47"/>
    </row>
    <row r="540" spans="1:22">
      <c r="A540" s="45"/>
      <c r="B540" s="41"/>
      <c r="C540" s="40"/>
      <c r="D540" s="40"/>
      <c r="E540" s="40"/>
      <c r="F540" s="40"/>
      <c r="G540" s="40"/>
      <c r="H540" s="40"/>
      <c r="I540" s="40"/>
      <c r="J540" s="40"/>
      <c r="K540" s="40"/>
      <c r="L540" s="40"/>
      <c r="M540" s="40"/>
      <c r="N540" s="40"/>
      <c r="O540" s="47"/>
      <c r="P540" s="47"/>
      <c r="Q540" s="47"/>
      <c r="R540" s="47"/>
      <c r="S540" s="47"/>
      <c r="T540" s="47"/>
      <c r="U540" s="47"/>
      <c r="V540" s="47"/>
    </row>
    <row r="541" spans="1:22">
      <c r="A541" s="45"/>
      <c r="B541" s="41"/>
      <c r="C541" s="40"/>
      <c r="D541" s="40"/>
      <c r="E541" s="40"/>
      <c r="F541" s="40"/>
      <c r="G541" s="40"/>
      <c r="H541" s="40"/>
      <c r="I541" s="40"/>
      <c r="J541" s="40"/>
      <c r="K541" s="40"/>
      <c r="L541" s="40"/>
      <c r="M541" s="40"/>
      <c r="N541" s="40"/>
      <c r="O541" s="47"/>
      <c r="P541" s="47"/>
      <c r="Q541" s="47"/>
      <c r="R541" s="47"/>
      <c r="S541" s="47"/>
      <c r="T541" s="47"/>
      <c r="U541" s="47"/>
      <c r="V541" s="47"/>
    </row>
    <row r="542" spans="1:22">
      <c r="A542" s="45"/>
      <c r="B542" s="41"/>
      <c r="C542" s="40"/>
      <c r="D542" s="40"/>
      <c r="E542" s="40"/>
      <c r="F542" s="40"/>
      <c r="G542" s="40"/>
      <c r="H542" s="40"/>
      <c r="I542" s="40"/>
      <c r="J542" s="40"/>
      <c r="K542" s="40"/>
      <c r="L542" s="40"/>
      <c r="M542" s="40"/>
      <c r="N542" s="40"/>
      <c r="O542" s="47"/>
      <c r="P542" s="47"/>
      <c r="Q542" s="47"/>
      <c r="R542" s="47"/>
      <c r="S542" s="47"/>
      <c r="T542" s="47"/>
      <c r="U542" s="47"/>
      <c r="V542" s="47"/>
    </row>
    <row r="543" spans="1:22">
      <c r="A543" s="45"/>
      <c r="B543" s="41"/>
      <c r="C543" s="40"/>
      <c r="D543" s="40"/>
      <c r="E543" s="40"/>
      <c r="F543" s="40"/>
      <c r="G543" s="40"/>
      <c r="H543" s="40"/>
      <c r="I543" s="40"/>
      <c r="J543" s="40"/>
      <c r="K543" s="40"/>
      <c r="L543" s="40"/>
      <c r="M543" s="40"/>
      <c r="N543" s="40"/>
      <c r="O543" s="47"/>
      <c r="P543" s="47"/>
      <c r="Q543" s="47"/>
      <c r="R543" s="47"/>
      <c r="S543" s="47"/>
      <c r="T543" s="47"/>
      <c r="U543" s="47"/>
      <c r="V543" s="47"/>
    </row>
    <row r="544" spans="1:22">
      <c r="A544" s="45"/>
      <c r="B544" s="41"/>
      <c r="C544" s="40"/>
      <c r="D544" s="40"/>
      <c r="E544" s="40"/>
      <c r="F544" s="40"/>
      <c r="G544" s="40"/>
      <c r="H544" s="40"/>
      <c r="I544" s="40"/>
      <c r="J544" s="40"/>
      <c r="K544" s="40"/>
      <c r="L544" s="40"/>
      <c r="M544" s="40"/>
      <c r="N544" s="40"/>
      <c r="O544" s="47"/>
      <c r="P544" s="47"/>
      <c r="Q544" s="47"/>
      <c r="R544" s="47"/>
      <c r="S544" s="47"/>
      <c r="T544" s="47"/>
      <c r="U544" s="47"/>
      <c r="V544" s="47"/>
    </row>
    <row r="545" spans="1:22">
      <c r="A545" s="45"/>
      <c r="B545" s="41"/>
      <c r="C545" s="40"/>
      <c r="D545" s="40"/>
      <c r="E545" s="40"/>
      <c r="F545" s="40"/>
      <c r="G545" s="40"/>
      <c r="H545" s="40"/>
      <c r="I545" s="40"/>
      <c r="J545" s="40"/>
      <c r="K545" s="40"/>
      <c r="L545" s="40"/>
      <c r="M545" s="40"/>
      <c r="N545" s="40"/>
      <c r="O545" s="47"/>
      <c r="P545" s="47"/>
      <c r="Q545" s="47"/>
      <c r="R545" s="47"/>
      <c r="S545" s="47"/>
      <c r="T545" s="47"/>
      <c r="U545" s="47"/>
      <c r="V545" s="47"/>
    </row>
    <row r="546" spans="1:22">
      <c r="A546" s="45"/>
      <c r="B546" s="41"/>
      <c r="C546" s="40"/>
      <c r="D546" s="40"/>
      <c r="E546" s="40"/>
      <c r="F546" s="40"/>
      <c r="G546" s="40"/>
      <c r="H546" s="40"/>
      <c r="I546" s="40"/>
      <c r="J546" s="40"/>
      <c r="K546" s="40"/>
      <c r="L546" s="40"/>
      <c r="M546" s="40"/>
      <c r="N546" s="40"/>
      <c r="O546" s="47"/>
      <c r="P546" s="47"/>
      <c r="Q546" s="47"/>
      <c r="R546" s="47"/>
      <c r="S546" s="47"/>
      <c r="T546" s="47"/>
      <c r="U546" s="47"/>
      <c r="V546" s="47"/>
    </row>
    <row r="547" spans="1:22">
      <c r="A547" s="45"/>
      <c r="B547" s="41"/>
      <c r="C547" s="40"/>
      <c r="D547" s="40"/>
      <c r="E547" s="40"/>
      <c r="F547" s="40"/>
      <c r="G547" s="40"/>
      <c r="H547" s="40"/>
      <c r="I547" s="40"/>
      <c r="J547" s="40"/>
      <c r="K547" s="40"/>
      <c r="L547" s="40"/>
      <c r="M547" s="40"/>
      <c r="N547" s="40"/>
      <c r="O547" s="47"/>
      <c r="P547" s="47"/>
      <c r="Q547" s="47"/>
      <c r="R547" s="47"/>
      <c r="S547" s="47"/>
      <c r="T547" s="47"/>
      <c r="U547" s="47"/>
      <c r="V547" s="47"/>
    </row>
    <row r="548" spans="1:22">
      <c r="A548" s="45"/>
      <c r="B548" s="41"/>
      <c r="C548" s="40"/>
      <c r="D548" s="40"/>
      <c r="E548" s="40"/>
      <c r="F548" s="40"/>
      <c r="G548" s="40"/>
      <c r="H548" s="40"/>
      <c r="I548" s="40"/>
      <c r="J548" s="40"/>
      <c r="K548" s="40"/>
      <c r="L548" s="40"/>
      <c r="M548" s="40"/>
      <c r="N548" s="40"/>
      <c r="O548" s="47"/>
      <c r="P548" s="47"/>
      <c r="Q548" s="47"/>
      <c r="R548" s="47"/>
      <c r="S548" s="47"/>
      <c r="T548" s="47"/>
      <c r="U548" s="47"/>
      <c r="V548" s="47"/>
    </row>
    <row r="549" spans="1:22">
      <c r="A549" s="45"/>
      <c r="B549" s="41"/>
      <c r="C549" s="40"/>
      <c r="D549" s="40"/>
      <c r="E549" s="40"/>
      <c r="F549" s="40"/>
      <c r="G549" s="40"/>
      <c r="H549" s="40"/>
      <c r="I549" s="40"/>
      <c r="J549" s="40"/>
      <c r="K549" s="40"/>
      <c r="L549" s="40"/>
      <c r="M549" s="40"/>
      <c r="N549" s="40"/>
      <c r="O549" s="47"/>
      <c r="P549" s="47"/>
      <c r="Q549" s="47"/>
      <c r="R549" s="47"/>
      <c r="S549" s="47"/>
      <c r="T549" s="47"/>
      <c r="U549" s="47"/>
      <c r="V549" s="47"/>
    </row>
    <row r="550" spans="1:22">
      <c r="A550" s="45"/>
      <c r="B550" s="41"/>
      <c r="C550" s="40"/>
      <c r="D550" s="40"/>
      <c r="E550" s="40"/>
      <c r="F550" s="40"/>
      <c r="G550" s="40"/>
      <c r="H550" s="40"/>
      <c r="I550" s="40"/>
      <c r="J550" s="40"/>
      <c r="K550" s="40"/>
      <c r="L550" s="40"/>
      <c r="M550" s="40"/>
      <c r="N550" s="40"/>
      <c r="O550" s="47"/>
      <c r="P550" s="47"/>
      <c r="Q550" s="47"/>
      <c r="R550" s="47"/>
      <c r="S550" s="47"/>
      <c r="T550" s="47"/>
      <c r="U550" s="47"/>
      <c r="V550" s="47"/>
    </row>
    <row r="551" spans="1:22">
      <c r="A551" s="45"/>
      <c r="B551" s="41"/>
      <c r="C551" s="40"/>
      <c r="D551" s="40"/>
      <c r="E551" s="40"/>
      <c r="F551" s="40"/>
      <c r="G551" s="40"/>
      <c r="H551" s="40"/>
      <c r="I551" s="40"/>
      <c r="J551" s="40"/>
      <c r="K551" s="40"/>
      <c r="L551" s="40"/>
      <c r="M551" s="40"/>
      <c r="N551" s="40"/>
      <c r="O551" s="47"/>
      <c r="P551" s="47"/>
      <c r="Q551" s="47"/>
      <c r="R551" s="47"/>
      <c r="S551" s="47"/>
      <c r="T551" s="47"/>
      <c r="U551" s="47"/>
      <c r="V551" s="47"/>
    </row>
    <row r="552" spans="1:22">
      <c r="A552" s="45"/>
      <c r="B552" s="41"/>
      <c r="C552" s="40"/>
      <c r="D552" s="40"/>
      <c r="E552" s="40"/>
      <c r="F552" s="40"/>
      <c r="G552" s="40"/>
      <c r="H552" s="40"/>
      <c r="I552" s="40"/>
      <c r="J552" s="40"/>
      <c r="K552" s="40"/>
      <c r="L552" s="40"/>
      <c r="M552" s="40"/>
      <c r="N552" s="40"/>
      <c r="O552" s="47"/>
      <c r="P552" s="47"/>
      <c r="Q552" s="47"/>
      <c r="R552" s="47"/>
      <c r="S552" s="47"/>
      <c r="T552" s="47"/>
      <c r="U552" s="47"/>
      <c r="V552" s="47"/>
    </row>
    <row r="553" spans="1:22">
      <c r="A553" s="45"/>
      <c r="B553" s="41"/>
      <c r="C553" s="40"/>
      <c r="D553" s="40"/>
      <c r="E553" s="40"/>
      <c r="F553" s="40"/>
      <c r="G553" s="40"/>
      <c r="H553" s="40"/>
      <c r="I553" s="40"/>
      <c r="J553" s="40"/>
      <c r="K553" s="40"/>
      <c r="L553" s="40"/>
      <c r="M553" s="40"/>
      <c r="N553" s="40"/>
      <c r="O553" s="47"/>
      <c r="P553" s="47"/>
      <c r="Q553" s="47"/>
      <c r="R553" s="47"/>
      <c r="S553" s="47"/>
      <c r="T553" s="47"/>
      <c r="U553" s="47"/>
      <c r="V553" s="47"/>
    </row>
    <row r="554" spans="1:22">
      <c r="A554" s="45"/>
      <c r="B554" s="41"/>
      <c r="C554" s="40"/>
      <c r="D554" s="40"/>
      <c r="E554" s="40"/>
      <c r="F554" s="40"/>
      <c r="G554" s="40"/>
      <c r="H554" s="40"/>
      <c r="I554" s="40"/>
      <c r="J554" s="40"/>
      <c r="K554" s="40"/>
      <c r="L554" s="40"/>
      <c r="M554" s="40"/>
      <c r="N554" s="40"/>
      <c r="O554" s="47"/>
      <c r="P554" s="47"/>
      <c r="Q554" s="47"/>
      <c r="R554" s="47"/>
      <c r="S554" s="47"/>
      <c r="T554" s="47"/>
      <c r="U554" s="47"/>
      <c r="V554" s="47"/>
    </row>
    <row r="555" spans="1:22">
      <c r="A555" s="45"/>
      <c r="B555" s="41"/>
      <c r="C555" s="40"/>
      <c r="D555" s="40"/>
      <c r="E555" s="40"/>
      <c r="F555" s="40"/>
      <c r="G555" s="40"/>
      <c r="H555" s="40"/>
      <c r="I555" s="40"/>
      <c r="J555" s="40"/>
      <c r="K555" s="40"/>
      <c r="L555" s="40"/>
      <c r="M555" s="40"/>
      <c r="N555" s="40"/>
      <c r="O555" s="47"/>
      <c r="P555" s="47"/>
      <c r="Q555" s="47"/>
      <c r="R555" s="47"/>
      <c r="S555" s="47"/>
      <c r="T555" s="47"/>
      <c r="U555" s="47"/>
      <c r="V555" s="47"/>
    </row>
    <row r="556" spans="1:22">
      <c r="A556" s="45"/>
      <c r="B556" s="41"/>
      <c r="C556" s="40"/>
      <c r="D556" s="40"/>
      <c r="E556" s="40"/>
      <c r="F556" s="40"/>
      <c r="G556" s="40"/>
      <c r="H556" s="40"/>
      <c r="I556" s="40"/>
      <c r="J556" s="40"/>
      <c r="K556" s="40"/>
      <c r="L556" s="40"/>
      <c r="M556" s="40"/>
      <c r="N556" s="40"/>
      <c r="O556" s="47"/>
      <c r="P556" s="47"/>
      <c r="Q556" s="47"/>
      <c r="R556" s="47"/>
      <c r="S556" s="47"/>
      <c r="T556" s="47"/>
      <c r="U556" s="47"/>
      <c r="V556" s="47"/>
    </row>
    <row r="557" spans="1:22">
      <c r="A557" s="45"/>
      <c r="B557" s="41"/>
      <c r="C557" s="40"/>
      <c r="D557" s="40"/>
      <c r="E557" s="40"/>
      <c r="F557" s="40"/>
      <c r="G557" s="40"/>
      <c r="H557" s="40"/>
      <c r="I557" s="40"/>
      <c r="J557" s="40"/>
      <c r="K557" s="40"/>
      <c r="L557" s="40"/>
      <c r="M557" s="40"/>
      <c r="N557" s="40"/>
      <c r="O557" s="47"/>
      <c r="P557" s="47"/>
      <c r="Q557" s="47"/>
      <c r="R557" s="47"/>
      <c r="S557" s="47"/>
      <c r="T557" s="47"/>
      <c r="U557" s="47"/>
      <c r="V557" s="47"/>
    </row>
    <row r="558" spans="1:22">
      <c r="A558" s="45"/>
      <c r="B558" s="41"/>
      <c r="C558" s="40"/>
      <c r="D558" s="40"/>
      <c r="E558" s="40"/>
      <c r="F558" s="40"/>
      <c r="G558" s="40"/>
      <c r="H558" s="40"/>
      <c r="I558" s="40"/>
      <c r="J558" s="40"/>
      <c r="K558" s="40"/>
      <c r="L558" s="40"/>
      <c r="M558" s="40"/>
      <c r="N558" s="40"/>
      <c r="O558" s="47"/>
      <c r="P558" s="47"/>
      <c r="Q558" s="47"/>
      <c r="R558" s="47"/>
      <c r="S558" s="47"/>
      <c r="T558" s="47"/>
      <c r="U558" s="47"/>
      <c r="V558" s="47"/>
    </row>
    <row r="559" spans="1:22">
      <c r="A559" s="45"/>
      <c r="B559" s="41"/>
      <c r="C559" s="40"/>
      <c r="D559" s="40"/>
      <c r="E559" s="40"/>
      <c r="F559" s="40"/>
      <c r="G559" s="40"/>
      <c r="H559" s="40"/>
      <c r="I559" s="40"/>
      <c r="J559" s="40"/>
      <c r="K559" s="40"/>
      <c r="L559" s="40"/>
      <c r="M559" s="40"/>
      <c r="N559" s="40"/>
      <c r="O559" s="47"/>
      <c r="P559" s="47"/>
      <c r="Q559" s="47"/>
      <c r="R559" s="47"/>
      <c r="S559" s="47"/>
      <c r="T559" s="47"/>
      <c r="U559" s="47"/>
      <c r="V559" s="47"/>
    </row>
    <row r="560" spans="1:22">
      <c r="A560" s="45"/>
      <c r="B560" s="41"/>
      <c r="C560" s="40"/>
      <c r="D560" s="40"/>
      <c r="E560" s="40"/>
      <c r="F560" s="40"/>
      <c r="G560" s="40"/>
      <c r="H560" s="40"/>
      <c r="I560" s="40"/>
      <c r="J560" s="40"/>
      <c r="K560" s="40"/>
      <c r="L560" s="40"/>
      <c r="M560" s="40"/>
      <c r="N560" s="40"/>
      <c r="O560" s="47"/>
      <c r="P560" s="47"/>
      <c r="Q560" s="47"/>
      <c r="R560" s="47"/>
      <c r="S560" s="47"/>
      <c r="T560" s="47"/>
      <c r="U560" s="47"/>
      <c r="V560" s="47"/>
    </row>
    <row r="561" spans="1:22">
      <c r="A561" s="45"/>
      <c r="B561" s="41"/>
      <c r="C561" s="40"/>
      <c r="D561" s="40"/>
      <c r="E561" s="40"/>
      <c r="F561" s="40"/>
      <c r="G561" s="40"/>
      <c r="H561" s="40"/>
      <c r="I561" s="40"/>
      <c r="J561" s="40"/>
      <c r="K561" s="40"/>
      <c r="L561" s="40"/>
      <c r="M561" s="40"/>
      <c r="N561" s="40"/>
      <c r="O561" s="47"/>
      <c r="P561" s="47"/>
      <c r="Q561" s="47"/>
      <c r="R561" s="47"/>
      <c r="S561" s="47"/>
      <c r="T561" s="47"/>
      <c r="U561" s="47"/>
      <c r="V561" s="47"/>
    </row>
    <row r="562" spans="1:22">
      <c r="A562" s="45"/>
      <c r="B562" s="41"/>
      <c r="C562" s="40"/>
      <c r="D562" s="40"/>
      <c r="E562" s="40"/>
      <c r="F562" s="40"/>
      <c r="G562" s="40"/>
      <c r="H562" s="40"/>
      <c r="I562" s="40"/>
      <c r="J562" s="40"/>
      <c r="K562" s="40"/>
      <c r="L562" s="40"/>
      <c r="M562" s="40"/>
      <c r="N562" s="40"/>
      <c r="O562" s="47"/>
      <c r="P562" s="47"/>
      <c r="Q562" s="47"/>
      <c r="R562" s="47"/>
      <c r="S562" s="47"/>
      <c r="T562" s="47"/>
      <c r="U562" s="47"/>
      <c r="V562" s="47"/>
    </row>
    <row r="563" spans="1:22">
      <c r="A563" s="45"/>
      <c r="B563" s="41"/>
      <c r="C563" s="40"/>
      <c r="D563" s="40"/>
      <c r="E563" s="40"/>
      <c r="F563" s="40"/>
      <c r="G563" s="40"/>
      <c r="H563" s="40"/>
      <c r="I563" s="40"/>
      <c r="J563" s="40"/>
      <c r="K563" s="40"/>
      <c r="L563" s="40"/>
      <c r="M563" s="40"/>
      <c r="N563" s="40"/>
      <c r="O563" s="47"/>
      <c r="P563" s="47"/>
      <c r="Q563" s="47"/>
      <c r="R563" s="47"/>
      <c r="S563" s="47"/>
      <c r="T563" s="47"/>
      <c r="U563" s="47"/>
      <c r="V563" s="47"/>
    </row>
    <row r="564" spans="1:22">
      <c r="A564" s="45"/>
      <c r="B564" s="41"/>
      <c r="C564" s="40"/>
      <c r="D564" s="40"/>
      <c r="E564" s="40"/>
      <c r="F564" s="40"/>
      <c r="G564" s="40"/>
      <c r="H564" s="40"/>
      <c r="I564" s="40"/>
      <c r="J564" s="40"/>
      <c r="K564" s="40"/>
      <c r="L564" s="40"/>
      <c r="M564" s="40"/>
      <c r="N564" s="40"/>
      <c r="O564" s="47"/>
      <c r="P564" s="47"/>
      <c r="Q564" s="47"/>
      <c r="R564" s="47"/>
      <c r="S564" s="47"/>
      <c r="T564" s="47"/>
      <c r="U564" s="47"/>
      <c r="V564" s="47"/>
    </row>
    <row r="565" spans="1:22">
      <c r="A565" s="45"/>
      <c r="B565" s="41"/>
      <c r="C565" s="40"/>
      <c r="D565" s="40"/>
      <c r="E565" s="40"/>
      <c r="F565" s="40"/>
      <c r="G565" s="40"/>
      <c r="H565" s="40"/>
      <c r="I565" s="40"/>
      <c r="J565" s="40"/>
      <c r="K565" s="40"/>
      <c r="L565" s="40"/>
      <c r="M565" s="40"/>
      <c r="N565" s="40"/>
      <c r="O565" s="47"/>
      <c r="P565" s="47"/>
      <c r="Q565" s="47"/>
      <c r="R565" s="47"/>
      <c r="S565" s="47"/>
      <c r="T565" s="47"/>
      <c r="U565" s="47"/>
      <c r="V565" s="47"/>
    </row>
    <row r="566" spans="1:22">
      <c r="A566" s="45"/>
      <c r="B566" s="41"/>
      <c r="C566" s="40"/>
      <c r="D566" s="40"/>
      <c r="E566" s="40"/>
      <c r="F566" s="40"/>
      <c r="G566" s="40"/>
      <c r="H566" s="40"/>
      <c r="I566" s="40"/>
      <c r="J566" s="40"/>
      <c r="K566" s="40"/>
      <c r="L566" s="40"/>
      <c r="M566" s="40"/>
      <c r="N566" s="40"/>
      <c r="O566" s="47"/>
      <c r="P566" s="47"/>
      <c r="Q566" s="47"/>
      <c r="R566" s="47"/>
      <c r="S566" s="47"/>
      <c r="T566" s="47"/>
      <c r="U566" s="47"/>
      <c r="V566" s="47"/>
    </row>
    <row r="567" spans="1:22">
      <c r="A567" s="45"/>
      <c r="B567" s="41"/>
      <c r="C567" s="40"/>
      <c r="D567" s="40"/>
      <c r="E567" s="40"/>
      <c r="F567" s="40"/>
      <c r="G567" s="40"/>
      <c r="H567" s="40"/>
      <c r="I567" s="40"/>
      <c r="J567" s="40"/>
      <c r="K567" s="40"/>
      <c r="L567" s="40"/>
      <c r="M567" s="40"/>
      <c r="N567" s="40"/>
      <c r="O567" s="47"/>
      <c r="P567" s="47"/>
      <c r="Q567" s="47"/>
      <c r="R567" s="47"/>
      <c r="S567" s="47"/>
      <c r="T567" s="47"/>
      <c r="U567" s="47"/>
      <c r="V567" s="47"/>
    </row>
    <row r="568" spans="1:22">
      <c r="A568" s="45"/>
      <c r="B568" s="41"/>
      <c r="C568" s="40"/>
      <c r="D568" s="40"/>
      <c r="E568" s="40"/>
      <c r="F568" s="40"/>
      <c r="G568" s="40"/>
      <c r="H568" s="40"/>
      <c r="I568" s="40"/>
      <c r="J568" s="40"/>
      <c r="K568" s="40"/>
      <c r="L568" s="40"/>
      <c r="M568" s="40"/>
      <c r="N568" s="40"/>
      <c r="O568" s="47"/>
      <c r="P568" s="47"/>
      <c r="Q568" s="47"/>
      <c r="R568" s="47"/>
      <c r="S568" s="47"/>
      <c r="T568" s="47"/>
      <c r="U568" s="47"/>
      <c r="V568" s="47"/>
    </row>
    <row r="569" spans="1:22">
      <c r="A569" s="45"/>
      <c r="B569" s="41"/>
      <c r="C569" s="40"/>
      <c r="D569" s="40"/>
      <c r="E569" s="40"/>
      <c r="F569" s="40"/>
      <c r="G569" s="40"/>
      <c r="H569" s="40"/>
      <c r="I569" s="40"/>
      <c r="J569" s="40"/>
      <c r="K569" s="40"/>
      <c r="L569" s="40"/>
      <c r="M569" s="40"/>
      <c r="N569" s="40"/>
      <c r="O569" s="47"/>
      <c r="P569" s="47"/>
      <c r="Q569" s="47"/>
      <c r="R569" s="47"/>
      <c r="S569" s="47"/>
      <c r="T569" s="47"/>
      <c r="U569" s="47"/>
      <c r="V569" s="47"/>
    </row>
    <row r="570" spans="1:22">
      <c r="A570" s="45"/>
      <c r="B570" s="41"/>
      <c r="C570" s="40"/>
      <c r="D570" s="40"/>
      <c r="E570" s="40"/>
      <c r="F570" s="40"/>
      <c r="G570" s="40"/>
      <c r="H570" s="40"/>
      <c r="I570" s="40"/>
      <c r="J570" s="40"/>
      <c r="K570" s="40"/>
      <c r="L570" s="40"/>
      <c r="M570" s="40"/>
      <c r="N570" s="40"/>
      <c r="O570" s="47"/>
      <c r="P570" s="47"/>
      <c r="Q570" s="47"/>
      <c r="R570" s="47"/>
      <c r="S570" s="47"/>
      <c r="T570" s="47"/>
      <c r="U570" s="47"/>
      <c r="V570" s="47"/>
    </row>
    <row r="571" spans="1:22">
      <c r="A571" s="45"/>
      <c r="B571" s="41"/>
      <c r="C571" s="40"/>
      <c r="D571" s="40"/>
      <c r="E571" s="40"/>
      <c r="F571" s="40"/>
      <c r="G571" s="40"/>
      <c r="H571" s="40"/>
      <c r="I571" s="40"/>
      <c r="J571" s="40"/>
      <c r="K571" s="40"/>
      <c r="L571" s="40"/>
      <c r="M571" s="40"/>
      <c r="N571" s="40"/>
      <c r="O571" s="47"/>
      <c r="P571" s="47"/>
      <c r="Q571" s="47"/>
      <c r="R571" s="47"/>
      <c r="S571" s="47"/>
      <c r="T571" s="47"/>
      <c r="U571" s="47"/>
      <c r="V571" s="47"/>
    </row>
    <row r="572" spans="1:22">
      <c r="A572" s="45"/>
      <c r="B572" s="41"/>
      <c r="C572" s="40"/>
      <c r="D572" s="40"/>
      <c r="E572" s="40"/>
      <c r="F572" s="40"/>
      <c r="G572" s="40"/>
      <c r="H572" s="40"/>
      <c r="I572" s="40"/>
      <c r="J572" s="40"/>
      <c r="K572" s="40"/>
      <c r="L572" s="40"/>
      <c r="M572" s="40"/>
      <c r="N572" s="40"/>
      <c r="O572" s="47"/>
      <c r="P572" s="47"/>
      <c r="Q572" s="47"/>
      <c r="R572" s="47"/>
      <c r="S572" s="47"/>
      <c r="T572" s="47"/>
      <c r="U572" s="47"/>
      <c r="V572" s="47"/>
    </row>
    <row r="573" spans="1:22">
      <c r="A573" s="45"/>
      <c r="B573" s="41"/>
      <c r="C573" s="40"/>
      <c r="D573" s="40"/>
      <c r="E573" s="40"/>
      <c r="F573" s="40"/>
      <c r="G573" s="40"/>
      <c r="H573" s="40"/>
      <c r="I573" s="40"/>
      <c r="J573" s="40"/>
      <c r="K573" s="40"/>
      <c r="L573" s="40"/>
      <c r="M573" s="40"/>
      <c r="N573" s="40"/>
      <c r="O573" s="47"/>
      <c r="P573" s="47"/>
      <c r="Q573" s="47"/>
      <c r="R573" s="47"/>
      <c r="S573" s="47"/>
      <c r="T573" s="47"/>
      <c r="U573" s="47"/>
      <c r="V573" s="47"/>
    </row>
    <row r="574" spans="1:22">
      <c r="A574" s="45"/>
      <c r="B574" s="41"/>
      <c r="C574" s="40"/>
      <c r="D574" s="40"/>
      <c r="E574" s="40"/>
      <c r="F574" s="40"/>
      <c r="G574" s="40"/>
      <c r="H574" s="40"/>
      <c r="I574" s="40"/>
      <c r="J574" s="40"/>
      <c r="K574" s="40"/>
      <c r="L574" s="40"/>
      <c r="M574" s="40"/>
      <c r="N574" s="40"/>
      <c r="O574" s="47"/>
      <c r="P574" s="47"/>
      <c r="Q574" s="47"/>
      <c r="R574" s="47"/>
      <c r="S574" s="47"/>
      <c r="T574" s="47"/>
      <c r="U574" s="47"/>
      <c r="V574" s="47"/>
    </row>
    <row r="575" spans="1:22">
      <c r="A575" s="45"/>
      <c r="B575" s="41"/>
      <c r="C575" s="40"/>
      <c r="D575" s="40"/>
      <c r="E575" s="40"/>
      <c r="F575" s="40"/>
      <c r="G575" s="40"/>
      <c r="H575" s="40"/>
      <c r="I575" s="40"/>
      <c r="J575" s="40"/>
      <c r="K575" s="40"/>
      <c r="L575" s="40"/>
      <c r="M575" s="40"/>
      <c r="N575" s="40"/>
      <c r="O575" s="47"/>
      <c r="P575" s="47"/>
      <c r="Q575" s="47"/>
      <c r="R575" s="47"/>
      <c r="S575" s="47"/>
      <c r="T575" s="47"/>
      <c r="U575" s="47"/>
      <c r="V575" s="47"/>
    </row>
    <row r="576" spans="1:22">
      <c r="A576" s="45"/>
      <c r="B576" s="41"/>
      <c r="C576" s="40"/>
      <c r="D576" s="40"/>
      <c r="E576" s="40"/>
      <c r="F576" s="40"/>
      <c r="G576" s="40"/>
      <c r="H576" s="40"/>
      <c r="I576" s="40"/>
      <c r="J576" s="40"/>
      <c r="K576" s="40"/>
      <c r="L576" s="40"/>
      <c r="M576" s="40"/>
      <c r="N576" s="40"/>
      <c r="O576" s="47"/>
      <c r="P576" s="47"/>
      <c r="Q576" s="47"/>
      <c r="R576" s="47"/>
      <c r="S576" s="47"/>
      <c r="T576" s="47"/>
      <c r="U576" s="47"/>
      <c r="V576" s="47"/>
    </row>
    <row r="577" spans="1:22">
      <c r="A577" s="45"/>
      <c r="B577" s="41"/>
      <c r="C577" s="40"/>
      <c r="D577" s="40"/>
      <c r="E577" s="40"/>
      <c r="F577" s="40"/>
      <c r="G577" s="40"/>
      <c r="H577" s="40"/>
      <c r="I577" s="40"/>
      <c r="J577" s="40"/>
      <c r="K577" s="40"/>
      <c r="L577" s="40"/>
      <c r="M577" s="40"/>
      <c r="N577" s="40"/>
      <c r="O577" s="47"/>
      <c r="P577" s="47"/>
      <c r="Q577" s="47"/>
      <c r="R577" s="47"/>
      <c r="S577" s="47"/>
      <c r="T577" s="47"/>
      <c r="U577" s="47"/>
      <c r="V577" s="47"/>
    </row>
    <row r="578" spans="1:22">
      <c r="A578" s="45"/>
      <c r="B578" s="41"/>
      <c r="C578" s="40"/>
      <c r="D578" s="40"/>
      <c r="E578" s="40"/>
      <c r="F578" s="40"/>
      <c r="G578" s="40"/>
      <c r="H578" s="40"/>
      <c r="I578" s="40"/>
      <c r="J578" s="40"/>
      <c r="K578" s="40"/>
      <c r="L578" s="40"/>
      <c r="M578" s="40"/>
      <c r="N578" s="40"/>
      <c r="O578" s="47"/>
      <c r="P578" s="47"/>
      <c r="Q578" s="47"/>
      <c r="R578" s="47"/>
      <c r="S578" s="47"/>
      <c r="T578" s="47"/>
      <c r="U578" s="47"/>
      <c r="V578" s="47"/>
    </row>
    <row r="579" spans="1:22">
      <c r="A579" s="45"/>
      <c r="B579" s="41"/>
      <c r="C579" s="40"/>
      <c r="D579" s="40"/>
      <c r="E579" s="40"/>
      <c r="F579" s="40"/>
      <c r="G579" s="40"/>
      <c r="H579" s="40"/>
      <c r="I579" s="40"/>
      <c r="J579" s="40"/>
      <c r="K579" s="40"/>
      <c r="L579" s="40"/>
      <c r="M579" s="40"/>
      <c r="N579" s="40"/>
      <c r="O579" s="47"/>
      <c r="P579" s="47"/>
      <c r="Q579" s="47"/>
      <c r="R579" s="47"/>
      <c r="S579" s="47"/>
      <c r="T579" s="47"/>
      <c r="U579" s="47"/>
      <c r="V579" s="47"/>
    </row>
    <row r="580" spans="1:22">
      <c r="A580" s="45"/>
      <c r="B580" s="41"/>
      <c r="C580" s="40"/>
      <c r="D580" s="40"/>
      <c r="E580" s="40"/>
      <c r="F580" s="40"/>
      <c r="G580" s="40"/>
      <c r="H580" s="40"/>
      <c r="I580" s="40"/>
      <c r="J580" s="40"/>
      <c r="K580" s="40"/>
      <c r="L580" s="40"/>
      <c r="M580" s="40"/>
      <c r="N580" s="40"/>
      <c r="O580" s="47"/>
      <c r="P580" s="47"/>
      <c r="Q580" s="47"/>
      <c r="R580" s="47"/>
      <c r="S580" s="47"/>
      <c r="T580" s="47"/>
      <c r="U580" s="47"/>
      <c r="V580" s="47"/>
    </row>
    <row r="581" spans="1:22">
      <c r="A581" s="45"/>
      <c r="B581" s="41"/>
      <c r="C581" s="40"/>
      <c r="D581" s="40"/>
      <c r="E581" s="40"/>
      <c r="F581" s="40"/>
      <c r="G581" s="40"/>
      <c r="H581" s="40"/>
      <c r="I581" s="40"/>
      <c r="J581" s="40"/>
      <c r="K581" s="40"/>
      <c r="L581" s="40"/>
      <c r="M581" s="40"/>
      <c r="N581" s="40"/>
      <c r="O581" s="47"/>
      <c r="P581" s="47"/>
      <c r="Q581" s="47"/>
      <c r="R581" s="47"/>
      <c r="S581" s="47"/>
      <c r="T581" s="47"/>
      <c r="U581" s="47"/>
      <c r="V581" s="47"/>
    </row>
    <row r="582" spans="1:22">
      <c r="A582" s="45"/>
      <c r="B582" s="41"/>
      <c r="C582" s="40"/>
      <c r="D582" s="40"/>
      <c r="E582" s="40"/>
      <c r="F582" s="40"/>
      <c r="G582" s="40"/>
      <c r="H582" s="40"/>
      <c r="I582" s="40"/>
      <c r="J582" s="40"/>
      <c r="K582" s="40"/>
      <c r="L582" s="40"/>
      <c r="M582" s="40"/>
      <c r="N582" s="40"/>
      <c r="O582" s="47"/>
      <c r="P582" s="47"/>
      <c r="Q582" s="47"/>
      <c r="R582" s="47"/>
      <c r="S582" s="47"/>
      <c r="T582" s="47"/>
      <c r="U582" s="47"/>
      <c r="V582" s="47"/>
    </row>
    <row r="583" spans="1:22">
      <c r="A583" s="45"/>
      <c r="B583" s="41"/>
      <c r="C583" s="40"/>
      <c r="D583" s="40"/>
      <c r="E583" s="40"/>
      <c r="F583" s="40"/>
      <c r="G583" s="40"/>
      <c r="H583" s="40"/>
      <c r="I583" s="40"/>
      <c r="J583" s="40"/>
      <c r="K583" s="40"/>
      <c r="L583" s="40"/>
      <c r="M583" s="40"/>
      <c r="N583" s="40"/>
      <c r="O583" s="47"/>
      <c r="P583" s="47"/>
      <c r="Q583" s="47"/>
      <c r="R583" s="47"/>
      <c r="S583" s="47"/>
      <c r="T583" s="47"/>
      <c r="U583" s="47"/>
      <c r="V583" s="47"/>
    </row>
    <row r="584" spans="1:22">
      <c r="A584" s="45"/>
      <c r="B584" s="41"/>
      <c r="C584" s="40"/>
      <c r="D584" s="40"/>
      <c r="E584" s="40"/>
      <c r="F584" s="40"/>
      <c r="G584" s="40"/>
      <c r="H584" s="40"/>
      <c r="I584" s="40"/>
      <c r="J584" s="40"/>
      <c r="K584" s="40"/>
      <c r="L584" s="40"/>
      <c r="M584" s="40"/>
      <c r="N584" s="40"/>
      <c r="O584" s="47"/>
      <c r="P584" s="47"/>
      <c r="Q584" s="47"/>
      <c r="R584" s="47"/>
      <c r="S584" s="47"/>
      <c r="T584" s="47"/>
      <c r="U584" s="47"/>
      <c r="V584" s="47"/>
    </row>
    <row r="585" spans="1:22">
      <c r="A585" s="45"/>
      <c r="B585" s="41"/>
      <c r="C585" s="40"/>
      <c r="D585" s="40"/>
      <c r="E585" s="40"/>
      <c r="F585" s="40"/>
      <c r="G585" s="40"/>
      <c r="H585" s="40"/>
      <c r="I585" s="40"/>
      <c r="J585" s="40"/>
      <c r="K585" s="40"/>
      <c r="L585" s="40"/>
      <c r="M585" s="40"/>
      <c r="N585" s="40"/>
      <c r="O585" s="47"/>
      <c r="P585" s="47"/>
      <c r="Q585" s="47"/>
      <c r="R585" s="47"/>
      <c r="S585" s="47"/>
      <c r="T585" s="47"/>
      <c r="U585" s="47"/>
      <c r="V585" s="47"/>
    </row>
    <row r="586" spans="1:22">
      <c r="A586" s="45"/>
      <c r="B586" s="41"/>
      <c r="C586" s="40"/>
      <c r="D586" s="40"/>
      <c r="E586" s="40"/>
      <c r="F586" s="40"/>
      <c r="G586" s="40"/>
      <c r="H586" s="40"/>
      <c r="I586" s="40"/>
      <c r="J586" s="40"/>
      <c r="K586" s="40"/>
      <c r="L586" s="40"/>
      <c r="M586" s="40"/>
      <c r="N586" s="40"/>
      <c r="O586" s="47"/>
      <c r="P586" s="47"/>
      <c r="Q586" s="47"/>
      <c r="R586" s="47"/>
      <c r="S586" s="47"/>
      <c r="T586" s="47"/>
      <c r="U586" s="47"/>
      <c r="V586" s="47"/>
    </row>
    <row r="587" spans="1:22">
      <c r="A587" s="45"/>
      <c r="B587" s="41"/>
      <c r="C587" s="40"/>
      <c r="D587" s="40"/>
      <c r="E587" s="40"/>
      <c r="F587" s="40"/>
      <c r="G587" s="40"/>
      <c r="H587" s="40"/>
      <c r="I587" s="40"/>
      <c r="J587" s="40"/>
      <c r="K587" s="40"/>
      <c r="L587" s="40"/>
      <c r="M587" s="40"/>
      <c r="N587" s="40"/>
      <c r="O587" s="47"/>
      <c r="P587" s="47"/>
      <c r="Q587" s="47"/>
      <c r="R587" s="47"/>
      <c r="S587" s="47"/>
      <c r="T587" s="47"/>
      <c r="U587" s="47"/>
      <c r="V587" s="47"/>
    </row>
    <row r="588" spans="1:22">
      <c r="A588" s="45"/>
      <c r="B588" s="41"/>
      <c r="C588" s="40"/>
      <c r="D588" s="40"/>
      <c r="E588" s="40"/>
      <c r="F588" s="40"/>
      <c r="G588" s="40"/>
      <c r="H588" s="40"/>
      <c r="I588" s="40"/>
      <c r="J588" s="40"/>
      <c r="K588" s="40"/>
      <c r="L588" s="40"/>
      <c r="M588" s="40"/>
      <c r="N588" s="40"/>
      <c r="O588" s="47"/>
      <c r="P588" s="47"/>
      <c r="Q588" s="47"/>
      <c r="R588" s="47"/>
      <c r="S588" s="47"/>
      <c r="T588" s="47"/>
      <c r="U588" s="47"/>
      <c r="V588" s="47"/>
    </row>
    <row r="589" spans="1:22">
      <c r="A589" s="45"/>
      <c r="B589" s="41"/>
      <c r="C589" s="40"/>
      <c r="D589" s="40"/>
      <c r="E589" s="40"/>
      <c r="F589" s="40"/>
      <c r="G589" s="40"/>
      <c r="H589" s="40"/>
      <c r="I589" s="40"/>
      <c r="J589" s="40"/>
      <c r="K589" s="40"/>
      <c r="L589" s="40"/>
      <c r="M589" s="40"/>
      <c r="N589" s="40"/>
      <c r="O589" s="47"/>
      <c r="P589" s="47"/>
      <c r="Q589" s="47"/>
      <c r="R589" s="47"/>
      <c r="S589" s="47"/>
      <c r="T589" s="47"/>
      <c r="U589" s="47"/>
      <c r="V589" s="47"/>
    </row>
    <row r="590" spans="1:22">
      <c r="A590" s="45"/>
      <c r="B590" s="41"/>
      <c r="C590" s="40"/>
      <c r="D590" s="40"/>
      <c r="E590" s="40"/>
      <c r="F590" s="40"/>
      <c r="G590" s="40"/>
      <c r="H590" s="40"/>
      <c r="I590" s="40"/>
      <c r="J590" s="40"/>
      <c r="K590" s="40"/>
      <c r="L590" s="40"/>
      <c r="M590" s="40"/>
      <c r="N590" s="40"/>
      <c r="O590" s="47"/>
      <c r="P590" s="47"/>
      <c r="Q590" s="47"/>
      <c r="R590" s="47"/>
      <c r="S590" s="47"/>
      <c r="T590" s="47"/>
      <c r="U590" s="47"/>
      <c r="V590" s="47"/>
    </row>
    <row r="591" spans="1:22">
      <c r="A591" s="45"/>
      <c r="B591" s="41"/>
      <c r="C591" s="40"/>
      <c r="D591" s="40"/>
      <c r="E591" s="40"/>
      <c r="F591" s="40"/>
      <c r="G591" s="40"/>
      <c r="H591" s="40"/>
      <c r="I591" s="40"/>
      <c r="J591" s="40"/>
      <c r="K591" s="40"/>
      <c r="L591" s="40"/>
      <c r="M591" s="40"/>
      <c r="N591" s="40"/>
      <c r="O591" s="47"/>
      <c r="P591" s="47"/>
      <c r="Q591" s="47"/>
      <c r="R591" s="47"/>
      <c r="S591" s="47"/>
      <c r="T591" s="47"/>
      <c r="U591" s="47"/>
      <c r="V591" s="47"/>
    </row>
    <row r="592" spans="1:22">
      <c r="A592" s="45"/>
      <c r="B592" s="41"/>
      <c r="C592" s="40"/>
      <c r="D592" s="40"/>
      <c r="E592" s="40"/>
      <c r="F592" s="40"/>
      <c r="G592" s="40"/>
      <c r="H592" s="40"/>
      <c r="I592" s="40"/>
      <c r="J592" s="40"/>
      <c r="K592" s="40"/>
      <c r="L592" s="40"/>
      <c r="M592" s="40"/>
      <c r="N592" s="40"/>
      <c r="O592" s="47"/>
      <c r="P592" s="47"/>
      <c r="Q592" s="47"/>
      <c r="R592" s="47"/>
      <c r="S592" s="47"/>
      <c r="T592" s="47"/>
      <c r="U592" s="47"/>
      <c r="V592" s="47"/>
    </row>
  </sheetData>
  <mergeCells count="1">
    <mergeCell ref="G1:N4"/>
  </mergeCells>
  <phoneticPr fontId="20" type="noConversion"/>
  <conditionalFormatting sqref="A70:N305">
    <cfRule type="expression" dxfId="41" priority="7">
      <formula>MOD(ROW(),2)=0</formula>
    </cfRule>
  </conditionalFormatting>
  <conditionalFormatting sqref="F70:F305">
    <cfRule type="cellIs" dxfId="40" priority="1" operator="equal">
      <formula>"In Transit"</formula>
    </cfRule>
    <cfRule type="cellIs" dxfId="39" priority="2" operator="equal">
      <formula>"Delivered"</formula>
    </cfRule>
    <cfRule type="cellIs" dxfId="38" priority="3" operator="equal">
      <formula>"Returned"</formula>
    </cfRule>
    <cfRule type="cellIs" dxfId="37" priority="4" operator="equal">
      <formula>"Cancelled"</formula>
    </cfRule>
    <cfRule type="cellIs" dxfId="36" priority="16" operator="equal">
      <formula>"Pending"</formula>
    </cfRule>
    <cfRule type="cellIs" dxfId="35" priority="17" operator="equal">
      <formula>"Pending"</formula>
    </cfRule>
  </conditionalFormatting>
  <conditionalFormatting sqref="F71">
    <cfRule type="cellIs" dxfId="34" priority="18" operator="equal">
      <formula>"Pending"</formula>
    </cfRule>
  </conditionalFormatting>
  <conditionalFormatting sqref="G70:G305">
    <cfRule type="cellIs" dxfId="33" priority="5" stopIfTrue="1" operator="equal">
      <formula>"FBA"</formula>
    </cfRule>
    <cfRule type="cellIs" dxfId="32" priority="6" stopIfTrue="1" operator="equal">
      <formula>"FBM"</formula>
    </cfRule>
  </conditionalFormatting>
  <conditionalFormatting sqref="J70:J305">
    <cfRule type="cellIs" dxfId="31" priority="8" stopIfTrue="1" operator="greaterThan">
      <formula>0</formula>
    </cfRule>
    <cfRule type="cellIs" dxfId="30" priority="14" operator="equal">
      <formula>0</formula>
    </cfRule>
    <cfRule type="cellIs" dxfId="29" priority="15" operator="lessThan">
      <formula>0</formula>
    </cfRule>
  </conditionalFormatting>
  <conditionalFormatting sqref="K70:K305">
    <cfRule type="cellIs" dxfId="28" priority="9" stopIfTrue="1" operator="lessThan">
      <formula>0</formula>
    </cfRule>
    <cfRule type="cellIs" dxfId="27" priority="12" operator="notEqual">
      <formula>0</formula>
    </cfRule>
    <cfRule type="dataBar" priority="13">
      <dataBar>
        <cfvo type="num" val="-100"/>
        <cfvo type="num" val="100"/>
        <color rgb="FFFF9900"/>
      </dataBar>
      <extLst>
        <ext xmlns:x14="http://schemas.microsoft.com/office/spreadsheetml/2009/9/main" uri="{B025F937-C7B1-47D3-B67F-A62EFF666E3E}">
          <x14:id>{2AFC38B7-FD10-49DD-9915-7EB67F1AB8D4}</x14:id>
        </ext>
      </extLst>
    </cfRule>
  </conditionalFormatting>
  <conditionalFormatting sqref="M70:M305">
    <cfRule type="cellIs" dxfId="26" priority="10" operator="equal">
      <formula>"OK"</formula>
    </cfRule>
    <cfRule type="cellIs" dxfId="25" priority="11" operator="equal">
      <formula>"⚠️ Reorder"</formula>
    </cfRule>
  </conditionalFormatting>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2AFC38B7-FD10-49DD-9915-7EB67F1AB8D4}">
            <x14:dataBar minLength="0" maxLength="100" gradient="0" direction="leftToRight" axisPosition="middle">
              <x14:cfvo type="num">
                <xm:f>-100</xm:f>
              </x14:cfvo>
              <x14:cfvo type="num">
                <xm:f>100</xm:f>
              </x14:cfvo>
              <x14:negativeFillColor rgb="FF6B6B6B"/>
              <x14:axisColor rgb="FF2A3347"/>
            </x14:dataBar>
          </x14:cfRule>
          <xm:sqref>K70:K305</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13F31-8510-4B8D-A01C-C564C0E407EB}">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Amazon_Orders</vt:lpstr>
      <vt:lpstr>KPI formulas</vt:lpstr>
      <vt:lpstr>Pivot tables</vt:lpstr>
      <vt:lpstr>Detail1</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dey</dc:creator>
  <cp:lastModifiedBy>pratik dey</cp:lastModifiedBy>
  <dcterms:created xsi:type="dcterms:W3CDTF">2026-06-15T07:19:08Z</dcterms:created>
  <dcterms:modified xsi:type="dcterms:W3CDTF">2026-10-22T13:29:19Z</dcterms:modified>
</cp:coreProperties>
</file>